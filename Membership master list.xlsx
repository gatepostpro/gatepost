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erships" sheetId="1" r:id="rId5"/>
    <sheet state="visible" name="Contacts" sheetId="2" r:id="rId6"/>
    <sheet state="visible" name="Shared membership list" sheetId="3" r:id="rId7"/>
    <sheet state="visible" name="Sent to SHTX 2023" sheetId="4" r:id="rId8"/>
    <sheet state="visible" name="To Be Sent to SHTX 2025 - 1st h" sheetId="5" r:id="rId9"/>
    <sheet state="hidden" name="NVScriptsProperties" sheetId="6" r:id="rId10"/>
    <sheet state="hidden" name="DO NOT DELETE - AutoCrat Job Se" sheetId="7" r:id="rId11"/>
  </sheets>
  <definedNames>
    <definedName hidden="1" localSheetId="0" name="_xlnm._FilterDatabase">Memberships!$A$1:$AA$791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tc={0453d0c5-30b0-4628-80f8-fd8787305d1c}</author>
    <author>tc={13e352ff-ad6b-4ed8-a3c4-052dc5f1a395}</author>
    <author>tc={576288ab-d14a-4033-9849-aad8c6007b97}</author>
    <author>tc={5e7ff08e-6c9c-4bcd-8624-98e2f31e86bb}</author>
    <author>tc={65ca5060-11d2-4372-9889-7d8965522921}</author>
    <author>tc={6c532053-2e2c-4e70-ac2d-e0094c9f7542}</author>
    <author>tc={892fc683-2ff3-4799-ba18-bd14c51acca9}</author>
    <author>tc={8f7b9ae3-0843-437a-be03-8b8c60bcf17f}</author>
    <author>tc={b8e2e76c-691f-4263-9208-213668963660}</author>
  </authors>
  <commentList>
    <comment authorId="0" ref="B249">
      <text>
        <t xml:space="preserve">Just bought another 2025 membership --need to ask if she wants a refund or to put forward a year
</t>
      </text>
    </comment>
    <comment authorId="0" ref="G252">
      <text>
        <t xml:space="preserve">paid by nicole rose 2024
</t>
      </text>
    </comment>
    <comment authorId="0" ref="A375">
      <text>
        <t xml:space="preserve">AKA Kenzie
</t>
      </text>
    </comment>
    <comment authorId="1" xr:uid="{0453d0c5-30b0-4628-80f8-fd8787305d1c}" ref="A5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Computer didn't charge her, needs to pay still
</t>
      </text>
    </comment>
    <comment authorId="2" xr:uid="{13e352ff-ad6b-4ed8-a3c4-052dc5f1a395}" ref="C7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Was double registered as 775
</t>
      </text>
    </comment>
    <comment authorId="3" xr:uid="{576288ab-d14a-4033-9849-aad8c6007b97}" ref="G2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First Year free for L1. '23
</t>
      </text>
    </comment>
    <comment authorId="4" xr:uid="{5e7ff08e-6c9c-4bcd-8624-98e2f31e86bb}" ref="G6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Paid very  late into the season after showing at several shows
</t>
      </text>
    </comment>
    <comment authorId="5" xr:uid="{65ca5060-11d2-4372-9889-7d8965522921}" ref="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date may be off by one day due to leap years. But it's close enough 12/30 vs 12/31 isn't an important distinction since no shows are held at this time of year
</t>
      </text>
    </comment>
    <comment authorId="6" xr:uid="{6c532053-2e2c-4e70-ac2d-e0094c9f7542}" ref="A4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Computer didn't charge her, needs to pay still
</t>
      </text>
    </comment>
    <comment authorId="7" xr:uid="{892fc683-2ff3-4799-ba18-bd14c51acca9}" ref="F7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She was double charged and chose to have her membership extended for another 3 years rather than a refund
</t>
      </text>
    </comment>
    <comment authorId="8" xr:uid="{8f7b9ae3-0843-437a-be03-8b8c60bcf17f}" ref="R2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sent second time
</t>
      </text>
    </comment>
    <comment authorId="9" xr:uid="{b8e2e76c-691f-4263-9208-213668963660}" ref="B2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purchased another 3 year membership in 2024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5">
      <text>
        <t xml:space="preserve">paid by nicole rose 2024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20">
      <text>
        <t xml:space="preserve">Just bought another 2025 membership --need to ask if she wants a refund or to put forward a year
</t>
      </text>
    </comment>
    <comment authorId="0" ref="B332">
      <text>
        <t xml:space="preserve">Just bought another 2025 membership --need to ask if she wants a refund or to put forward a year
</t>
      </text>
    </comment>
    <comment authorId="0" ref="B545">
      <text>
        <t xml:space="preserve">Just bought another 2025 membership --need to ask if she wants a refund or to put forward a year
</t>
      </text>
    </comment>
    <comment authorId="0" ref="B758">
      <text>
        <t xml:space="preserve">Just bought another 2025 membership --need to ask if she wants a refund or to put forward a year
</t>
      </text>
    </comment>
  </commentList>
</comments>
</file>

<file path=xl/sharedStrings.xml><?xml version="1.0" encoding="utf-8"?>
<sst xmlns="http://schemas.openxmlformats.org/spreadsheetml/2006/main" count="10884" uniqueCount="3601">
  <si>
    <t>First</t>
  </si>
  <si>
    <t>Last</t>
  </si>
  <si>
    <t>CoWN #</t>
  </si>
  <si>
    <t>Type</t>
  </si>
  <si>
    <t>Status</t>
  </si>
  <si>
    <t>Duration</t>
  </si>
  <si>
    <t>Renewal Date</t>
  </si>
  <si>
    <t>Expiration Date</t>
  </si>
  <si>
    <t>o</t>
  </si>
  <si>
    <t>Address</t>
  </si>
  <si>
    <t>City</t>
  </si>
  <si>
    <t>State</t>
  </si>
  <si>
    <t>Zip Code</t>
  </si>
  <si>
    <t>Recipient</t>
  </si>
  <si>
    <t>Phone Number</t>
  </si>
  <si>
    <t>Youth DOB</t>
  </si>
  <si>
    <t>Age</t>
  </si>
  <si>
    <t>L1 Status/free year</t>
  </si>
  <si>
    <t>Check to SHTX for 2025</t>
  </si>
  <si>
    <t>Check to SHTX for 24</t>
  </si>
  <si>
    <t>Check to SHTX for 23</t>
  </si>
  <si>
    <t>2023 Renewal Date</t>
  </si>
  <si>
    <t>2022 Member</t>
  </si>
  <si>
    <t>2023 member</t>
  </si>
  <si>
    <t>sent</t>
  </si>
  <si>
    <t>2025 Method</t>
  </si>
  <si>
    <t>2024 Method of Renewal (in person or online)</t>
  </si>
  <si>
    <t>ip</t>
  </si>
  <si>
    <t>Weston</t>
  </si>
  <si>
    <t>Lawson</t>
  </si>
  <si>
    <t>kim.stackhouse-lawson@colostate.edu</t>
  </si>
  <si>
    <t>Brandy</t>
  </si>
  <si>
    <t>Nelson</t>
  </si>
  <si>
    <t>5813 Dressage St</t>
  </si>
  <si>
    <t>Timnath</t>
  </si>
  <si>
    <t>CO</t>
  </si>
  <si>
    <t>80547</t>
  </si>
  <si>
    <t>nelson0514@yahoo.com</t>
  </si>
  <si>
    <t>sent 4/13/2026</t>
  </si>
  <si>
    <t>Mandy</t>
  </si>
  <si>
    <t>Hartman</t>
  </si>
  <si>
    <t>5838 Big Canyon Drive</t>
  </si>
  <si>
    <t>Fort Collins</t>
  </si>
  <si>
    <t>80528</t>
  </si>
  <si>
    <t>mhartmanorama@gmail.com</t>
  </si>
  <si>
    <t>sent 4/7/2026</t>
  </si>
  <si>
    <t>Connor</t>
  </si>
  <si>
    <t>Elliott</t>
  </si>
  <si>
    <t>4440 North 109th Street</t>
  </si>
  <si>
    <t>Lafayette</t>
  </si>
  <si>
    <t xml:space="preserve">80026 </t>
  </si>
  <si>
    <t>bdelliott00@yahoo.com</t>
  </si>
  <si>
    <t>Brad</t>
  </si>
  <si>
    <t>Sydney</t>
  </si>
  <si>
    <t>Roe</t>
  </si>
  <si>
    <t>2008 E. Riding Club Rd.</t>
  </si>
  <si>
    <t>Cheyenne</t>
  </si>
  <si>
    <t>WY</t>
  </si>
  <si>
    <t>82001</t>
  </si>
  <si>
    <t>ericatonso@gmail.com</t>
  </si>
  <si>
    <t>307-421-8175</t>
  </si>
  <si>
    <t>Sunshine and Spurs</t>
  </si>
  <si>
    <t>2701 E Four Mile Rd</t>
  </si>
  <si>
    <t>82009</t>
  </si>
  <si>
    <t>cathi.lewis@yahoo.com</t>
  </si>
  <si>
    <t>Lindsay</t>
  </si>
  <si>
    <t>Woods</t>
  </si>
  <si>
    <t>5700 Aksarben Dr</t>
  </si>
  <si>
    <t>Windsor</t>
  </si>
  <si>
    <t>80550</t>
  </si>
  <si>
    <t>lindsaywoods@comcast.net</t>
  </si>
  <si>
    <t>406-671-5029</t>
  </si>
  <si>
    <t>IP</t>
  </si>
  <si>
    <t>Ellie</t>
  </si>
  <si>
    <t>Mashburn</t>
  </si>
  <si>
    <t>9103 CR NN</t>
  </si>
  <si>
    <t>Lamar</t>
  </si>
  <si>
    <t>81052</t>
  </si>
  <si>
    <t>wingoellie@gmail.com</t>
  </si>
  <si>
    <t>719-221-9858</t>
  </si>
  <si>
    <t>James</t>
  </si>
  <si>
    <t>PO Box 1437</t>
  </si>
  <si>
    <t>Wheatland</t>
  </si>
  <si>
    <t>82201</t>
  </si>
  <si>
    <t>topchoiceperformancehorses@yahoo.com</t>
  </si>
  <si>
    <t>435-640-5887</t>
  </si>
  <si>
    <t>Jessica</t>
  </si>
  <si>
    <t>Hendrix</t>
  </si>
  <si>
    <t>12436 NCR 13</t>
  </si>
  <si>
    <t>Wellington</t>
  </si>
  <si>
    <t>80549</t>
  </si>
  <si>
    <t>Mia</t>
  </si>
  <si>
    <t>Patchet</t>
  </si>
  <si>
    <t xml:space="preserve">c/o Kerry Cogburn - 16506 A N.C. Rd 7 </t>
  </si>
  <si>
    <t>kccogburn3@outlook.com</t>
  </si>
  <si>
    <t>970-568-9022</t>
  </si>
  <si>
    <t>Kammi</t>
  </si>
  <si>
    <t>Carson</t>
  </si>
  <si>
    <t>417 Vivian Street</t>
  </si>
  <si>
    <t>80525</t>
  </si>
  <si>
    <t>kclazyr@gmail.com</t>
  </si>
  <si>
    <t>970-829-7177</t>
  </si>
  <si>
    <t>Keisha</t>
  </si>
  <si>
    <t>Joslyn</t>
  </si>
  <si>
    <t>832 Old 6 and 50</t>
  </si>
  <si>
    <t>Mack</t>
  </si>
  <si>
    <t>81525</t>
  </si>
  <si>
    <t>roanhorse2016@gmail.com</t>
  </si>
  <si>
    <t>541-643-8806</t>
  </si>
  <si>
    <t xml:space="preserve">Denise </t>
  </si>
  <si>
    <t>Arthur</t>
  </si>
  <si>
    <t xml:space="preserve">14277 Hwy 119 </t>
  </si>
  <si>
    <t>Blackhawk</t>
  </si>
  <si>
    <t>80422</t>
  </si>
  <si>
    <t>darthur667@gmail.com</t>
  </si>
  <si>
    <t>720-621-9855</t>
  </si>
  <si>
    <t>Isabel</t>
  </si>
  <si>
    <t>Hertlein</t>
  </si>
  <si>
    <t>8298 5600 Rd</t>
  </si>
  <si>
    <t>Olathe</t>
  </si>
  <si>
    <t>81425</t>
  </si>
  <si>
    <t>ihertlein91@gmail.com</t>
  </si>
  <si>
    <t>970-674-0247</t>
  </si>
  <si>
    <t>Terry</t>
  </si>
  <si>
    <t>Winters</t>
  </si>
  <si>
    <t>1762 10 1/2 Rd</t>
  </si>
  <si>
    <t>tammylynne717@gmail.com</t>
  </si>
  <si>
    <t>970-200-7010</t>
  </si>
  <si>
    <t>Laird</t>
  </si>
  <si>
    <t>Pidduck</t>
  </si>
  <si>
    <t>2513 W Plum St</t>
  </si>
  <si>
    <t>80521</t>
  </si>
  <si>
    <t>foxmblp@gmail.com</t>
  </si>
  <si>
    <t>Avery</t>
  </si>
  <si>
    <t>Cahill</t>
  </si>
  <si>
    <t>7271 Longview Drive</t>
  </si>
  <si>
    <t>Niwot</t>
  </si>
  <si>
    <t>80503</t>
  </si>
  <si>
    <t>averycahill08@gmail.com</t>
  </si>
  <si>
    <t>Sheri</t>
  </si>
  <si>
    <t>Aaberg</t>
  </si>
  <si>
    <t>1379 Carrington Way</t>
  </si>
  <si>
    <t>Chattanooga</t>
  </si>
  <si>
    <t>TN</t>
  </si>
  <si>
    <t>37405</t>
  </si>
  <si>
    <t>saaberg@gmail.com</t>
  </si>
  <si>
    <t>Wingo</t>
  </si>
  <si>
    <t>Jeannie</t>
  </si>
  <si>
    <t>Webb</t>
  </si>
  <si>
    <t>5607 N CR 5 W</t>
  </si>
  <si>
    <t>Del Norte</t>
  </si>
  <si>
    <t>81132</t>
  </si>
  <si>
    <t>spottedpony1@msn.com</t>
  </si>
  <si>
    <t>719-850-1881</t>
  </si>
  <si>
    <t>Kim</t>
  </si>
  <si>
    <t>Rounds</t>
  </si>
  <si>
    <t>1349 Cimmaron Circle</t>
  </si>
  <si>
    <t>Eaton</t>
  </si>
  <si>
    <t>80615</t>
  </si>
  <si>
    <t>krounds27@yahoo.com</t>
  </si>
  <si>
    <t>530-906-6889</t>
  </si>
  <si>
    <t>Leanne</t>
  </si>
  <si>
    <t>Williams</t>
  </si>
  <si>
    <t>5313 Buffalo Rd.</t>
  </si>
  <si>
    <t>Erie</t>
  </si>
  <si>
    <t>80516</t>
  </si>
  <si>
    <t>will5313@msn.com</t>
  </si>
  <si>
    <t>303-817-5807</t>
  </si>
  <si>
    <t>Anne</t>
  </si>
  <si>
    <t>Rosen</t>
  </si>
  <si>
    <t>24228 Giant Gulch Rd.</t>
  </si>
  <si>
    <t>Evergreen</t>
  </si>
  <si>
    <t>80439</t>
  </si>
  <si>
    <t>Anne.rosen@zingdevelopment.com</t>
  </si>
  <si>
    <t>720-938-1192</t>
  </si>
  <si>
    <t>Teresa</t>
  </si>
  <si>
    <t>Peters-Kilmer</t>
  </si>
  <si>
    <t>16824 Pony Pond Dr</t>
  </si>
  <si>
    <t>Colorado Springs</t>
  </si>
  <si>
    <t>80544</t>
  </si>
  <si>
    <t>Tdpk@comcast.net</t>
  </si>
  <si>
    <t>719-210-4173</t>
  </si>
  <si>
    <t>Kip</t>
  </si>
  <si>
    <t>Koenig</t>
  </si>
  <si>
    <t>12736 CR 76</t>
  </si>
  <si>
    <t>970-573-1515</t>
  </si>
  <si>
    <t>Susan</t>
  </si>
  <si>
    <t>PO Box 581</t>
  </si>
  <si>
    <t>Kristine</t>
  </si>
  <si>
    <t>1918 S. Colorado Ave</t>
  </si>
  <si>
    <t>Loveland</t>
  </si>
  <si>
    <t>80537</t>
  </si>
  <si>
    <t>sleepyk7@hotmail.com</t>
  </si>
  <si>
    <t>970-232-5009</t>
  </si>
  <si>
    <t>Mary Ann</t>
  </si>
  <si>
    <t>Brandon</t>
  </si>
  <si>
    <t>464 Dichoso Street</t>
  </si>
  <si>
    <t xml:space="preserve">Pagosa Springs </t>
  </si>
  <si>
    <t>81147</t>
  </si>
  <si>
    <t>purpleone111@gmail.com</t>
  </si>
  <si>
    <t>903-570-0473</t>
  </si>
  <si>
    <t xml:space="preserve">Kim </t>
  </si>
  <si>
    <t>Peterson</t>
  </si>
  <si>
    <t>4629 Sedona Hills Dr</t>
  </si>
  <si>
    <t>paravets1@sbcglobal.net</t>
  </si>
  <si>
    <t>630-234-3263</t>
  </si>
  <si>
    <t xml:space="preserve">Diana </t>
  </si>
  <si>
    <t>Matheson</t>
  </si>
  <si>
    <t>PO Box 84</t>
  </si>
  <si>
    <t>Roget</t>
  </si>
  <si>
    <t>82727</t>
  </si>
  <si>
    <t xml:space="preserve">Michelle </t>
  </si>
  <si>
    <t>325 Pierce Street</t>
  </si>
  <si>
    <t>michelleaaberg@hotmail.com</t>
  </si>
  <si>
    <t>303-775-0964</t>
  </si>
  <si>
    <t xml:space="preserve">Elizabeth </t>
  </si>
  <si>
    <t>Lippitt</t>
  </si>
  <si>
    <t>646 CR 170</t>
  </si>
  <si>
    <t>Carbondale</t>
  </si>
  <si>
    <t>81623</t>
  </si>
  <si>
    <t>horsenag@gmail.com</t>
  </si>
  <si>
    <t>RJ</t>
  </si>
  <si>
    <t>Froelich</t>
  </si>
  <si>
    <t>7950 32nd Ave</t>
  </si>
  <si>
    <t>Selfridge</t>
  </si>
  <si>
    <t>ND</t>
  </si>
  <si>
    <t>58565</t>
  </si>
  <si>
    <t>rickyquinnclinics@yahoo.com</t>
  </si>
  <si>
    <t>Joe</t>
  </si>
  <si>
    <t>Taggart</t>
  </si>
  <si>
    <t>23995 CR 56</t>
  </si>
  <si>
    <t>Steamboat Springs</t>
  </si>
  <si>
    <t>80487</t>
  </si>
  <si>
    <t>Mark</t>
  </si>
  <si>
    <t>Cross</t>
  </si>
  <si>
    <t>akurtzhorses@gmail.com</t>
  </si>
  <si>
    <t>Willa</t>
  </si>
  <si>
    <t>Johnson</t>
  </si>
  <si>
    <t>5316 EC Road 52</t>
  </si>
  <si>
    <t>80524</t>
  </si>
  <si>
    <t xml:space="preserve">Kori </t>
  </si>
  <si>
    <t>Goldenberg</t>
  </si>
  <si>
    <t>1605 S.D. Road</t>
  </si>
  <si>
    <t>Mitchell</t>
  </si>
  <si>
    <t>NE</t>
  </si>
  <si>
    <t>69357</t>
  </si>
  <si>
    <t>kori-goldenberg@yahoo.com</t>
  </si>
  <si>
    <t>Hampton</t>
  </si>
  <si>
    <t>Cornelius</t>
  </si>
  <si>
    <t>22453 CR 53</t>
  </si>
  <si>
    <t>Kersey</t>
  </si>
  <si>
    <t>80644</t>
  </si>
  <si>
    <t>hampton@coyoteridgeherfords.com</t>
  </si>
  <si>
    <t xml:space="preserve">Robert </t>
  </si>
  <si>
    <t>Gash</t>
  </si>
  <si>
    <t>18151 Kiser Creek Road</t>
  </si>
  <si>
    <t>Cedaredge</t>
  </si>
  <si>
    <t>81413</t>
  </si>
  <si>
    <t>rob@wesellthewest.com</t>
  </si>
  <si>
    <t xml:space="preserve">Grace </t>
  </si>
  <si>
    <t>Green</t>
  </si>
  <si>
    <t>6910 Sengbeil rd</t>
  </si>
  <si>
    <t>Yoder</t>
  </si>
  <si>
    <t>80864</t>
  </si>
  <si>
    <r>
      <rPr>
        <rFont val="Arial"/>
        <color rgb="FF000000"/>
        <sz val="14.0"/>
        <u/>
      </rPr>
      <t>gracekgreen2007@gmail.com</t>
    </r>
  </si>
  <si>
    <t>972-269-6843</t>
  </si>
  <si>
    <t>BeLynn</t>
  </si>
  <si>
    <t>Johner</t>
  </si>
  <si>
    <t>1424 Lookout Valley Court</t>
  </si>
  <si>
    <t>Spearfish</t>
  </si>
  <si>
    <t>SD</t>
  </si>
  <si>
    <t>57783</t>
  </si>
  <si>
    <t>thejohners@me.com</t>
  </si>
  <si>
    <t>Susanna</t>
  </si>
  <si>
    <t>Frost</t>
  </si>
  <si>
    <t>701 Grand Market Ave</t>
  </si>
  <si>
    <t>Berthod</t>
  </si>
  <si>
    <t>80513</t>
  </si>
  <si>
    <t>susanna.w.frost@gmail.com</t>
  </si>
  <si>
    <t xml:space="preserve">Emily </t>
  </si>
  <si>
    <t>Fulton</t>
  </si>
  <si>
    <t>1440 Red Tail Rd</t>
  </si>
  <si>
    <t>emifulton@icloud.com</t>
  </si>
  <si>
    <t>970-373-7174</t>
  </si>
  <si>
    <t>Rebecca</t>
  </si>
  <si>
    <t>Adams</t>
  </si>
  <si>
    <t>PO Box 218</t>
  </si>
  <si>
    <t>Norwood</t>
  </si>
  <si>
    <t>81423</t>
  </si>
  <si>
    <t>rebeccaa002@gmail.com</t>
  </si>
  <si>
    <t>917-327-9355</t>
  </si>
  <si>
    <t>Mouer</t>
  </si>
  <si>
    <t>1621 Underhill Dr., Unit 1</t>
  </si>
  <si>
    <t>80526</t>
  </si>
  <si>
    <r>
      <rPr>
        <rFont val="Arial"/>
        <color rgb="FF000000"/>
        <sz val="14.0"/>
        <u/>
      </rPr>
      <t>isabel.mouer@gmail.com</t>
    </r>
  </si>
  <si>
    <t>Cheri</t>
  </si>
  <si>
    <t>VonFeldt</t>
  </si>
  <si>
    <t>13601 Manilla Rd</t>
  </si>
  <si>
    <t>Hudson</t>
  </si>
  <si>
    <t>80642</t>
  </si>
  <si>
    <t>vonfeldt.cher@gmail.com</t>
  </si>
  <si>
    <t>303-881-4323</t>
  </si>
  <si>
    <t>Debbie</t>
  </si>
  <si>
    <t>Unrein</t>
  </si>
  <si>
    <t>11750 County Rd 31</t>
  </si>
  <si>
    <t>Sterling</t>
  </si>
  <si>
    <t>80751</t>
  </si>
  <si>
    <t>djunrein@ymail.com</t>
  </si>
  <si>
    <t>Chelsea</t>
  </si>
  <si>
    <t>Tippmann</t>
  </si>
  <si>
    <t>1315 E. 18th St</t>
  </si>
  <si>
    <t>80538</t>
  </si>
  <si>
    <t>970-294-8448</t>
  </si>
  <si>
    <t>Elizabeth Kennedy</t>
  </si>
  <si>
    <t>Snyder</t>
  </si>
  <si>
    <t>13333 N CR 7</t>
  </si>
  <si>
    <t>snyderperformancehorse@gmail.com</t>
  </si>
  <si>
    <t>806-422-0495</t>
  </si>
  <si>
    <t xml:space="preserve">Amelia </t>
  </si>
  <si>
    <t>Luke</t>
  </si>
  <si>
    <t>Rock</t>
  </si>
  <si>
    <t>23601 E. 152nd Ave</t>
  </si>
  <si>
    <t>Brighton</t>
  </si>
  <si>
    <t>80603</t>
  </si>
  <si>
    <t>luke@rockhorsesllc.com</t>
  </si>
  <si>
    <t>303-304-4615</t>
  </si>
  <si>
    <t>Sarah</t>
  </si>
  <si>
    <t>Pfannebecker</t>
  </si>
  <si>
    <t>24331 CR 32</t>
  </si>
  <si>
    <t>LaSalle</t>
  </si>
  <si>
    <t>80645</t>
  </si>
  <si>
    <t>sarah@jperector.com</t>
  </si>
  <si>
    <t>970-396-1362</t>
  </si>
  <si>
    <t>Ailey</t>
  </si>
  <si>
    <t>Paxton</t>
  </si>
  <si>
    <t>22251 CR 36</t>
  </si>
  <si>
    <t>adria@ssisp.net</t>
  </si>
  <si>
    <t>970-580-2341</t>
  </si>
  <si>
    <t>Reagan</t>
  </si>
  <si>
    <t>Mongeau</t>
  </si>
  <si>
    <t>1427 SW County Rd</t>
  </si>
  <si>
    <t>Gower</t>
  </si>
  <si>
    <t>MO</t>
  </si>
  <si>
    <t>64454</t>
  </si>
  <si>
    <t>reagannicole1234@gmail.com</t>
  </si>
  <si>
    <t>719-619-6963</t>
  </si>
  <si>
    <t>Britt</t>
  </si>
  <si>
    <t>Loeffler</t>
  </si>
  <si>
    <t>80492 County Rd 11</t>
  </si>
  <si>
    <t>loefflerhorses@yahoo.com</t>
  </si>
  <si>
    <t>308-631-9121</t>
  </si>
  <si>
    <t xml:space="preserve">Christine </t>
  </si>
  <si>
    <t>Lee</t>
  </si>
  <si>
    <t>3887 N. Game Trail Rd</t>
  </si>
  <si>
    <t>North Platte</t>
  </si>
  <si>
    <t>69101</t>
  </si>
  <si>
    <t>leesqtr@hotmail.com</t>
  </si>
  <si>
    <t>308-530-3760</t>
  </si>
  <si>
    <t>Bryan</t>
  </si>
  <si>
    <t>Heys</t>
  </si>
  <si>
    <t>535 Sherri Dr</t>
  </si>
  <si>
    <t>cheymheys@hotmail.com</t>
  </si>
  <si>
    <t>970-290-4011</t>
  </si>
  <si>
    <t xml:space="preserve">Evelyn </t>
  </si>
  <si>
    <t>Good</t>
  </si>
  <si>
    <t>10513 Portugee Phillips Rd</t>
  </si>
  <si>
    <t>307-851-8765</t>
  </si>
  <si>
    <t>Lesli</t>
  </si>
  <si>
    <t>Fox</t>
  </si>
  <si>
    <t>5903 Atlantic Dr</t>
  </si>
  <si>
    <t>troastle22@aol.com</t>
  </si>
  <si>
    <t>307-620-1243</t>
  </si>
  <si>
    <t>Blain</t>
  </si>
  <si>
    <t>813 35th Lane</t>
  </si>
  <si>
    <t>Pueblo</t>
  </si>
  <si>
    <t>81006</t>
  </si>
  <si>
    <t>jennablain@hotmail.com</t>
  </si>
  <si>
    <t>719-640-6517</t>
  </si>
  <si>
    <t>Brock</t>
  </si>
  <si>
    <t>Tyler</t>
  </si>
  <si>
    <t/>
  </si>
  <si>
    <t>Melissa</t>
  </si>
  <si>
    <t>Chanslor</t>
  </si>
  <si>
    <t>5415 county road 502</t>
  </si>
  <si>
    <t xml:space="preserve">Bayfield </t>
  </si>
  <si>
    <t>81122</t>
  </si>
  <si>
    <t>mchanslor@gmail.com</t>
  </si>
  <si>
    <t>Barbara</t>
  </si>
  <si>
    <t>Longacre</t>
  </si>
  <si>
    <t>810 Minter Ave</t>
  </si>
  <si>
    <t>Glenwood Springs</t>
  </si>
  <si>
    <t>81601</t>
  </si>
  <si>
    <t>barb@longacreequine.com</t>
  </si>
  <si>
    <t>Kori</t>
  </si>
  <si>
    <t>Landauer</t>
  </si>
  <si>
    <t>PO Box 163</t>
  </si>
  <si>
    <t>Meeker</t>
  </si>
  <si>
    <t>81641</t>
  </si>
  <si>
    <t>kori.landauer@gmail.com</t>
  </si>
  <si>
    <t>Sharon</t>
  </si>
  <si>
    <t>Merritt</t>
  </si>
  <si>
    <t>8200 E 123rd Ave</t>
  </si>
  <si>
    <t>80602</t>
  </si>
  <si>
    <t>everett@merritt-trailers.com</t>
  </si>
  <si>
    <t>Everett</t>
  </si>
  <si>
    <t>Morrow</t>
  </si>
  <si>
    <t>1400 e oxford lane</t>
  </si>
  <si>
    <t>Cherry Hills Village</t>
  </si>
  <si>
    <t>80113</t>
  </si>
  <si>
    <t>schlumorr@msn.com</t>
  </si>
  <si>
    <t>1315 east 18th street</t>
  </si>
  <si>
    <t>sydneytippmann@gmail.com</t>
  </si>
  <si>
    <t>sent 4/17/2026</t>
  </si>
  <si>
    <t>Maggie</t>
  </si>
  <si>
    <t>McNally</t>
  </si>
  <si>
    <t>PO Box 1134</t>
  </si>
  <si>
    <t>Telluride</t>
  </si>
  <si>
    <t>81435</t>
  </si>
  <si>
    <t>maggiejmcnally1@gmail.com</t>
  </si>
  <si>
    <t>970-708-7751</t>
  </si>
  <si>
    <t>Jean</t>
  </si>
  <si>
    <t>Cannu</t>
  </si>
  <si>
    <t>33155 Ridgeview Loop</t>
  </si>
  <si>
    <t>Elizabeth</t>
  </si>
  <si>
    <t>80107</t>
  </si>
  <si>
    <t>jemcannu@gmail.com</t>
  </si>
  <si>
    <t xml:space="preserve">Shantel </t>
  </si>
  <si>
    <t>Tubbs</t>
  </si>
  <si>
    <t>3045 Wolfensberger Rd</t>
  </si>
  <si>
    <t>Sedalia</t>
  </si>
  <si>
    <t>80135</t>
  </si>
  <si>
    <t>shantel726@gmail.com</t>
  </si>
  <si>
    <t>Shelley</t>
  </si>
  <si>
    <t>Smith</t>
  </si>
  <si>
    <t>PO Box 1714</t>
  </si>
  <si>
    <t>Silverthorne</t>
  </si>
  <si>
    <t>80498</t>
  </si>
  <si>
    <t>shelleys3092@gmail.com</t>
  </si>
  <si>
    <t>Heather</t>
  </si>
  <si>
    <t>Schultz</t>
  </si>
  <si>
    <t>2090 CR 124</t>
  </si>
  <si>
    <t>zirr.hs@gmail.com</t>
  </si>
  <si>
    <t>Roeser</t>
  </si>
  <si>
    <t>401 N CR 27 E</t>
  </si>
  <si>
    <t>alli.morrison123@gmail.com</t>
  </si>
  <si>
    <t>Rita</t>
  </si>
  <si>
    <t>Sakowicz</t>
  </si>
  <si>
    <t>3604 W CR 10</t>
  </si>
  <si>
    <t>Berthoud</t>
  </si>
  <si>
    <t>katiesak08@gmail.com</t>
  </si>
  <si>
    <t>Amanda</t>
  </si>
  <si>
    <t>Schnorr</t>
  </si>
  <si>
    <t>16506 A N CR 7</t>
  </si>
  <si>
    <t>kccogburn@outlook.com</t>
  </si>
  <si>
    <t>Holly</t>
  </si>
  <si>
    <t>Nordholm</t>
  </si>
  <si>
    <t>76 Cork Ln</t>
  </si>
  <si>
    <t>Westcliffe</t>
  </si>
  <si>
    <t>81252</t>
  </si>
  <si>
    <t>holly.nordholm@yahoo.com</t>
  </si>
  <si>
    <t>Menegatti</t>
  </si>
  <si>
    <t>645 S CR 31</t>
  </si>
  <si>
    <t>80531</t>
  </si>
  <si>
    <t>byerse11@hotmail.com</t>
  </si>
  <si>
    <t>Hailey</t>
  </si>
  <si>
    <t>Jergensen</t>
  </si>
  <si>
    <t>25411 CR 105</t>
  </si>
  <si>
    <t>Ramah</t>
  </si>
  <si>
    <t>8032</t>
  </si>
  <si>
    <t>haileycombs25@gmail.com</t>
  </si>
  <si>
    <t>(303) 253-2049</t>
  </si>
  <si>
    <t>Hyde</t>
  </si>
  <si>
    <t>3 Osprey Cir</t>
  </si>
  <si>
    <t>Thornton</t>
  </si>
  <si>
    <t>80241</t>
  </si>
  <si>
    <t>sydneyhyde15@gmail.com</t>
  </si>
  <si>
    <t>303-810-8524</t>
  </si>
  <si>
    <t>Kaylee</t>
  </si>
  <si>
    <t>Hintzman</t>
  </si>
  <si>
    <t>5825 Aspen View Court</t>
  </si>
  <si>
    <t>kayleehintzman@icloud.com</t>
  </si>
  <si>
    <t xml:space="preserve">Sage </t>
  </si>
  <si>
    <t>1018 Blue Spruce Dr</t>
  </si>
  <si>
    <t>greenfam218@gmail.com</t>
  </si>
  <si>
    <t>Ansley</t>
  </si>
  <si>
    <t>Davis</t>
  </si>
  <si>
    <t>409 Grant DR</t>
  </si>
  <si>
    <t>adavisftc@gmail.com</t>
  </si>
  <si>
    <t>Lauren</t>
  </si>
  <si>
    <t>Bayless</t>
  </si>
  <si>
    <t>17081 E 95th PL</t>
  </si>
  <si>
    <t>Commerce City</t>
  </si>
  <si>
    <t>80022</t>
  </si>
  <si>
    <t>travis.lauren@gmail.com</t>
  </si>
  <si>
    <t>Tim</t>
  </si>
  <si>
    <t>Walker</t>
  </si>
  <si>
    <t>PO Box 134</t>
  </si>
  <si>
    <t>Franktown</t>
  </si>
  <si>
    <t>80116</t>
  </si>
  <si>
    <t>jawalk4@gmail.com</t>
  </si>
  <si>
    <t>303-918-5711</t>
  </si>
  <si>
    <t>Tammy</t>
  </si>
  <si>
    <t>tammylynne714@gmail.com</t>
  </si>
  <si>
    <t>Landon</t>
  </si>
  <si>
    <t>Vigil</t>
  </si>
  <si>
    <t>1030 Cemetery Ln</t>
  </si>
  <si>
    <t>Aspen</t>
  </si>
  <si>
    <t>81611</t>
  </si>
  <si>
    <t>landondeane@gmail.com</t>
  </si>
  <si>
    <t>Leta</t>
  </si>
  <si>
    <t>Veitch</t>
  </si>
  <si>
    <t>12756 Shavano Valley Rd</t>
  </si>
  <si>
    <t>Montrose</t>
  </si>
  <si>
    <t>81403</t>
  </si>
  <si>
    <t>letaveitch@gmail.com</t>
  </si>
  <si>
    <t>Billi Jo</t>
  </si>
  <si>
    <t>Vagneur</t>
  </si>
  <si>
    <t>42 Zuni</t>
  </si>
  <si>
    <t>billijo.vagneur@gmail.com</t>
  </si>
  <si>
    <t>Tofany</t>
  </si>
  <si>
    <t>PO Box 9151</t>
  </si>
  <si>
    <t>81612</t>
  </si>
  <si>
    <t>sydtofany@aol.com</t>
  </si>
  <si>
    <t>Jessi</t>
  </si>
  <si>
    <t>Speer</t>
  </si>
  <si>
    <t>3101 Blair Rd</t>
  </si>
  <si>
    <t>Whitewater</t>
  </si>
  <si>
    <t>81527</t>
  </si>
  <si>
    <t>jessispeer@yahoo.com</t>
  </si>
  <si>
    <t>970-312-4015</t>
  </si>
  <si>
    <t>Seymour</t>
  </si>
  <si>
    <t>9508 Hillside Rd</t>
  </si>
  <si>
    <t>seymourfeedlot2@motrose.net</t>
  </si>
  <si>
    <t>Kat</t>
  </si>
  <si>
    <t>Pendergrass</t>
  </si>
  <si>
    <t>54426 Falcon Rd</t>
  </si>
  <si>
    <t>martinezfarmscolorado@gmail.com</t>
  </si>
  <si>
    <t>Grady</t>
  </si>
  <si>
    <t>Pavlich</t>
  </si>
  <si>
    <t>12656 6100 Rd</t>
  </si>
  <si>
    <t>Erin</t>
  </si>
  <si>
    <t>Hattie Rose</t>
  </si>
  <si>
    <t>Metter</t>
  </si>
  <si>
    <t>2000 Spring Creek Rd</t>
  </si>
  <si>
    <t>Gypsum</t>
  </si>
  <si>
    <t>81637</t>
  </si>
  <si>
    <t>toni.metter@gmail.com</t>
  </si>
  <si>
    <t>Sandy</t>
  </si>
  <si>
    <t>Messing</t>
  </si>
  <si>
    <t>PO Box 775</t>
  </si>
  <si>
    <t>Hayden</t>
  </si>
  <si>
    <t>81639</t>
  </si>
  <si>
    <t>oldironranch@gmail.com</t>
  </si>
  <si>
    <t>Wendy</t>
  </si>
  <si>
    <t>Lind</t>
  </si>
  <si>
    <t>PO Box 1041</t>
  </si>
  <si>
    <t>wendy@axialarts.com</t>
  </si>
  <si>
    <t>Langley</t>
  </si>
  <si>
    <t>PO Box 1315</t>
  </si>
  <si>
    <t>langley.rebecca@yahoo.com</t>
  </si>
  <si>
    <t>Peyton</t>
  </si>
  <si>
    <t>Miranda</t>
  </si>
  <si>
    <t>Jones</t>
  </si>
  <si>
    <t>5080 Grass Mesa Rd</t>
  </si>
  <si>
    <t>Rifle</t>
  </si>
  <si>
    <t>81650</t>
  </si>
  <si>
    <t>mirandaw14@gmail.com</t>
  </si>
  <si>
    <t>Casey</t>
  </si>
  <si>
    <t>Hink?</t>
  </si>
  <si>
    <t>7941 6150 RD</t>
  </si>
  <si>
    <t>Mankers</t>
  </si>
  <si>
    <t>81401</t>
  </si>
  <si>
    <t>Skylar</t>
  </si>
  <si>
    <t>Gillespie</t>
  </si>
  <si>
    <t>PO Box 2765</t>
  </si>
  <si>
    <t>Basalt</t>
  </si>
  <si>
    <t>81621</t>
  </si>
  <si>
    <t>gailegail@drick.com</t>
  </si>
  <si>
    <t>Samantha</t>
  </si>
  <si>
    <t>Fields</t>
  </si>
  <si>
    <t>201 DJ Rd</t>
  </si>
  <si>
    <t>Parachute</t>
  </si>
  <si>
    <t>81635</t>
  </si>
  <si>
    <t>srfields45@gmail.com</t>
  </si>
  <si>
    <t xml:space="preserve">Jessica </t>
  </si>
  <si>
    <t>Ferro</t>
  </si>
  <si>
    <t>3438 Kerns Dr</t>
  </si>
  <si>
    <t>Clifton</t>
  </si>
  <si>
    <t>81520</t>
  </si>
  <si>
    <t>ferroequineservices@gmail.com</t>
  </si>
  <si>
    <t>970-773-4990</t>
  </si>
  <si>
    <t>Kama</t>
  </si>
  <si>
    <t>Farrington</t>
  </si>
  <si>
    <t>13489 59 RD</t>
  </si>
  <si>
    <t>Collbran</t>
  </si>
  <si>
    <t>81624</t>
  </si>
  <si>
    <t>kamarenee@gmail.com</t>
  </si>
  <si>
    <t>Sandra</t>
  </si>
  <si>
    <t>Duran</t>
  </si>
  <si>
    <t>505 20th St</t>
  </si>
  <si>
    <t>Delta</t>
  </si>
  <si>
    <t>81416</t>
  </si>
  <si>
    <t>specialteacher_3_1@yahoo.com</t>
  </si>
  <si>
    <t>Hilary</t>
  </si>
  <si>
    <t>Duchein</t>
  </si>
  <si>
    <t>522 Vine</t>
  </si>
  <si>
    <t>hduchein@gmail.com</t>
  </si>
  <si>
    <t>Dawn</t>
  </si>
  <si>
    <t>Dennison</t>
  </si>
  <si>
    <t>PO Box 1673</t>
  </si>
  <si>
    <t>Buena Vista</t>
  </si>
  <si>
    <t>81211</t>
  </si>
  <si>
    <t>dddennison@gmail.com</t>
  </si>
  <si>
    <t>Tamera</t>
  </si>
  <si>
    <t>Clark</t>
  </si>
  <si>
    <t xml:space="preserve">Box 142 </t>
  </si>
  <si>
    <t>Melina</t>
  </si>
  <si>
    <t>tgreysonc72@gmail.com</t>
  </si>
  <si>
    <t>970-640-9363</t>
  </si>
  <si>
    <t>Katie</t>
  </si>
  <si>
    <t>Cassiday</t>
  </si>
  <si>
    <t>16420 Timber Cove St</t>
  </si>
  <si>
    <t>katiegcassiday@gmail.com</t>
  </si>
  <si>
    <t>Barnett</t>
  </si>
  <si>
    <t>200 E CR 66</t>
  </si>
  <si>
    <t>katiebarnettphotography@gmail.com</t>
  </si>
  <si>
    <t>Donita</t>
  </si>
  <si>
    <t>Correra</t>
  </si>
  <si>
    <t>7633 N Milliron Rd</t>
  </si>
  <si>
    <t>mcorrera@yahoo.com</t>
  </si>
  <si>
    <t>Mattie</t>
  </si>
  <si>
    <t>Kouba</t>
  </si>
  <si>
    <t>30761 Everett Rd</t>
  </si>
  <si>
    <t>mattkouba@msn.com</t>
  </si>
  <si>
    <t>719-557-0560</t>
  </si>
  <si>
    <t>Lillian</t>
  </si>
  <si>
    <t>Dawsen</t>
  </si>
  <si>
    <t>Gracey</t>
  </si>
  <si>
    <t>Dolph</t>
  </si>
  <si>
    <t>11369 CR 37</t>
  </si>
  <si>
    <t>Fort Lupton</t>
  </si>
  <si>
    <t>80621</t>
  </si>
  <si>
    <t>raptor6@raptor6ranch.com</t>
  </si>
  <si>
    <t>910-333-4072</t>
  </si>
  <si>
    <t>Linda</t>
  </si>
  <si>
    <t>Wise</t>
  </si>
  <si>
    <t>7690 N 83rd St</t>
  </si>
  <si>
    <t>Longmont</t>
  </si>
  <si>
    <t>horsewiseinc@gmail.com</t>
  </si>
  <si>
    <t>Garbett</t>
  </si>
  <si>
    <t>14533 E Wagontrail Dr</t>
  </si>
  <si>
    <t>Aurora</t>
  </si>
  <si>
    <t>80015</t>
  </si>
  <si>
    <t>lauren_turner_12@hotmail.com</t>
  </si>
  <si>
    <t>Alessandra</t>
  </si>
  <si>
    <t>Donev</t>
  </si>
  <si>
    <t>3372 Dryden Pl</t>
  </si>
  <si>
    <t>Mead</t>
  </si>
  <si>
    <t>80542</t>
  </si>
  <si>
    <t>amfdressage@icloud.com</t>
  </si>
  <si>
    <t>Wilson</t>
  </si>
  <si>
    <t>807 Hyde Merritt Rd</t>
  </si>
  <si>
    <t>cbailey0507@gmail.com</t>
  </si>
  <si>
    <t>Kathy</t>
  </si>
  <si>
    <t>Nelms</t>
  </si>
  <si>
    <t>802 W Broadway RR#4</t>
  </si>
  <si>
    <t>DNKKathy@aol.com</t>
  </si>
  <si>
    <t>McClellan</t>
  </si>
  <si>
    <t>50 19th Ave #28</t>
  </si>
  <si>
    <t>80501</t>
  </si>
  <si>
    <t>joe.mcclellan@gmail.com</t>
  </si>
  <si>
    <t>O</t>
  </si>
  <si>
    <t>Diana</t>
  </si>
  <si>
    <t>Gore</t>
  </si>
  <si>
    <t>800 White River Ave</t>
  </si>
  <si>
    <t>gorerifle@gmail.com</t>
  </si>
  <si>
    <t xml:space="preserve">L1 2025 </t>
  </si>
  <si>
    <t>Laurie</t>
  </si>
  <si>
    <t>2899 CR 233</t>
  </si>
  <si>
    <t>Lvagneur@farmersagent.com</t>
  </si>
  <si>
    <t>Cindy</t>
  </si>
  <si>
    <t>Petersen</t>
  </si>
  <si>
    <t>1280 12 2/10 Rd</t>
  </si>
  <si>
    <t>Loma</t>
  </si>
  <si>
    <t>81524</t>
  </si>
  <si>
    <t>cindysmemories2012@gmail.com</t>
  </si>
  <si>
    <t>970-210-9000</t>
  </si>
  <si>
    <t>Tod</t>
  </si>
  <si>
    <t>Linstroth</t>
  </si>
  <si>
    <t>Box 5060 140 Mustang Rd</t>
  </si>
  <si>
    <t>Edwards</t>
  </si>
  <si>
    <t>81632</t>
  </si>
  <si>
    <t>TBLinstroth@michaelbest.com</t>
  </si>
  <si>
    <t>608-628-2100</t>
  </si>
  <si>
    <t>Santostefano</t>
  </si>
  <si>
    <t>4900 Lone Pine Drive</t>
  </si>
  <si>
    <t>callmeishmael2000@comcast.net</t>
  </si>
  <si>
    <t>Tackett</t>
  </si>
  <si>
    <t>Manney</t>
  </si>
  <si>
    <t>21814 ecr 1510 Mangum</t>
  </si>
  <si>
    <t>Magnum</t>
  </si>
  <si>
    <t>OK</t>
  </si>
  <si>
    <t>73554</t>
  </si>
  <si>
    <t>tackett.manney@icloud.com</t>
  </si>
  <si>
    <t>Curtis</t>
  </si>
  <si>
    <t>Conklin</t>
  </si>
  <si>
    <t>PO Box 255</t>
  </si>
  <si>
    <t>cdconklin3@gmail.com</t>
  </si>
  <si>
    <t>Kristi</t>
  </si>
  <si>
    <t>Street</t>
  </si>
  <si>
    <t>305 Whitney Bay</t>
  </si>
  <si>
    <t>tomkrisstreet@hotmail.com</t>
  </si>
  <si>
    <t>Matt</t>
  </si>
  <si>
    <t>Grosjean</t>
  </si>
  <si>
    <t>1489 N Castlewood Canyon Rd</t>
  </si>
  <si>
    <t>matt@trufirerange.com</t>
  </si>
  <si>
    <t>Owl Creek Performance Horses</t>
  </si>
  <si>
    <t>10257 N CR 17</t>
  </si>
  <si>
    <t>miriam.b.altman@gmail.com</t>
  </si>
  <si>
    <t>68-146 Akule St.</t>
  </si>
  <si>
    <t>Waialua</t>
  </si>
  <si>
    <t>HI</t>
  </si>
  <si>
    <t>96791</t>
  </si>
  <si>
    <t>smithandflavin@sfequine.com</t>
  </si>
  <si>
    <t>Vaqueros Venture</t>
  </si>
  <si>
    <t>86A Ranch Place</t>
  </si>
  <si>
    <t>Pagosa Springs</t>
  </si>
  <si>
    <t>sbshorses@gmail.com</t>
  </si>
  <si>
    <t>Leslie</t>
  </si>
  <si>
    <t>Manley</t>
  </si>
  <si>
    <t>5091 CR W</t>
  </si>
  <si>
    <t>Lindon</t>
  </si>
  <si>
    <t>80740</t>
  </si>
  <si>
    <t>lkmanley@hlmranch.com</t>
  </si>
  <si>
    <t>Brandi</t>
  </si>
  <si>
    <t>Habigharst</t>
  </si>
  <si>
    <t>22624 CR 39</t>
  </si>
  <si>
    <t>bjmoser14@gmail.com</t>
  </si>
  <si>
    <t>John</t>
  </si>
  <si>
    <t>(806) 422-0495</t>
  </si>
  <si>
    <t>McKenzie</t>
  </si>
  <si>
    <t>Siebers</t>
  </si>
  <si>
    <t>39306 CR 79</t>
  </si>
  <si>
    <t>Briggsdale</t>
  </si>
  <si>
    <t>80611</t>
  </si>
  <si>
    <t>kenzie_bern@yahoo.com</t>
  </si>
  <si>
    <t>(970) 130-4968</t>
  </si>
  <si>
    <t>Lily</t>
  </si>
  <si>
    <t>Redden</t>
  </si>
  <si>
    <t>4058 CR 730</t>
  </si>
  <si>
    <t>Gunnison</t>
  </si>
  <si>
    <t>81230</t>
  </si>
  <si>
    <t>reddenlj20@gmail.com</t>
  </si>
  <si>
    <t>(970) 306-9015</t>
  </si>
  <si>
    <t>Lauby</t>
  </si>
  <si>
    <t>4716 E COUNTY RD 40</t>
  </si>
  <si>
    <t>rglauby@gmail.com</t>
  </si>
  <si>
    <t>(970) 481-1041</t>
  </si>
  <si>
    <t>Gace</t>
  </si>
  <si>
    <t>Forbes</t>
  </si>
  <si>
    <t>278 Pine Road</t>
  </si>
  <si>
    <t>Golden</t>
  </si>
  <si>
    <t>80403</t>
  </si>
  <si>
    <t>graceforbs13@gmail.com</t>
  </si>
  <si>
    <t>(720) 556-4856</t>
  </si>
  <si>
    <t>Dreman</t>
  </si>
  <si>
    <t>13013 county road 86</t>
  </si>
  <si>
    <t>Peirce</t>
  </si>
  <si>
    <t>80650</t>
  </si>
  <si>
    <t>ttsd23@aol.com</t>
  </si>
  <si>
    <t>(970) 590-2197</t>
  </si>
  <si>
    <t>Mikenzie</t>
  </si>
  <si>
    <t>Crystal</t>
  </si>
  <si>
    <t>Alisha</t>
  </si>
  <si>
    <t>Guard</t>
  </si>
  <si>
    <t>16058 Azalia</t>
  </si>
  <si>
    <t>Parker</t>
  </si>
  <si>
    <t>80134</t>
  </si>
  <si>
    <t>alisha@ag-equestrian.com</t>
  </si>
  <si>
    <t>Madison</t>
  </si>
  <si>
    <t>Everett-Martinez</t>
  </si>
  <si>
    <t>105 Starbuck Circle</t>
  </si>
  <si>
    <t>Salida</t>
  </si>
  <si>
    <t>81281</t>
  </si>
  <si>
    <t>madison.everett21@gmail.com</t>
  </si>
  <si>
    <t>Hans</t>
  </si>
  <si>
    <t>Ocken</t>
  </si>
  <si>
    <t>10282 Dowdle Drive</t>
  </si>
  <si>
    <t>hansocken@gmail.com</t>
  </si>
  <si>
    <t>Megan</t>
  </si>
  <si>
    <t>Jackson</t>
  </si>
  <si>
    <t>3775 36th Ln</t>
  </si>
  <si>
    <t>Avondale</t>
  </si>
  <si>
    <t>81022</t>
  </si>
  <si>
    <t>samantha@ervinranch.com</t>
  </si>
  <si>
    <t>Fawn</t>
  </si>
  <si>
    <t>McCraig</t>
  </si>
  <si>
    <t>Delaney</t>
  </si>
  <si>
    <t>Pagliotti</t>
  </si>
  <si>
    <t>16506 A N.C. Road 7</t>
  </si>
  <si>
    <t>x</t>
  </si>
  <si>
    <t>Alena</t>
  </si>
  <si>
    <t>Tracy</t>
  </si>
  <si>
    <t>5601 Troyer DR</t>
  </si>
  <si>
    <t>82007</t>
  </si>
  <si>
    <t>720-984-9654</t>
  </si>
  <si>
    <t>Guy</t>
  </si>
  <si>
    <t>Tannehill</t>
  </si>
  <si>
    <t>26619 Weld County Road 76</t>
  </si>
  <si>
    <t>debbie@debbietannehillrealestate.com</t>
  </si>
  <si>
    <t>970-567-8215</t>
  </si>
  <si>
    <t>Steele</t>
  </si>
  <si>
    <t>Scruggs</t>
  </si>
  <si>
    <t>5624 Highview Drive</t>
  </si>
  <si>
    <t>jwscruggsjr@gmail.com</t>
  </si>
  <si>
    <t>(720) 233-5156</t>
  </si>
  <si>
    <t>Clay</t>
  </si>
  <si>
    <t>Kinnison</t>
  </si>
  <si>
    <t>55052 CR 95</t>
  </si>
  <si>
    <t>Grover</t>
  </si>
  <si>
    <t>80729</t>
  </si>
  <si>
    <t>clayjkinnison@live.com</t>
  </si>
  <si>
    <t>(970) 590-6941</t>
  </si>
  <si>
    <t>Candice</t>
  </si>
  <si>
    <t>Halligan</t>
  </si>
  <si>
    <t>6453 County Road 210</t>
  </si>
  <si>
    <t>Pine Bluffs</t>
  </si>
  <si>
    <t>82082</t>
  </si>
  <si>
    <t>candicehalligan83@gmail.com</t>
  </si>
  <si>
    <t>(307) 630-4160</t>
  </si>
  <si>
    <t>Garlock</t>
  </si>
  <si>
    <t>330 Sunset Dr.</t>
  </si>
  <si>
    <t>La Salle</t>
  </si>
  <si>
    <t>egarlock9812@gmail.com</t>
  </si>
  <si>
    <t>(707) 328-9783</t>
  </si>
  <si>
    <t>Fraizier</t>
  </si>
  <si>
    <t>14014 CR 20</t>
  </si>
  <si>
    <t>Whitney</t>
  </si>
  <si>
    <t>Clarahan</t>
  </si>
  <si>
    <t>4408 John F Kennedy Pkwy</t>
  </si>
  <si>
    <t>whitneyclarahan11@gmail.com</t>
  </si>
  <si>
    <t>(920) 949-1861</t>
  </si>
  <si>
    <t>Richard</t>
  </si>
  <si>
    <t>Boatwight</t>
  </si>
  <si>
    <t>407 North Weston St</t>
  </si>
  <si>
    <t>Fountain Inn</t>
  </si>
  <si>
    <t>SC</t>
  </si>
  <si>
    <t>29644</t>
  </si>
  <si>
    <t>boatwright.richard@yahoo.com</t>
  </si>
  <si>
    <t>(404) 403-8880</t>
  </si>
  <si>
    <t>Drew</t>
  </si>
  <si>
    <t>Baseggio</t>
  </si>
  <si>
    <t>9307 CR 35</t>
  </si>
  <si>
    <t>Atwood</t>
  </si>
  <si>
    <t>80722</t>
  </si>
  <si>
    <t>amybaseggio@msn.com</t>
  </si>
  <si>
    <t>Abby</t>
  </si>
  <si>
    <t>Altwine</t>
  </si>
  <si>
    <t>925 JCR 29</t>
  </si>
  <si>
    <t>Walden</t>
  </si>
  <si>
    <t>80480</t>
  </si>
  <si>
    <t>altwinejustin@gmail.com</t>
  </si>
  <si>
    <t>(970) 761-3683</t>
  </si>
  <si>
    <t>Alexis</t>
  </si>
  <si>
    <t>Spencer</t>
  </si>
  <si>
    <t>685 Apex Trail</t>
  </si>
  <si>
    <t>Ault</t>
  </si>
  <si>
    <t>80610</t>
  </si>
  <si>
    <t>720-979-1818</t>
  </si>
  <si>
    <t>Ellen</t>
  </si>
  <si>
    <t>Fuller</t>
  </si>
  <si>
    <t>86A Ranch Pl</t>
  </si>
  <si>
    <t>Ellenmcquade1@gmail.com</t>
  </si>
  <si>
    <t>Kaitlyn Grace</t>
  </si>
  <si>
    <t>Story Brown</t>
  </si>
  <si>
    <t>9330 N County Rd 15</t>
  </si>
  <si>
    <t>mindystory@me.com</t>
  </si>
  <si>
    <t>(720) 987-8411</t>
  </si>
  <si>
    <t>Steve</t>
  </si>
  <si>
    <t>Mantle</t>
  </si>
  <si>
    <t>Andy</t>
  </si>
  <si>
    <t>Kurtz</t>
  </si>
  <si>
    <t>Collins</t>
  </si>
  <si>
    <t>Lexi</t>
  </si>
  <si>
    <t>Hock</t>
  </si>
  <si>
    <t>lexihock15@gmail.com</t>
  </si>
  <si>
    <t>Kayla Lynn</t>
  </si>
  <si>
    <t>Gibson</t>
  </si>
  <si>
    <t>Isaiah</t>
  </si>
  <si>
    <t>Chavez</t>
  </si>
  <si>
    <t>40 miles west hwy 555</t>
  </si>
  <si>
    <t>Raton</t>
  </si>
  <si>
    <t>NM</t>
  </si>
  <si>
    <t>87740</t>
  </si>
  <si>
    <t>isaiahchavez90@gmail.com</t>
  </si>
  <si>
    <t>(505) 225-0614</t>
  </si>
  <si>
    <t>L1 2024</t>
  </si>
  <si>
    <t>1908 79th Avenue</t>
  </si>
  <si>
    <t>Greeley</t>
  </si>
  <si>
    <t>80634</t>
  </si>
  <si>
    <t>wilsonmarketingranch@gmail.com</t>
  </si>
  <si>
    <t xml:space="preserve">Quinten </t>
  </si>
  <si>
    <t>Fletcher</t>
  </si>
  <si>
    <t>PO Box 1204</t>
  </si>
  <si>
    <t>qjfletcher05@gmail.com</t>
  </si>
  <si>
    <t>Dally</t>
  </si>
  <si>
    <t>627 CR 29 E</t>
  </si>
  <si>
    <t>dallymfletcher@gmail.com</t>
  </si>
  <si>
    <t>Chase</t>
  </si>
  <si>
    <t>Reed</t>
  </si>
  <si>
    <t>23223 CR 13</t>
  </si>
  <si>
    <t>Weldona</t>
  </si>
  <si>
    <t>80653</t>
  </si>
  <si>
    <t>Careedperformancehorses@gmail.com</t>
  </si>
  <si>
    <t>Badje</t>
  </si>
  <si>
    <t>4389 610th Road</t>
  </si>
  <si>
    <t>Hay Springs</t>
  </si>
  <si>
    <t>69347</t>
  </si>
  <si>
    <t>jdbadje@gmail.com</t>
  </si>
  <si>
    <t>mgood@crowleyfleck.com</t>
  </si>
  <si>
    <t>Tanya</t>
  </si>
  <si>
    <t>6fletchers@gmail.com</t>
  </si>
  <si>
    <t>Laura</t>
  </si>
  <si>
    <t>Clevenger</t>
  </si>
  <si>
    <t>39013 CR 66</t>
  </si>
  <si>
    <t>Crook</t>
  </si>
  <si>
    <t>80726</t>
  </si>
  <si>
    <t>lc_horsenut@hotmail.com</t>
  </si>
  <si>
    <t>970-571-5764</t>
  </si>
  <si>
    <t>Jocie</t>
  </si>
  <si>
    <t>Bowen</t>
  </si>
  <si>
    <t>6307 Robert Parker Trl</t>
  </si>
  <si>
    <t>krnabtu82@gmail.com</t>
  </si>
  <si>
    <t xml:space="preserve">Nicole </t>
  </si>
  <si>
    <t>Westfall</t>
  </si>
  <si>
    <t>(719) 351-0051</t>
  </si>
  <si>
    <t>Natalie</t>
  </si>
  <si>
    <t>Unger</t>
  </si>
  <si>
    <t>46921 County Road 33</t>
  </si>
  <si>
    <t>Nunn</t>
  </si>
  <si>
    <t>80648</t>
  </si>
  <si>
    <t>nunger1005@gmail.com</t>
  </si>
  <si>
    <t>(719) 213-9869</t>
  </si>
  <si>
    <t>Shannon</t>
  </si>
  <si>
    <t>10257 North county road 17</t>
  </si>
  <si>
    <t>Fort collins</t>
  </si>
  <si>
    <t>thorntonshannon129@gmail.com</t>
  </si>
  <si>
    <t>(267) 966-8378</t>
  </si>
  <si>
    <t>Ashlynn</t>
  </si>
  <si>
    <t>Ruppel</t>
  </si>
  <si>
    <t>15020 cr 11</t>
  </si>
  <si>
    <t>Fort morgan</t>
  </si>
  <si>
    <t>80701</t>
  </si>
  <si>
    <t>careedperformancehorses@gmail.com</t>
  </si>
  <si>
    <t>(970) 768-3988</t>
  </si>
  <si>
    <t>Ralston</t>
  </si>
  <si>
    <t>12228 58 Road</t>
  </si>
  <si>
    <t>megorita@aol.com</t>
  </si>
  <si>
    <t>(970) 270-6632</t>
  </si>
  <si>
    <t>Meg</t>
  </si>
  <si>
    <t xml:space="preserve">Morgan </t>
  </si>
  <si>
    <t>Pennington</t>
  </si>
  <si>
    <t>1054 South Perry Park Rd</t>
  </si>
  <si>
    <t>morganvmoreno@gmail.com</t>
  </si>
  <si>
    <t>(512) 869-9711</t>
  </si>
  <si>
    <t>Ali</t>
  </si>
  <si>
    <t>Olson</t>
  </si>
  <si>
    <t>261 Choctaw Rd</t>
  </si>
  <si>
    <t>Lyons</t>
  </si>
  <si>
    <t>80540</t>
  </si>
  <si>
    <t>thunderinghemi.olson@hotmail.com</t>
  </si>
  <si>
    <t>(720) 353-8224</t>
  </si>
  <si>
    <t>Adley</t>
  </si>
  <si>
    <t>Larralde</t>
  </si>
  <si>
    <t>14245 CR 26</t>
  </si>
  <si>
    <t>trishaalarralde@gmail.com</t>
  </si>
  <si>
    <t>(970) 313-6693</t>
  </si>
  <si>
    <t xml:space="preserve">Brooke </t>
  </si>
  <si>
    <t>Foreman</t>
  </si>
  <si>
    <t>13681 County Road 12</t>
  </si>
  <si>
    <t>Merino</t>
  </si>
  <si>
    <t>80541</t>
  </si>
  <si>
    <t>brookegarywagner@gmail.com</t>
  </si>
  <si>
    <t>(970) 466-2229</t>
  </si>
  <si>
    <t xml:space="preserve">Gracie </t>
  </si>
  <si>
    <t>Abrahamson</t>
  </si>
  <si>
    <t>21871 County Road 44</t>
  </si>
  <si>
    <t>mrs.slabrahamson@yahoo.com</t>
  </si>
  <si>
    <t>(970) 571-0142</t>
  </si>
  <si>
    <t>Gabriel</t>
  </si>
  <si>
    <t>Wigington</t>
  </si>
  <si>
    <t>3534 Willett Dr Apt 618</t>
  </si>
  <si>
    <t>Laramie</t>
  </si>
  <si>
    <t>82072</t>
  </si>
  <si>
    <t xml:space="preserve">b.gabe.wig@gmail.com </t>
  </si>
  <si>
    <t>Lanae</t>
  </si>
  <si>
    <t>Elam</t>
  </si>
  <si>
    <t>5824 Aspen View Ct</t>
  </si>
  <si>
    <t>lanae.elam@gmail.com</t>
  </si>
  <si>
    <t>Haylee</t>
  </si>
  <si>
    <t>Abrigo-Baker</t>
  </si>
  <si>
    <t>PO Box 901</t>
  </si>
  <si>
    <t>sabrigo@gmail.com</t>
  </si>
  <si>
    <t>Koby</t>
  </si>
  <si>
    <t>Jenkins</t>
  </si>
  <si>
    <t>5501 N US Hwy 87</t>
  </si>
  <si>
    <t>Big Springs</t>
  </si>
  <si>
    <t>TX</t>
  </si>
  <si>
    <t>79720</t>
  </si>
  <si>
    <t>Klproctorj@gmail.com</t>
  </si>
  <si>
    <t>Autumn</t>
  </si>
  <si>
    <t>Wright</t>
  </si>
  <si>
    <t>701 Western Hills Blvd</t>
  </si>
  <si>
    <t>Ashley</t>
  </si>
  <si>
    <t>Stroh</t>
  </si>
  <si>
    <t>28150 N Alma School Pkwy</t>
  </si>
  <si>
    <t>Scottsdale</t>
  </si>
  <si>
    <t>AZ</t>
  </si>
  <si>
    <t>?5262</t>
  </si>
  <si>
    <t>ashley@strohph.com</t>
  </si>
  <si>
    <t xml:space="preserve">Zach </t>
  </si>
  <si>
    <t>Nicely</t>
  </si>
  <si>
    <t>130 Williams St #B</t>
  </si>
  <si>
    <t>blazingtrails19@gmail.com</t>
  </si>
  <si>
    <t>Martin</t>
  </si>
  <si>
    <t>302 Urban Prairie St Unit A</t>
  </si>
  <si>
    <t>martinK102003@yahoo.com</t>
  </si>
  <si>
    <t>Christine</t>
  </si>
  <si>
    <t>Hughes</t>
  </si>
  <si>
    <t>PO Box 146</t>
  </si>
  <si>
    <t>cmjohnston36@gmail.com</t>
  </si>
  <si>
    <t>Harding</t>
  </si>
  <si>
    <t>101 Allis Ranch Rd</t>
  </si>
  <si>
    <t>gradyboysgal@aol.com</t>
  </si>
  <si>
    <t>Mary</t>
  </si>
  <si>
    <t>MARYFLETCHER721@gmail.com</t>
  </si>
  <si>
    <t>Roy</t>
  </si>
  <si>
    <t>Durbin</t>
  </si>
  <si>
    <t>3483 S. Cimmaron Way</t>
  </si>
  <si>
    <t>80014</t>
  </si>
  <si>
    <t>roy@roydurbin.com</t>
  </si>
  <si>
    <t>Brittany</t>
  </si>
  <si>
    <t>Curlee</t>
  </si>
  <si>
    <t>68 Camino Verde</t>
  </si>
  <si>
    <t>Corrales</t>
  </si>
  <si>
    <t>87048</t>
  </si>
  <si>
    <t>britcurlee@gmail.com</t>
  </si>
  <si>
    <t>Ben</t>
  </si>
  <si>
    <t>Buxton</t>
  </si>
  <si>
    <t>4629 Sedona Hills</t>
  </si>
  <si>
    <t>benbuxton@yahoo.com</t>
  </si>
  <si>
    <t xml:space="preserve">Heather </t>
  </si>
  <si>
    <t>Badley</t>
  </si>
  <si>
    <t>22805 CR 33</t>
  </si>
  <si>
    <t>heatherackerman1@gmail.com</t>
  </si>
  <si>
    <t>Angelica</t>
  </si>
  <si>
    <t>Santos</t>
  </si>
  <si>
    <t>1401 9th St Lot 11</t>
  </si>
  <si>
    <t>freesoulphotographs@gmail.com</t>
  </si>
  <si>
    <t>Patryck</t>
  </si>
  <si>
    <t>Minter</t>
  </si>
  <si>
    <t>689 Penhurst</t>
  </si>
  <si>
    <t>80504</t>
  </si>
  <si>
    <t>patryck@minterranchcompany.com</t>
  </si>
  <si>
    <t>Jodi</t>
  </si>
  <si>
    <t>Luft</t>
  </si>
  <si>
    <t>PO Box 1698</t>
  </si>
  <si>
    <t>Angel Fire</t>
  </si>
  <si>
    <t>87710</t>
  </si>
  <si>
    <t>sjqtrhorses@gmail.com</t>
  </si>
  <si>
    <t>Thompson</t>
  </si>
  <si>
    <t>8909 Christensen Rd</t>
  </si>
  <si>
    <t>rjspecht@hotmail.com</t>
  </si>
  <si>
    <t>Van Der Zwaag</t>
  </si>
  <si>
    <t>9745 Steeplechase Dr</t>
  </si>
  <si>
    <t>climberamanda@gmail.com</t>
  </si>
  <si>
    <t>303-249-5262</t>
  </si>
  <si>
    <t>2024 Free member</t>
  </si>
  <si>
    <t>Doug</t>
  </si>
  <si>
    <t>dzwaags@msn.com</t>
  </si>
  <si>
    <t>2024 free member</t>
  </si>
  <si>
    <t>Nancy</t>
  </si>
  <si>
    <t>Dufficy</t>
  </si>
  <si>
    <t>3617 County Road 106</t>
  </si>
  <si>
    <t>mammadufficy@gmail.com</t>
  </si>
  <si>
    <t>Joseph</t>
  </si>
  <si>
    <t>Hatch</t>
  </si>
  <si>
    <t>15646 Coleman Avenue</t>
  </si>
  <si>
    <t>grouchygringotrucking@gmail.com</t>
  </si>
  <si>
    <t>970-405-7700</t>
  </si>
  <si>
    <t>Radan</t>
  </si>
  <si>
    <t>Val</t>
  </si>
  <si>
    <t>Baker</t>
  </si>
  <si>
    <t>310188 County Road S</t>
  </si>
  <si>
    <t>MINATARE</t>
  </si>
  <si>
    <t>69356</t>
  </si>
  <si>
    <t>codykillgore@hotmail.com</t>
  </si>
  <si>
    <t>975 CR 29 E</t>
  </si>
  <si>
    <t>kenziehixon@yahoo.com</t>
  </si>
  <si>
    <t>Renee</t>
  </si>
  <si>
    <t>Moore</t>
  </si>
  <si>
    <t>23757 CO RD 70</t>
  </si>
  <si>
    <r>
      <rPr>
        <rFont val="Arial"/>
        <color rgb="FF000000"/>
        <sz val="14.0"/>
        <u/>
      </rPr>
      <t>moorerlynn@yahoo.co</t>
    </r>
    <r>
      <rPr>
        <rFont val="Arial"/>
        <color rgb="FF000000"/>
        <sz val="14.0"/>
      </rPr>
      <t>m</t>
    </r>
  </si>
  <si>
    <t>Justin</t>
  </si>
  <si>
    <t>Henderson</t>
  </si>
  <si>
    <t>9409 Michigan Street</t>
  </si>
  <si>
    <t>justin.henderson300@gmail.com</t>
  </si>
  <si>
    <t>Dill</t>
  </si>
  <si>
    <t>1160 SW Melinda Road</t>
  </si>
  <si>
    <t>tpdill@gmail.com</t>
  </si>
  <si>
    <t>970-234-7968</t>
  </si>
  <si>
    <t>Ashton</t>
  </si>
  <si>
    <t>Werth</t>
  </si>
  <si>
    <t xml:space="preserve">Laura </t>
  </si>
  <si>
    <t>16420 Timer Cove St</t>
  </si>
  <si>
    <t>laruacassiday@yahoo.com</t>
  </si>
  <si>
    <t>303-552-7005</t>
  </si>
  <si>
    <t>Julie</t>
  </si>
  <si>
    <t>Motley</t>
  </si>
  <si>
    <t>PO Box 1023</t>
  </si>
  <si>
    <t>julie.motley37@gmail.com</t>
  </si>
  <si>
    <t>303-901-0582</t>
  </si>
  <si>
    <t xml:space="preserve">Dianna </t>
  </si>
  <si>
    <t>Quintana</t>
  </si>
  <si>
    <t>17486 CR 84</t>
  </si>
  <si>
    <t>qquintana7q@hotmail.com</t>
  </si>
  <si>
    <t>Tane</t>
  </si>
  <si>
    <t>Leach</t>
  </si>
  <si>
    <t>1526 Reaves DR</t>
  </si>
  <si>
    <t>the4leachs@aol.com</t>
  </si>
  <si>
    <t>Johnston</t>
  </si>
  <si>
    <t>Sofia</t>
  </si>
  <si>
    <t>Dunworth</t>
  </si>
  <si>
    <t>1535 Dartford DR</t>
  </si>
  <si>
    <t>joshdunworth@hotmail.com</t>
  </si>
  <si>
    <t>Thea</t>
  </si>
  <si>
    <t>Kirkland</t>
  </si>
  <si>
    <t>1048 Comanche Trail</t>
  </si>
  <si>
    <t>Florissant</t>
  </si>
  <si>
    <t>81808</t>
  </si>
  <si>
    <t>jasonkirkland@me.com</t>
  </si>
  <si>
    <t>719-200-1808</t>
  </si>
  <si>
    <t>Teagan</t>
  </si>
  <si>
    <t>Vogelsang</t>
  </si>
  <si>
    <t>16796 Southwest Whitetail Lane</t>
  </si>
  <si>
    <t>Beaverton</t>
  </si>
  <si>
    <t>OR</t>
  </si>
  <si>
    <t>97007</t>
  </si>
  <si>
    <t>Tigger2020@frontier.com</t>
  </si>
  <si>
    <t>855 Schrage Way</t>
  </si>
  <si>
    <t>80534</t>
  </si>
  <si>
    <t>chelsea.reed83@gmail.com</t>
  </si>
  <si>
    <t>970-381-6820</t>
  </si>
  <si>
    <t xml:space="preserve">Piper </t>
  </si>
  <si>
    <t>20070 Saint Onge Rd</t>
  </si>
  <si>
    <t>piperjohner@gmail.com</t>
  </si>
  <si>
    <t>Bock</t>
  </si>
  <si>
    <t>13160 County rd 1</t>
  </si>
  <si>
    <t>Kit.paws@yahoo.com</t>
  </si>
  <si>
    <t>720-323-6648</t>
  </si>
  <si>
    <t xml:space="preserve">Jenni </t>
  </si>
  <si>
    <t>Fintelmann</t>
  </si>
  <si>
    <t>11982 Hwy 144</t>
  </si>
  <si>
    <t>jennifintelmann@gmail.com</t>
  </si>
  <si>
    <t>Ava</t>
  </si>
  <si>
    <t>Crowther</t>
  </si>
  <si>
    <t>985 Garnet St</t>
  </si>
  <si>
    <t>Broomfield</t>
  </si>
  <si>
    <t>80020</t>
  </si>
  <si>
    <t>ava.crowther88@gmail.com</t>
  </si>
  <si>
    <t xml:space="preserve">Crystal </t>
  </si>
  <si>
    <t>George</t>
  </si>
  <si>
    <t>3313 Lowell ln</t>
  </si>
  <si>
    <t>nmsranch@gmail.com</t>
  </si>
  <si>
    <t>Rolfe</t>
  </si>
  <si>
    <t>4956 Old Wagon Rd</t>
  </si>
  <si>
    <t>rolfetracy@gmail.com</t>
  </si>
  <si>
    <t>Culbertson</t>
  </si>
  <si>
    <t>574 E. 18th Street</t>
  </si>
  <si>
    <t>80631</t>
  </si>
  <si>
    <t>culb5@comcast.net</t>
  </si>
  <si>
    <t>David</t>
  </si>
  <si>
    <t>Kruse</t>
  </si>
  <si>
    <t>PO Box 4</t>
  </si>
  <si>
    <t>80402</t>
  </si>
  <si>
    <t>d.kruse.esq@gmail.com</t>
  </si>
  <si>
    <t>L1 2023</t>
  </si>
  <si>
    <t>Ervin</t>
  </si>
  <si>
    <t>Emma</t>
  </si>
  <si>
    <t>Valois</t>
  </si>
  <si>
    <t>300 North Star Loop</t>
  </si>
  <si>
    <t>emma.valois@icloud.com</t>
  </si>
  <si>
    <t>Stella</t>
  </si>
  <si>
    <t>Rajewski</t>
  </si>
  <si>
    <t>114 E. Nebraska</t>
  </si>
  <si>
    <t>jenniferkr81@gmail.com</t>
  </si>
  <si>
    <t>Sienna</t>
  </si>
  <si>
    <t>Moran</t>
  </si>
  <si>
    <t>5702 Bitterbush Way</t>
  </si>
  <si>
    <t>siennamoran20@gmail.com</t>
  </si>
  <si>
    <t xml:space="preserve">Karen </t>
  </si>
  <si>
    <t>Ruby</t>
  </si>
  <si>
    <t>12663 west 87th ave</t>
  </si>
  <si>
    <t>Arvada</t>
  </si>
  <si>
    <t>80005</t>
  </si>
  <si>
    <t>karenruby2007@gmail.com</t>
  </si>
  <si>
    <t>(303) 880-3115</t>
  </si>
  <si>
    <t xml:space="preserve">Sophia </t>
  </si>
  <si>
    <t>Haney</t>
  </si>
  <si>
    <t>296 reagan drive</t>
  </si>
  <si>
    <t>sophiahaney07@gmail.com</t>
  </si>
  <si>
    <t>(970) 786-6740</t>
  </si>
  <si>
    <t>Ralph</t>
  </si>
  <si>
    <t>Glenn</t>
  </si>
  <si>
    <t>ralphglenn@gmail.com</t>
  </si>
  <si>
    <t xml:space="preserve">Jadalynn </t>
  </si>
  <si>
    <t>Frasier</t>
  </si>
  <si>
    <t>14014 County Road 20</t>
  </si>
  <si>
    <t>Ft.Lupton</t>
  </si>
  <si>
    <t>jadalynnfrazier@icloud.com</t>
  </si>
  <si>
    <t>(720) 966-3864</t>
  </si>
  <si>
    <t>Micaiah</t>
  </si>
  <si>
    <t>(970) 396-7373</t>
  </si>
  <si>
    <t>36590 CR 43</t>
  </si>
  <si>
    <t>amanda.c.edgell@gmail.com</t>
  </si>
  <si>
    <t>L12023</t>
  </si>
  <si>
    <t>Danielle</t>
  </si>
  <si>
    <t>Volin</t>
  </si>
  <si>
    <t>234 Rocking H Dr.</t>
  </si>
  <si>
    <t>dvolin9@hotmail.com</t>
  </si>
  <si>
    <t>Paige</t>
  </si>
  <si>
    <t>Finegan</t>
  </si>
  <si>
    <t>43682 WCR 42.5</t>
  </si>
  <si>
    <t>Orchard</t>
  </si>
  <si>
    <t>80649</t>
  </si>
  <si>
    <t>paigefinegan@gmail.com</t>
  </si>
  <si>
    <t>Nicole</t>
  </si>
  <si>
    <t>Rose</t>
  </si>
  <si>
    <t>1815 Central Park Dr</t>
  </si>
  <si>
    <t>choosenew@me.com</t>
  </si>
  <si>
    <t>Jennifer</t>
  </si>
  <si>
    <t>114 E Nebraska</t>
  </si>
  <si>
    <t>80512</t>
  </si>
  <si>
    <t>Keira</t>
  </si>
  <si>
    <t>Plymale</t>
  </si>
  <si>
    <t>921 Randall Ave</t>
  </si>
  <si>
    <t>krplymale@gmail.com</t>
  </si>
  <si>
    <t>Dianne</t>
  </si>
  <si>
    <t>McCraken</t>
  </si>
  <si>
    <t>131 CR 69</t>
  </si>
  <si>
    <t>Fleming</t>
  </si>
  <si>
    <t>80728</t>
  </si>
  <si>
    <t>diamond6363@gmail.com</t>
  </si>
  <si>
    <t>Maren</t>
  </si>
  <si>
    <t>Manuello</t>
  </si>
  <si>
    <t>26150 CR 385</t>
  </si>
  <si>
    <t>mmranch80@gmail.com</t>
  </si>
  <si>
    <t>Hunter</t>
  </si>
  <si>
    <t>19723 CR M</t>
  </si>
  <si>
    <t>Fort Morgan</t>
  </si>
  <si>
    <t>megan.hunter@viaero.com</t>
  </si>
  <si>
    <t>Curt</t>
  </si>
  <si>
    <t>Hoksbergen</t>
  </si>
  <si>
    <t>10059 Rd 73</t>
  </si>
  <si>
    <t>Bayard</t>
  </si>
  <si>
    <t>69334</t>
  </si>
  <si>
    <t>hoksbergencurt@gmail.com</t>
  </si>
  <si>
    <t>Caitlyn</t>
  </si>
  <si>
    <t>Hesseltine</t>
  </si>
  <si>
    <t>115 Montalto Dr #15D</t>
  </si>
  <si>
    <t>caitlynhesseltine@gmail.com</t>
  </si>
  <si>
    <t>Robbin</t>
  </si>
  <si>
    <t>Randall</t>
  </si>
  <si>
    <t>3967 451st trail</t>
  </si>
  <si>
    <t>robbin.randall96@gmail.com</t>
  </si>
  <si>
    <t>(262)993-5190</t>
  </si>
  <si>
    <t>Jaime</t>
  </si>
  <si>
    <t>Deherrera</t>
  </si>
  <si>
    <t>35 N Pryor St</t>
  </si>
  <si>
    <t>Byron</t>
  </si>
  <si>
    <t>82412</t>
  </si>
  <si>
    <t>sweetdreamsrebel@yahoo.com</t>
  </si>
  <si>
    <t>Jo Ann</t>
  </si>
  <si>
    <t>Conter</t>
  </si>
  <si>
    <t>11511 CR 31</t>
  </si>
  <si>
    <t>joconter@icloud.com</t>
  </si>
  <si>
    <t>Berbee</t>
  </si>
  <si>
    <t>19306 CR N</t>
  </si>
  <si>
    <t>Ft Morgan</t>
  </si>
  <si>
    <t>tberbee@msn.com</t>
  </si>
  <si>
    <t xml:space="preserve">Kaci </t>
  </si>
  <si>
    <t>Grimes</t>
  </si>
  <si>
    <t>2366 Shoreside DR</t>
  </si>
  <si>
    <t>80613</t>
  </si>
  <si>
    <t>kaci.marie24@gmail.com</t>
  </si>
  <si>
    <t>Theresa</t>
  </si>
  <si>
    <t>Shoda</t>
  </si>
  <si>
    <t>1211 E. Dove Creek Drive</t>
  </si>
  <si>
    <t>Pueblo West</t>
  </si>
  <si>
    <t>81007</t>
  </si>
  <si>
    <t>theresa@menogroupllc.com</t>
  </si>
  <si>
    <t>Thomas</t>
  </si>
  <si>
    <t>Kelly</t>
  </si>
  <si>
    <t>5371 Niwot Rd</t>
  </si>
  <si>
    <t>Kelly0512@aol.com</t>
  </si>
  <si>
    <t>Griffith</t>
  </si>
  <si>
    <t>Audrey</t>
  </si>
  <si>
    <t>PO Box 550</t>
  </si>
  <si>
    <t>Castle Rock</t>
  </si>
  <si>
    <t>80104</t>
  </si>
  <si>
    <t>lgriffith@brwncald.com</t>
  </si>
  <si>
    <t>Ciana-Rand</t>
  </si>
  <si>
    <t>Me?</t>
  </si>
  <si>
    <t>Bonn</t>
  </si>
  <si>
    <t>Wheatley</t>
  </si>
  <si>
    <t>Jill</t>
  </si>
  <si>
    <t>Cook</t>
  </si>
  <si>
    <t>4780 CR 5</t>
  </si>
  <si>
    <t>cookcowhorses@gmail.com</t>
  </si>
  <si>
    <t>Kaylin</t>
  </si>
  <si>
    <t>Markson</t>
  </si>
  <si>
    <t>17100 Old Ranch Rd</t>
  </si>
  <si>
    <t>Canyon</t>
  </si>
  <si>
    <t>79015</t>
  </si>
  <si>
    <t>k.markson@comcast.net</t>
  </si>
  <si>
    <t>Kevin</t>
  </si>
  <si>
    <t>Oliver</t>
  </si>
  <si>
    <t>kevinoliver@snafflebit.net</t>
  </si>
  <si>
    <t>Tara</t>
  </si>
  <si>
    <t>Kloberdanz</t>
  </si>
  <si>
    <t>25542 CR 46</t>
  </si>
  <si>
    <t>Iliff</t>
  </si>
  <si>
    <t>80736</t>
  </si>
  <si>
    <t>hi.tara18@gmail.com</t>
  </si>
  <si>
    <t xml:space="preserve">Avery </t>
  </si>
  <si>
    <t>Genova</t>
  </si>
  <si>
    <t>28845 Manning Rd</t>
  </si>
  <si>
    <t>sgenova85@gmail.com</t>
  </si>
  <si>
    <t>Westerman</t>
  </si>
  <si>
    <t>2020 Dunn Avenue, Apt #3/C</t>
  </si>
  <si>
    <t>mharris1994c@gmail.com</t>
  </si>
  <si>
    <t>Clara</t>
  </si>
  <si>
    <t>Kite</t>
  </si>
  <si>
    <t>529 boxelder rd</t>
  </si>
  <si>
    <t>Glenrock</t>
  </si>
  <si>
    <t>82637</t>
  </si>
  <si>
    <t>Ranchgirl.pathfinder@gmail.com</t>
  </si>
  <si>
    <t xml:space="preserve">Ashlyn </t>
  </si>
  <si>
    <t>Wall</t>
  </si>
  <si>
    <t>2132 Mainsail Drive</t>
  </si>
  <si>
    <t>ashlynnicole21w@gmail.com</t>
  </si>
  <si>
    <t>(925)344-1384</t>
  </si>
  <si>
    <t>Pancost</t>
  </si>
  <si>
    <t>12733 CR 76</t>
  </si>
  <si>
    <t>jessica.pancost@gmail.com</t>
  </si>
  <si>
    <t>Monique</t>
  </si>
  <si>
    <t>Potts</t>
  </si>
  <si>
    <t>659 stonebridge dr</t>
  </si>
  <si>
    <t>moniquepotts@hotmail.com</t>
  </si>
  <si>
    <t>Ross</t>
  </si>
  <si>
    <t>833 South Boulder Rd Gaia Bldg G</t>
  </si>
  <si>
    <t>Louisville</t>
  </si>
  <si>
    <t>80027</t>
  </si>
  <si>
    <t>jules7752@aol.com</t>
  </si>
  <si>
    <t>Seele</t>
  </si>
  <si>
    <t>9264 County Road 55</t>
  </si>
  <si>
    <t>Keensburg</t>
  </si>
  <si>
    <t>80643</t>
  </si>
  <si>
    <t>sarah.amber1192@gmail.com</t>
  </si>
  <si>
    <t>970-619-1334</t>
  </si>
  <si>
    <t>Garret</t>
  </si>
  <si>
    <t>Jason</t>
  </si>
  <si>
    <t>Donna</t>
  </si>
  <si>
    <t>Hazel</t>
  </si>
  <si>
    <t>2850 Utica St</t>
  </si>
  <si>
    <t>Denver</t>
  </si>
  <si>
    <t>80212</t>
  </si>
  <si>
    <t>donnakrug30@gmail.com</t>
  </si>
  <si>
    <t>720-290-3703</t>
  </si>
  <si>
    <t>Ann</t>
  </si>
  <si>
    <t>Hards</t>
  </si>
  <si>
    <t>1415 CR 36</t>
  </si>
  <si>
    <t>hardsa@aol.com</t>
  </si>
  <si>
    <t>Kay</t>
  </si>
  <si>
    <t>Kay@coyoteridgeherefords.com</t>
  </si>
  <si>
    <t>Banister</t>
  </si>
  <si>
    <t>8181 E. 136 Ave</t>
  </si>
  <si>
    <t>karen@whiteharvestfarms.com</t>
  </si>
  <si>
    <t>303-594-1533</t>
  </si>
  <si>
    <t>marc@whiteharvestfarms.com</t>
  </si>
  <si>
    <t>12933 Appaloosa</t>
  </si>
  <si>
    <t>80545</t>
  </si>
  <si>
    <t>foothillforge@gmail.com</t>
  </si>
  <si>
    <t>Ip</t>
  </si>
  <si>
    <t xml:space="preserve">Kimberly </t>
  </si>
  <si>
    <t>Clinco</t>
  </si>
  <si>
    <t>1907 Snowmass Cr Rd</t>
  </si>
  <si>
    <t>Snowmass</t>
  </si>
  <si>
    <t>81654</t>
  </si>
  <si>
    <t>kim@rmas.co</t>
  </si>
  <si>
    <t>970-376-3093</t>
  </si>
  <si>
    <t>Conrad</t>
  </si>
  <si>
    <t>Swanson</t>
  </si>
  <si>
    <t>701 E. CR 76</t>
  </si>
  <si>
    <t>conrad.swanson@gmail.com</t>
  </si>
  <si>
    <t>3759 CR 7</t>
  </si>
  <si>
    <t>ava.ponytailfarm@gmail.com</t>
  </si>
  <si>
    <t>720-827-5447</t>
  </si>
  <si>
    <t>16494 Ledyard Rd S</t>
  </si>
  <si>
    <t>Platteville</t>
  </si>
  <si>
    <t>80651</t>
  </si>
  <si>
    <t>mdorner75@msn.com</t>
  </si>
  <si>
    <t>Patricia</t>
  </si>
  <si>
    <t>Ruwoldt</t>
  </si>
  <si>
    <t>6403 Jones Rd</t>
  </si>
  <si>
    <t>Larkspur</t>
  </si>
  <si>
    <t>80118</t>
  </si>
  <si>
    <t>patty@rhmarketing.biz</t>
  </si>
  <si>
    <t>Lukas</t>
  </si>
  <si>
    <t>19037 WRC 74</t>
  </si>
  <si>
    <t>whoalaurielynn@aol.com</t>
  </si>
  <si>
    <t>Ann Marie</t>
  </si>
  <si>
    <t>Doolittle</t>
  </si>
  <si>
    <t>849 Schrage Way</t>
  </si>
  <si>
    <t>amdoolittle849@gmail.com</t>
  </si>
  <si>
    <t>Devin</t>
  </si>
  <si>
    <t>Nerone</t>
  </si>
  <si>
    <t>12498 CR 74</t>
  </si>
  <si>
    <t>ride.skate04@gmail.com</t>
  </si>
  <si>
    <t>Leigh Ann</t>
  </si>
  <si>
    <t>Roberts</t>
  </si>
  <si>
    <t>79491 428 Rd</t>
  </si>
  <si>
    <t>Callaway</t>
  </si>
  <si>
    <t>68825</t>
  </si>
  <si>
    <t>lparr0864@gmail.com</t>
  </si>
  <si>
    <t>Alt</t>
  </si>
  <si>
    <t>17595 Gold Dust Tr</t>
  </si>
  <si>
    <t>Fountain</t>
  </si>
  <si>
    <t>80817</t>
  </si>
  <si>
    <t>jessalt@gmail.com</t>
  </si>
  <si>
    <t xml:space="preserve">Nancy </t>
  </si>
  <si>
    <t>Hyland</t>
  </si>
  <si>
    <t>PO BOX 44</t>
  </si>
  <si>
    <t>Severance</t>
  </si>
  <si>
    <t>80546</t>
  </si>
  <si>
    <t>nldhyland@yahoo.com</t>
  </si>
  <si>
    <t>Erika</t>
  </si>
  <si>
    <t>Langbaum</t>
  </si>
  <si>
    <t>1612 Leesdale Ct</t>
  </si>
  <si>
    <t>langbaumerika@gmail.com</t>
  </si>
  <si>
    <t>Amber</t>
  </si>
  <si>
    <t>Gurley</t>
  </si>
  <si>
    <t>49159 CR 31</t>
  </si>
  <si>
    <t>irishdncer1982@gmail.com</t>
  </si>
  <si>
    <t>Josephine</t>
  </si>
  <si>
    <t>josephinegurley@gmail.com</t>
  </si>
  <si>
    <t>970-389-1093</t>
  </si>
  <si>
    <t>Jordynn</t>
  </si>
  <si>
    <t>Kellogg</t>
  </si>
  <si>
    <t>2740 CR 13</t>
  </si>
  <si>
    <t>Dacono</t>
  </si>
  <si>
    <t>jordynnrae775@gmail.com</t>
  </si>
  <si>
    <t xml:space="preserve">Joshua </t>
  </si>
  <si>
    <t>Jordan</t>
  </si>
  <si>
    <t>1006 Hinsdale Dr</t>
  </si>
  <si>
    <t>joshjx10@hotmail.com</t>
  </si>
  <si>
    <t>Kaitlynn</t>
  </si>
  <si>
    <t>Utter</t>
  </si>
  <si>
    <t>1861 CR 160</t>
  </si>
  <si>
    <t>sandrautter@hotmail.com</t>
  </si>
  <si>
    <t xml:space="preserve">Andrea </t>
  </si>
  <si>
    <t>Mellor</t>
  </si>
  <si>
    <t>128 30th St, STE A</t>
  </si>
  <si>
    <t>werbusy2x@gmail.com</t>
  </si>
  <si>
    <t xml:space="preserve">Katelyn </t>
  </si>
  <si>
    <t>Ellis</t>
  </si>
  <si>
    <t>43493 CR 68</t>
  </si>
  <si>
    <t>kktraining2@gmail.com</t>
  </si>
  <si>
    <t>970-503-3312</t>
  </si>
  <si>
    <t>Reba</t>
  </si>
  <si>
    <t>Talbott</t>
  </si>
  <si>
    <t>32 Cherokee Trail</t>
  </si>
  <si>
    <t>Douglas</t>
  </si>
  <si>
    <t>82633</t>
  </si>
  <si>
    <t>rebasundseth@gmail.com</t>
  </si>
  <si>
    <t>Lyla</t>
  </si>
  <si>
    <t>Swenson</t>
  </si>
  <si>
    <t>70368 CR D</t>
  </si>
  <si>
    <t>Morrill</t>
  </si>
  <si>
    <t>69358</t>
  </si>
  <si>
    <t>swennycattle@gmail.com</t>
  </si>
  <si>
    <t>Mishell</t>
  </si>
  <si>
    <t>Howard</t>
  </si>
  <si>
    <t>PO Box 482</t>
  </si>
  <si>
    <t>Rawlins</t>
  </si>
  <si>
    <t>82301</t>
  </si>
  <si>
    <t>mishellhwrd@outlook.com</t>
  </si>
  <si>
    <t>307-320-8953</t>
  </si>
  <si>
    <t>Michelle</t>
  </si>
  <si>
    <t>Gilles</t>
  </si>
  <si>
    <t>3050 110Th St</t>
  </si>
  <si>
    <t>Shelly</t>
  </si>
  <si>
    <t>MN</t>
  </si>
  <si>
    <t>56548</t>
  </si>
  <si>
    <t>michelle@mg-ph.com</t>
  </si>
  <si>
    <t>559-575-5027</t>
  </si>
  <si>
    <t>Lori</t>
  </si>
  <si>
    <t>Torgerson</t>
  </si>
  <si>
    <t>8299 WCR 2</t>
  </si>
  <si>
    <t>haileyjo4h@gmail.com</t>
  </si>
  <si>
    <t xml:space="preserve">Kendra </t>
  </si>
  <si>
    <t>kjtorgers@yahoo.com</t>
  </si>
  <si>
    <t>Cathi</t>
  </si>
  <si>
    <t>Lewis</t>
  </si>
  <si>
    <t>Bo</t>
  </si>
  <si>
    <t>Tilton</t>
  </si>
  <si>
    <t>21 Del Ray Rd</t>
  </si>
  <si>
    <t>Lander</t>
  </si>
  <si>
    <t>82520</t>
  </si>
  <si>
    <t>tilton.baoxin@gmail.com</t>
  </si>
  <si>
    <t>Stoudt</t>
  </si>
  <si>
    <t>9269 County Rd 55</t>
  </si>
  <si>
    <t>Bloomgren</t>
  </si>
  <si>
    <t>27 Valley Dr</t>
  </si>
  <si>
    <t>Buffalo</t>
  </si>
  <si>
    <t>82834</t>
  </si>
  <si>
    <t>mbloomger@gmail.com</t>
  </si>
  <si>
    <t>Jayda</t>
  </si>
  <si>
    <t>Meyring</t>
  </si>
  <si>
    <t>4631 380th Rd</t>
  </si>
  <si>
    <t>Alliance</t>
  </si>
  <si>
    <t>69301</t>
  </si>
  <si>
    <t>smeyring@bbcwb.net</t>
  </si>
  <si>
    <t>Clare</t>
  </si>
  <si>
    <t>Lake</t>
  </si>
  <si>
    <t>PO Box 2945</t>
  </si>
  <si>
    <t>82003</t>
  </si>
  <si>
    <t>clake6164@gmail.com</t>
  </si>
  <si>
    <t>307-2861567</t>
  </si>
  <si>
    <t>Jayde</t>
  </si>
  <si>
    <t>Trump</t>
  </si>
  <si>
    <t>15950 HWY 385</t>
  </si>
  <si>
    <t>Chadron</t>
  </si>
  <si>
    <t>69337</t>
  </si>
  <si>
    <t>jaydetrump@gmail.com</t>
  </si>
  <si>
    <t>Cody</t>
  </si>
  <si>
    <t xml:space="preserve">Trudy </t>
  </si>
  <si>
    <t>Hogan</t>
  </si>
  <si>
    <t>1500 Willow Dr</t>
  </si>
  <si>
    <t>jvh4219@gmail.com</t>
  </si>
  <si>
    <t>970-532-2421</t>
  </si>
  <si>
    <t xml:space="preserve">Annette </t>
  </si>
  <si>
    <t>Coker</t>
  </si>
  <si>
    <t>450 Bedtick Road</t>
  </si>
  <si>
    <t>mantzcreekhorses@gmail.com</t>
  </si>
  <si>
    <t xml:space="preserve">Gillian </t>
  </si>
  <si>
    <t>Holt</t>
  </si>
  <si>
    <t>12322 S Wamblee Valley Rd</t>
  </si>
  <si>
    <t>Conifer</t>
  </si>
  <si>
    <t>80433</t>
  </si>
  <si>
    <t>pitagg30@gmail.com</t>
  </si>
  <si>
    <t>720-375-4410</t>
  </si>
  <si>
    <t>Wahl</t>
  </si>
  <si>
    <t>1963 Tidewater Ln</t>
  </si>
  <si>
    <t>peytonwahl@icloud.com</t>
  </si>
  <si>
    <t>Kelsey</t>
  </si>
  <si>
    <t>Schuetz</t>
  </si>
  <si>
    <t>4861 St. Vrain Rd</t>
  </si>
  <si>
    <t>Firestone</t>
  </si>
  <si>
    <t>neptunekelsey@yahoo.com</t>
  </si>
  <si>
    <t>Hannah</t>
  </si>
  <si>
    <t>Gillmore</t>
  </si>
  <si>
    <t>233 Elizabeth Ct</t>
  </si>
  <si>
    <t>hannahgillmore2015@gmail.com</t>
  </si>
  <si>
    <t>Janet</t>
  </si>
  <si>
    <t>Cochran</t>
  </si>
  <si>
    <t>PO Box 6529</t>
  </si>
  <si>
    <t>Tyeras</t>
  </si>
  <si>
    <t>87059</t>
  </si>
  <si>
    <t>jrc.reece@gmail.com</t>
  </si>
  <si>
    <t>9248 Hills View Dr</t>
  </si>
  <si>
    <t>fifibug@icloud.com</t>
  </si>
  <si>
    <t>Adelette</t>
  </si>
  <si>
    <t>Harnig</t>
  </si>
  <si>
    <t>6619 Tenderfoot Ave</t>
  </si>
  <si>
    <t>303-5650132</t>
  </si>
  <si>
    <t xml:space="preserve">Holly </t>
  </si>
  <si>
    <t>Chandler</t>
  </si>
  <si>
    <t>holly@reasonsoftheheart.com</t>
  </si>
  <si>
    <t>Cailyn</t>
  </si>
  <si>
    <t>8334 Steeplechase</t>
  </si>
  <si>
    <t>janesalandon@gmail.com</t>
  </si>
  <si>
    <t>Lucy</t>
  </si>
  <si>
    <t>Wolfe</t>
  </si>
  <si>
    <t>3429 Bridget Ln</t>
  </si>
  <si>
    <t>Laporte</t>
  </si>
  <si>
    <t>80535</t>
  </si>
  <si>
    <t>lucymwolf@icloud.com</t>
  </si>
  <si>
    <t>Kyah</t>
  </si>
  <si>
    <t>De Kruif</t>
  </si>
  <si>
    <t>30270 CR 6</t>
  </si>
  <si>
    <t>taniadekruif@msn.com</t>
  </si>
  <si>
    <t>Dakota</t>
  </si>
  <si>
    <t>Lynn</t>
  </si>
  <si>
    <t>Zehrbach</t>
  </si>
  <si>
    <t>45914 Gold Stone Creek Crt</t>
  </si>
  <si>
    <t>lynnhagen58@gmail.com</t>
  </si>
  <si>
    <t>Greene</t>
  </si>
  <si>
    <t>5664 Red Bridge Dr</t>
  </si>
  <si>
    <t>lauriegreene@gmail.com</t>
  </si>
  <si>
    <t>650-678-5279</t>
  </si>
  <si>
    <t>Cogburn</t>
  </si>
  <si>
    <t>450 Bedtick Rd</t>
  </si>
  <si>
    <t>Nisley</t>
  </si>
  <si>
    <t>20410 CR 76</t>
  </si>
  <si>
    <t>smcdonaldcpc@yahoo.com</t>
  </si>
  <si>
    <t>Hein</t>
  </si>
  <si>
    <t>19823 Cattle Drive</t>
  </si>
  <si>
    <t>mohein@rocketmail.com</t>
  </si>
  <si>
    <t>Ciccone</t>
  </si>
  <si>
    <t>4391 E CR 82</t>
  </si>
  <si>
    <t>paulciccone@bellsouth.net</t>
  </si>
  <si>
    <t>Melbye</t>
  </si>
  <si>
    <t>8112 N CR 21</t>
  </si>
  <si>
    <t>eclipseranch@hotmail.com</t>
  </si>
  <si>
    <t>47539 CR D</t>
  </si>
  <si>
    <t>Yuma</t>
  </si>
  <si>
    <t>80759</t>
  </si>
  <si>
    <t>smith.greg1@gmail.com</t>
  </si>
  <si>
    <t>MOORERLYNN@YAHOO.COM</t>
  </si>
  <si>
    <t>970-222-6897</t>
  </si>
  <si>
    <t>Michele</t>
  </si>
  <si>
    <t>Atamain</t>
  </si>
  <si>
    <t>500 Alakawa Street #214</t>
  </si>
  <si>
    <t>Honolulu</t>
  </si>
  <si>
    <t>96817</t>
  </si>
  <si>
    <t>michiatamian@gmail.com</t>
  </si>
  <si>
    <t>808-371-3845</t>
  </si>
  <si>
    <t>Meghan</t>
  </si>
  <si>
    <t>Flavin</t>
  </si>
  <si>
    <t>15190 Davis Rd</t>
  </si>
  <si>
    <t>80831</t>
  </si>
  <si>
    <t>303-913-0489</t>
  </si>
  <si>
    <t>Menard</t>
  </si>
  <si>
    <t>10510 Clack Lake Ave</t>
  </si>
  <si>
    <t>menardkt80@gmail.com</t>
  </si>
  <si>
    <t>970-556-3817</t>
  </si>
  <si>
    <t>Olivia</t>
  </si>
  <si>
    <t>970-219-3801</t>
  </si>
  <si>
    <t>Paula</t>
  </si>
  <si>
    <t>Platt</t>
  </si>
  <si>
    <t>2760 WCR 21</t>
  </si>
  <si>
    <t>pplatt.58@gmail.com</t>
  </si>
  <si>
    <t>303-898-2408</t>
  </si>
  <si>
    <t>Marisa</t>
  </si>
  <si>
    <t>970-402-7500</t>
  </si>
  <si>
    <t>Gina</t>
  </si>
  <si>
    <t>Harvey</t>
  </si>
  <si>
    <t>5641 Coyote Rim Lane</t>
  </si>
  <si>
    <t>cowgirlgina@pm.me</t>
  </si>
  <si>
    <t>(970) 227-4722</t>
  </si>
  <si>
    <t xml:space="preserve">Diane </t>
  </si>
  <si>
    <t>Moen</t>
  </si>
  <si>
    <t>1823 MOEN RANCH RD</t>
  </si>
  <si>
    <t>Virginia Dale</t>
  </si>
  <si>
    <t>80536</t>
  </si>
  <si>
    <t>dlsmoen2@aol.com</t>
  </si>
  <si>
    <t>970-657-3474</t>
  </si>
  <si>
    <t>Sophia</t>
  </si>
  <si>
    <t>Goetz</t>
  </si>
  <si>
    <t>216 Whitney Bay</t>
  </si>
  <si>
    <t>goetz.amanda3@gmail.com</t>
  </si>
  <si>
    <t>720-394-9016</t>
  </si>
  <si>
    <t>Chad</t>
  </si>
  <si>
    <t>Washburn</t>
  </si>
  <si>
    <t>3621 Muskrat Creek Drive</t>
  </si>
  <si>
    <t>us@washburn.me</t>
  </si>
  <si>
    <t>970-581-1019</t>
  </si>
  <si>
    <t>Cael</t>
  </si>
  <si>
    <t>Cael@washburn.me</t>
  </si>
  <si>
    <t>Cian</t>
  </si>
  <si>
    <t>970-685-8836</t>
  </si>
  <si>
    <t>Zhoranna</t>
  </si>
  <si>
    <t>Gourd</t>
  </si>
  <si>
    <t>929 Mt Shavano Ave</t>
  </si>
  <si>
    <t>zhorannagourd@gmail.com</t>
  </si>
  <si>
    <t>970-616-2311</t>
  </si>
  <si>
    <t>Jody</t>
  </si>
  <si>
    <t>Litchford</t>
  </si>
  <si>
    <t>748 West County Road 16</t>
  </si>
  <si>
    <t>litchford5@gmail.com</t>
  </si>
  <si>
    <t>303-859-4415</t>
  </si>
  <si>
    <t>emmalitch.ding@gmail.com</t>
  </si>
  <si>
    <t>303-834-2347</t>
  </si>
  <si>
    <t>Marissa</t>
  </si>
  <si>
    <t>Ferreira</t>
  </si>
  <si>
    <t>724 Plateau Rd</t>
  </si>
  <si>
    <t>marissa.grimsdale@gmail.com</t>
  </si>
  <si>
    <t>303-579-6730</t>
  </si>
  <si>
    <t>MacKenzie</t>
  </si>
  <si>
    <t>Harris</t>
  </si>
  <si>
    <t>820 W County Road 16</t>
  </si>
  <si>
    <t>reiningkenzie@gmail.com</t>
  </si>
  <si>
    <t>970-347-0496</t>
  </si>
  <si>
    <t>Hindman</t>
  </si>
  <si>
    <t>6060 Niwot Rd</t>
  </si>
  <si>
    <t>lynn@haystackacres.com</t>
  </si>
  <si>
    <t>720-530-0783</t>
  </si>
  <si>
    <t>Ashlyn</t>
  </si>
  <si>
    <t>Claps</t>
  </si>
  <si>
    <t>14195 County Road 2</t>
  </si>
  <si>
    <t>jennaclaps2768@gmail.com</t>
  </si>
  <si>
    <t>303-885-2768</t>
  </si>
  <si>
    <t>Hamilton</t>
  </si>
  <si>
    <t>818 Balsam Lane</t>
  </si>
  <si>
    <t>clh_writing@earthlink.net</t>
  </si>
  <si>
    <t>970-237-1630</t>
  </si>
  <si>
    <t>Gerald</t>
  </si>
  <si>
    <t>Springer</t>
  </si>
  <si>
    <t>2195 WCR 55</t>
  </si>
  <si>
    <t>twaspqh@yahoo.com</t>
  </si>
  <si>
    <t>303-732-4249</t>
  </si>
  <si>
    <t>Janae</t>
  </si>
  <si>
    <t>Ingalls</t>
  </si>
  <si>
    <t>7511 Country Rd 110</t>
  </si>
  <si>
    <t>Carr</t>
  </si>
  <si>
    <t>sjanae@hotmail.com</t>
  </si>
  <si>
    <t>970-692-9325</t>
  </si>
  <si>
    <t xml:space="preserve">Amanda </t>
  </si>
  <si>
    <t>Culver</t>
  </si>
  <si>
    <t>8625 County Road 98</t>
  </si>
  <si>
    <t>ambsh4horses@gmail.com</t>
  </si>
  <si>
    <t>303-204-9295</t>
  </si>
  <si>
    <t>Beth</t>
  </si>
  <si>
    <t>Humphrey</t>
  </si>
  <si>
    <t>2846 Hughs Dr</t>
  </si>
  <si>
    <t>beth@rmh27.com</t>
  </si>
  <si>
    <t>303-817-1515</t>
  </si>
  <si>
    <t>Kitty</t>
  </si>
  <si>
    <t>8640 S Riviera Ct</t>
  </si>
  <si>
    <t>80016</t>
  </si>
  <si>
    <t>kittyp.cpa@gmail.com</t>
  </si>
  <si>
    <t>970-481-6554</t>
  </si>
  <si>
    <t>Lukens</t>
  </si>
  <si>
    <t>2205 NE 107th Terrace</t>
  </si>
  <si>
    <t>Kansas City</t>
  </si>
  <si>
    <t>lglukens@gmail.com</t>
  </si>
  <si>
    <t>816-674-9710</t>
  </si>
  <si>
    <t>Estes</t>
  </si>
  <si>
    <t>Taylor</t>
  </si>
  <si>
    <t>7779 Windsong Road</t>
  </si>
  <si>
    <t>cassiet@blackbeltmovers.com</t>
  </si>
  <si>
    <t>720-487-2300</t>
  </si>
  <si>
    <t>Jay</t>
  </si>
  <si>
    <t>12663 W 87th Avenue</t>
  </si>
  <si>
    <t>fraserranch@gmail.com</t>
  </si>
  <si>
    <t>Treva</t>
  </si>
  <si>
    <t>Crow</t>
  </si>
  <si>
    <t>720 Kendrick Street</t>
  </si>
  <si>
    <t>aubrey.7672@gmail.com</t>
  </si>
  <si>
    <t>303-704-3068</t>
  </si>
  <si>
    <t>Jenifer</t>
  </si>
  <si>
    <t>Bacon</t>
  </si>
  <si>
    <t>513 59th Street</t>
  </si>
  <si>
    <t>jenifer@tumbleweedstudios.com</t>
  </si>
  <si>
    <t>720-505-1817</t>
  </si>
  <si>
    <t>Carys</t>
  </si>
  <si>
    <t>Steil</t>
  </si>
  <si>
    <t>1246 E 130 Ave Unit B</t>
  </si>
  <si>
    <t>juliesteil@yahoo.com</t>
  </si>
  <si>
    <t>720-838-5065</t>
  </si>
  <si>
    <t>Aleah</t>
  </si>
  <si>
    <t>Dana</t>
  </si>
  <si>
    <t>20 West Ranch Trail</t>
  </si>
  <si>
    <t>Morrison</t>
  </si>
  <si>
    <t>danaschultz02@gmail.com</t>
  </si>
  <si>
    <t>570-220-3016</t>
  </si>
  <si>
    <t>Natalee</t>
  </si>
  <si>
    <t>Schmidt</t>
  </si>
  <si>
    <t>1818 Green Wing Drive</t>
  </si>
  <si>
    <t>Johnstown</t>
  </si>
  <si>
    <t>4mslinz@gmail.com</t>
  </si>
  <si>
    <t>970-576-8172</t>
  </si>
  <si>
    <t>Haley</t>
  </si>
  <si>
    <t>Pavick</t>
  </si>
  <si>
    <t>5937 Highway 86</t>
  </si>
  <si>
    <t>haysue07@hotmail.com</t>
  </si>
  <si>
    <t>303-434-5587</t>
  </si>
  <si>
    <t>McNulty</t>
  </si>
  <si>
    <t>1500 Willow Drive</t>
  </si>
  <si>
    <t>keen_jill@yahoo.com</t>
  </si>
  <si>
    <t>970-381-1059</t>
  </si>
  <si>
    <t>Lankister</t>
  </si>
  <si>
    <t>1568 S Sheephorn Creek Rd</t>
  </si>
  <si>
    <t>Bond</t>
  </si>
  <si>
    <t>580-938-0047</t>
  </si>
  <si>
    <t>Hermanson</t>
  </si>
  <si>
    <t>3704 W County Road 10</t>
  </si>
  <si>
    <t>hermanson2010@gmail.com</t>
  </si>
  <si>
    <t>303-588-6658</t>
  </si>
  <si>
    <t>Ayla</t>
  </si>
  <si>
    <t>jazzyherm2016@gmail.com</t>
  </si>
  <si>
    <t>970-699-1122</t>
  </si>
  <si>
    <t>Billings</t>
  </si>
  <si>
    <t>123 Pine Glade Road</t>
  </si>
  <si>
    <t>Nederland</t>
  </si>
  <si>
    <t>nancy.billingscolton@gmail.com</t>
  </si>
  <si>
    <t>303-803-6202</t>
  </si>
  <si>
    <t>Easton</t>
  </si>
  <si>
    <t>Boyd</t>
  </si>
  <si>
    <t>349 W Fairview Road</t>
  </si>
  <si>
    <t>legacyhorsecompany@gmail.com</t>
  </si>
  <si>
    <t>307-331-6908</t>
  </si>
  <si>
    <t>Josie</t>
  </si>
  <si>
    <t>Bunch</t>
  </si>
  <si>
    <t>609 Morrison Drive</t>
  </si>
  <si>
    <t>Frederick</t>
  </si>
  <si>
    <t>josielea.bunch@gmail.com</t>
  </si>
  <si>
    <t>720-984-3935</t>
  </si>
  <si>
    <t>Margo Lea</t>
  </si>
  <si>
    <t>Ball</t>
  </si>
  <si>
    <t>5137 N County Road 11</t>
  </si>
  <si>
    <t>margolball@aol.com</t>
  </si>
  <si>
    <t>970-227-8233</t>
  </si>
  <si>
    <t>Crisp</t>
  </si>
  <si>
    <t>329 3rd Street</t>
  </si>
  <si>
    <t>miricrisp7@gmail.com</t>
  </si>
  <si>
    <t>970-305-0121</t>
  </si>
  <si>
    <t>Stacey</t>
  </si>
  <si>
    <t>Chope</t>
  </si>
  <si>
    <t>4407 Lonetree Drive</t>
  </si>
  <si>
    <t>stacey_chope@yahoo.com</t>
  </si>
  <si>
    <t>303-588-1033</t>
  </si>
  <si>
    <t>Leigh</t>
  </si>
  <si>
    <t>Papierski</t>
  </si>
  <si>
    <t>1053 Galley Road</t>
  </si>
  <si>
    <t>Craig</t>
  </si>
  <si>
    <t>horsesetc7@yahoo.com</t>
  </si>
  <si>
    <t>970-629-2757</t>
  </si>
  <si>
    <t>Kelcey</t>
  </si>
  <si>
    <t>Swyers</t>
  </si>
  <si>
    <t>6386 E County Road 66</t>
  </si>
  <si>
    <t>kelcey.swyers@gmail.com</t>
  </si>
  <si>
    <t>970-692-9351</t>
  </si>
  <si>
    <t>Carissa</t>
  </si>
  <si>
    <t>1018 Blue Spruce Drive</t>
  </si>
  <si>
    <t>970-308-0856</t>
  </si>
  <si>
    <t>Gwenyth</t>
  </si>
  <si>
    <t>Olberding</t>
  </si>
  <si>
    <t>64668 709 Road</t>
  </si>
  <si>
    <t>Salem</t>
  </si>
  <si>
    <t>gwen.olberding@gmail.com</t>
  </si>
  <si>
    <t>402-801-2275</t>
  </si>
  <si>
    <t>Gidney</t>
  </si>
  <si>
    <t>9118 W 50th Lane, Unit 1</t>
  </si>
  <si>
    <t>80002</t>
  </si>
  <si>
    <t>dcgidney@gmail.com</t>
  </si>
  <si>
    <t>970-333-4974</t>
  </si>
  <si>
    <t>Mariah</t>
  </si>
  <si>
    <t>Jerviss</t>
  </si>
  <si>
    <t>PO Box 668</t>
  </si>
  <si>
    <t>805-798-2256</t>
  </si>
  <si>
    <t>Monika</t>
  </si>
  <si>
    <t>Woldberg</t>
  </si>
  <si>
    <t>8275 N CR 19</t>
  </si>
  <si>
    <t>monika_marx@me.com</t>
  </si>
  <si>
    <t>970-443-3214</t>
  </si>
  <si>
    <t>Lora</t>
  </si>
  <si>
    <t>Stuehm</t>
  </si>
  <si>
    <t>12466 CR 104</t>
  </si>
  <si>
    <t>lorastuehm@outlook.com</t>
  </si>
  <si>
    <t>970-897-2990</t>
  </si>
  <si>
    <t>Sibley</t>
  </si>
  <si>
    <t>14947 Vine Street</t>
  </si>
  <si>
    <t>rsibley101@gmail.com</t>
  </si>
  <si>
    <t>303-994-0414</t>
  </si>
  <si>
    <t>Austin</t>
  </si>
  <si>
    <t>Reynolds</t>
  </si>
  <si>
    <t>2849 Avocal Avenue</t>
  </si>
  <si>
    <t>arey024@gmail.com</t>
  </si>
  <si>
    <t>720-841-6976</t>
  </si>
  <si>
    <t>Ruth</t>
  </si>
  <si>
    <t>Marks</t>
  </si>
  <si>
    <t>10653 E 163rd</t>
  </si>
  <si>
    <t>rura222@msn.com</t>
  </si>
  <si>
    <t>303-475-0823</t>
  </si>
  <si>
    <t>Lisl</t>
  </si>
  <si>
    <t>Lefevre</t>
  </si>
  <si>
    <t>53035 County Road 15</t>
  </si>
  <si>
    <t>lislpearson@msn.com</t>
  </si>
  <si>
    <t>970-518-4073</t>
  </si>
  <si>
    <t>Cooper</t>
  </si>
  <si>
    <t>Justus</t>
  </si>
  <si>
    <t>177 Hwy 345</t>
  </si>
  <si>
    <t>Parkman</t>
  </si>
  <si>
    <t>hcjustus77@gmail.com</t>
  </si>
  <si>
    <t>307-751-6252</t>
  </si>
  <si>
    <t>11534 CR 110</t>
  </si>
  <si>
    <t>970-219-4996</t>
  </si>
  <si>
    <t>ahogan101@gmail.com</t>
  </si>
  <si>
    <t>303-916-6439</t>
  </si>
  <si>
    <t>Grilli</t>
  </si>
  <si>
    <t>3748 WCR 7</t>
  </si>
  <si>
    <t>amanda@rockyscompletepainting.com</t>
  </si>
  <si>
    <t>720-383-5103</t>
  </si>
  <si>
    <t>Gallegos</t>
  </si>
  <si>
    <t>624 W CR 78</t>
  </si>
  <si>
    <t>jgalleqos63@yahoo.com</t>
  </si>
  <si>
    <t>970-481-2443</t>
  </si>
  <si>
    <t>Albert</t>
  </si>
  <si>
    <t>1811 Road 124</t>
  </si>
  <si>
    <t>tay307@aol.com</t>
  </si>
  <si>
    <t>307-631-8188</t>
  </si>
  <si>
    <t>Berglund</t>
  </si>
  <si>
    <t>1277 S Indianfield Street</t>
  </si>
  <si>
    <t>Bennett</t>
  </si>
  <si>
    <t>kelseyreneeberglund@gmail.com</t>
  </si>
  <si>
    <t>541-953-5323</t>
  </si>
  <si>
    <t>Jeremiah</t>
  </si>
  <si>
    <t>Keenesburg</t>
  </si>
  <si>
    <t>303-304-0858</t>
  </si>
  <si>
    <t>Faye</t>
  </si>
  <si>
    <t>529 Boxelder Road</t>
  </si>
  <si>
    <t>cowgirlfaye@gmail.com</t>
  </si>
  <si>
    <t>307-757-6214</t>
  </si>
  <si>
    <t>Aubrey</t>
  </si>
  <si>
    <t>Roderick</t>
  </si>
  <si>
    <t xml:space="preserve">Lesli </t>
  </si>
  <si>
    <t>Troastle</t>
  </si>
  <si>
    <t>5903 Atlantic Drive</t>
  </si>
  <si>
    <t>307-630-1243</t>
  </si>
  <si>
    <t>Anna</t>
  </si>
  <si>
    <t>5371 Niwot Road</t>
  </si>
  <si>
    <t>kelly0515@aol.com</t>
  </si>
  <si>
    <t>303-506-6265</t>
  </si>
  <si>
    <t>Sydnee</t>
  </si>
  <si>
    <t>Roady</t>
  </si>
  <si>
    <t>1383 Lane 17</t>
  </si>
  <si>
    <t>Worland</t>
  </si>
  <si>
    <t>sydneeroady@outlook.com</t>
  </si>
  <si>
    <t>307-431-9156</t>
  </si>
  <si>
    <t>Pipe</t>
  </si>
  <si>
    <t>6144 Mossycup Ct</t>
  </si>
  <si>
    <t>mpipe@comcast.net</t>
  </si>
  <si>
    <t>970-218-5710</t>
  </si>
  <si>
    <t>Kietell</t>
  </si>
  <si>
    <t>720 CR 146</t>
  </si>
  <si>
    <t>Carpenter</t>
  </si>
  <si>
    <t>lkietell@gmail.com</t>
  </si>
  <si>
    <t>307-287-8882</t>
  </si>
  <si>
    <t>Talli</t>
  </si>
  <si>
    <t>Engel</t>
  </si>
  <si>
    <t>Rozet</t>
  </si>
  <si>
    <t>dengel@vcn.com</t>
  </si>
  <si>
    <t>307-689-4511</t>
  </si>
  <si>
    <t>11105 Tom Horn Trail</t>
  </si>
  <si>
    <t>dlt72@icloud.com</t>
  </si>
  <si>
    <t>307-441-4677</t>
  </si>
  <si>
    <t>Canton</t>
  </si>
  <si>
    <t>Skomp</t>
  </si>
  <si>
    <t>31288 736 Road</t>
  </si>
  <si>
    <t>skompcattle@hotmail.com</t>
  </si>
  <si>
    <t>308-883-3020</t>
  </si>
  <si>
    <t>O'Leary</t>
  </si>
  <si>
    <t>12311 Empire Drive</t>
  </si>
  <si>
    <t>rebecca.oleary5@gmail.com</t>
  </si>
  <si>
    <t>307-287-9231</t>
  </si>
  <si>
    <t>Otis</t>
  </si>
  <si>
    <t>Lovercheck</t>
  </si>
  <si>
    <t>1229 CR 215</t>
  </si>
  <si>
    <t>wy</t>
  </si>
  <si>
    <t>socksmid@aol.com</t>
  </si>
  <si>
    <t>307-630-9403</t>
  </si>
  <si>
    <t>Micah</t>
  </si>
  <si>
    <t>Katz</t>
  </si>
  <si>
    <t>10240 West 16th Avenue</t>
  </si>
  <si>
    <t>Lakewood</t>
  </si>
  <si>
    <t>katz.m.micah@gmail.com</t>
  </si>
  <si>
    <t>720-472-1875</t>
  </si>
  <si>
    <t>Rilee</t>
  </si>
  <si>
    <t>Edling</t>
  </si>
  <si>
    <t>7925 S Bonnie Brae</t>
  </si>
  <si>
    <t>equusapple@gmail.com</t>
  </si>
  <si>
    <t>970-310-1169</t>
  </si>
  <si>
    <t>Nickle</t>
  </si>
  <si>
    <t>MiKayla</t>
  </si>
  <si>
    <t>960 S Marshall Street</t>
  </si>
  <si>
    <t>nicklemikayla@gmail.com</t>
  </si>
  <si>
    <t>303-520-3026</t>
  </si>
  <si>
    <t>Simonson</t>
  </si>
  <si>
    <t>42661 CR 41</t>
  </si>
  <si>
    <t>aj.simonson@yahoo.com</t>
  </si>
  <si>
    <t>970-980-7572</t>
  </si>
  <si>
    <t>Ty</t>
  </si>
  <si>
    <t>Sneddon</t>
  </si>
  <si>
    <t>21464 County Road 12</t>
  </si>
  <si>
    <t>madisonsneddon2020@gmail.com</t>
  </si>
  <si>
    <t>970-768-5725</t>
  </si>
  <si>
    <t>Macquire</t>
  </si>
  <si>
    <t>3520 Hawthorne Ave</t>
  </si>
  <si>
    <t>Casper</t>
  </si>
  <si>
    <t>amacquire1@msn.com</t>
  </si>
  <si>
    <t>307-262-3615</t>
  </si>
  <si>
    <t>597 CR 7</t>
  </si>
  <si>
    <t>nolimitsequestrians@gmail.com</t>
  </si>
  <si>
    <t>720-365-7792</t>
  </si>
  <si>
    <t>Wightman</t>
  </si>
  <si>
    <t>18329 W 84th Place</t>
  </si>
  <si>
    <t>Melanie</t>
  </si>
  <si>
    <t>Jensen</t>
  </si>
  <si>
    <t>45385 Buckhorn Circle</t>
  </si>
  <si>
    <t>mjensen@bluegodthreads.com</t>
  </si>
  <si>
    <t>720-272-5979</t>
  </si>
  <si>
    <t>1060 E County Road 6C</t>
  </si>
  <si>
    <t>kelsey.lee@gmail.com</t>
  </si>
  <si>
    <t>303-888-1588</t>
  </si>
  <si>
    <t>Garry</t>
  </si>
  <si>
    <t>Watt</t>
  </si>
  <si>
    <t>3429 Rd 131</t>
  </si>
  <si>
    <t>Sidney</t>
  </si>
  <si>
    <t>wattperformancehorses@yahoo.com</t>
  </si>
  <si>
    <t>307-286-5351</t>
  </si>
  <si>
    <t>24584 CR 52</t>
  </si>
  <si>
    <t>kroth817@gmail.com</t>
  </si>
  <si>
    <t>970-580-1475</t>
  </si>
  <si>
    <t>Annie</t>
  </si>
  <si>
    <t>Vocu</t>
  </si>
  <si>
    <t>2244 Rd 99</t>
  </si>
  <si>
    <t>annievocu@gmail.com</t>
  </si>
  <si>
    <t>970-466-1223</t>
  </si>
  <si>
    <t>Rhonda</t>
  </si>
  <si>
    <t>Roth</t>
  </si>
  <si>
    <t>16791 CR 32</t>
  </si>
  <si>
    <t>rhonda@ecsdd.org</t>
  </si>
  <si>
    <t>970-580-2765</t>
  </si>
  <si>
    <t>Bethany</t>
  </si>
  <si>
    <t>Phippen</t>
  </si>
  <si>
    <t>3303 N Hwy 67</t>
  </si>
  <si>
    <t>bgprabbits@gmail.com</t>
  </si>
  <si>
    <t>303-358-3246</t>
  </si>
  <si>
    <t>Jim</t>
  </si>
  <si>
    <t>6366 Cty 32</t>
  </si>
  <si>
    <t>lindakinnison.lk@gmail.com</t>
  </si>
  <si>
    <t>970-630-1625</t>
  </si>
  <si>
    <t>Hanah</t>
  </si>
  <si>
    <t>Georges</t>
  </si>
  <si>
    <t>2005 Stover Street</t>
  </si>
  <si>
    <t>hanahm92@gmail.com</t>
  </si>
  <si>
    <t>915-478-0713</t>
  </si>
  <si>
    <t>Kelli</t>
  </si>
  <si>
    <t>Gaines</t>
  </si>
  <si>
    <t>6 Highland Street</t>
  </si>
  <si>
    <t>719-688-2105</t>
  </si>
  <si>
    <t>Curry</t>
  </si>
  <si>
    <t>2205 Ideal Lane</t>
  </si>
  <si>
    <t>annakc1017@gamil.com</t>
  </si>
  <si>
    <t>601-919-7489</t>
  </si>
  <si>
    <t>Bryce</t>
  </si>
  <si>
    <t>Combs</t>
  </si>
  <si>
    <t>35615 CR DD 75</t>
  </si>
  <si>
    <t>Wray</t>
  </si>
  <si>
    <t>brycec1998@yahoo.com</t>
  </si>
  <si>
    <t>970-630-9941</t>
  </si>
  <si>
    <t>3419 Colony Drive</t>
  </si>
  <si>
    <t>msteele0915@gmail.com</t>
  </si>
  <si>
    <t>913-636-0065</t>
  </si>
  <si>
    <t>Stewart</t>
  </si>
  <si>
    <t>16850 Steppler Road</t>
  </si>
  <si>
    <t>Colorado Spring</t>
  </si>
  <si>
    <t>dmstewartm@aol.com</t>
  </si>
  <si>
    <t>719-660-7189</t>
  </si>
  <si>
    <t>Addisyn</t>
  </si>
  <si>
    <t>Addie</t>
  </si>
  <si>
    <t>White</t>
  </si>
  <si>
    <t>1944 Green Wing Drive</t>
  </si>
  <si>
    <t>jennifer.a.white@mac.com</t>
  </si>
  <si>
    <t>720-308-7777</t>
  </si>
  <si>
    <t>Maas</t>
  </si>
  <si>
    <t>11912 Belmont Avenue</t>
  </si>
  <si>
    <t>tmaas11912@gmail.com</t>
  </si>
  <si>
    <t>307-421-4455</t>
  </si>
  <si>
    <t>Angie</t>
  </si>
  <si>
    <t>Elg</t>
  </si>
  <si>
    <t>15801 S Horse Haven Lane</t>
  </si>
  <si>
    <t>angieglobug10@yahoo.com</t>
  </si>
  <si>
    <t>307-575-6379</t>
  </si>
  <si>
    <t>Geis</t>
  </si>
  <si>
    <t>2170 Valley Park Drive</t>
  </si>
  <si>
    <t>scgeis@gmail.com</t>
  </si>
  <si>
    <t>970-988-5480</t>
  </si>
  <si>
    <t>Suzanne</t>
  </si>
  <si>
    <t>Heller</t>
  </si>
  <si>
    <t>PO Box 4476</t>
  </si>
  <si>
    <t>Hillsdale</t>
  </si>
  <si>
    <t>syheller1@gmail.com</t>
  </si>
  <si>
    <t>307-631-1231</t>
  </si>
  <si>
    <t>Ricky</t>
  </si>
  <si>
    <t>Quinn</t>
  </si>
  <si>
    <t>19585 District 31 School Rd</t>
  </si>
  <si>
    <t>308-539-3009</t>
  </si>
  <si>
    <t>Tess</t>
  </si>
  <si>
    <t>Kappan</t>
  </si>
  <si>
    <t>15011 Josephine Street</t>
  </si>
  <si>
    <t>ssttkappan@yahoo.com</t>
  </si>
  <si>
    <t>303-995-8398</t>
  </si>
  <si>
    <t>Malorie</t>
  </si>
  <si>
    <t>Acott</t>
  </si>
  <si>
    <t>5905 Sunny Slope Drive</t>
  </si>
  <si>
    <t>malorieacott2@gmail.com</t>
  </si>
  <si>
    <t>970-402-5449</t>
  </si>
  <si>
    <t>Ryan</t>
  </si>
  <si>
    <t>1655 Tabeguache Mtn Dr</t>
  </si>
  <si>
    <t>rjensen1655@gmail.com</t>
  </si>
  <si>
    <t>970-646-1689</t>
  </si>
  <si>
    <t>Duncan</t>
  </si>
  <si>
    <t>3155 Madison Ave</t>
  </si>
  <si>
    <t>rise.horses@gmail.com</t>
  </si>
  <si>
    <t>573-587-8330</t>
  </si>
  <si>
    <t>Zuniga</t>
  </si>
  <si>
    <t>2361 Sagewood Avenue</t>
  </si>
  <si>
    <t>laurenashkeym@gmail.com</t>
  </si>
  <si>
    <t>605-210-0045</t>
  </si>
  <si>
    <t>Bobbi</t>
  </si>
  <si>
    <t>Wamsley</t>
  </si>
  <si>
    <t>3004 White Oak Court</t>
  </si>
  <si>
    <t>bwam82@gmail.com</t>
  </si>
  <si>
    <t>720-891-5175</t>
  </si>
  <si>
    <t>VanLeeuwen</t>
  </si>
  <si>
    <t>4366 Golden Currant Court</t>
  </si>
  <si>
    <t>bugrn64@msn.com</t>
  </si>
  <si>
    <t>909-518-6350</t>
  </si>
  <si>
    <t>Turner</t>
  </si>
  <si>
    <t>2470 Calcite Street</t>
  </si>
  <si>
    <t>lambogirl0072@gmail.com</t>
  </si>
  <si>
    <t>970-430-9127</t>
  </si>
  <si>
    <t>2251 Thoreau Drive</t>
  </si>
  <si>
    <t>karen.taylor@colostate.edu</t>
  </si>
  <si>
    <t>970-689-2271</t>
  </si>
  <si>
    <t>Lane</t>
  </si>
  <si>
    <t>Stevenson</t>
  </si>
  <si>
    <t>237 Iome Lane</t>
  </si>
  <si>
    <t>Bosler</t>
  </si>
  <si>
    <t>flying_510@yahoo.com</t>
  </si>
  <si>
    <t>307-331-3765</t>
  </si>
  <si>
    <t>Valery</t>
  </si>
  <si>
    <t>Lanteri</t>
  </si>
  <si>
    <t>2125 Scenic Estates Drive</t>
  </si>
  <si>
    <t>lanterifam@gmail.com</t>
  </si>
  <si>
    <t>970-567-7853</t>
  </si>
  <si>
    <t>2218 Apache St</t>
  </si>
  <si>
    <t>krjcheyenne@yahoo.com</t>
  </si>
  <si>
    <t>307-640-7877</t>
  </si>
  <si>
    <t>Emma-Rose</t>
  </si>
  <si>
    <t>Hensley</t>
  </si>
  <si>
    <t>2856 Zang Way</t>
  </si>
  <si>
    <t>hensleyfam4@gmail.com</t>
  </si>
  <si>
    <t>407-982-9541</t>
  </si>
  <si>
    <t xml:space="preserve">Jami </t>
  </si>
  <si>
    <t>Hendricks</t>
  </si>
  <si>
    <t>32590 Road 753</t>
  </si>
  <si>
    <t>Grant</t>
  </si>
  <si>
    <t>jamibeth13@hotmail.com</t>
  </si>
  <si>
    <t>785-443-3624</t>
  </si>
  <si>
    <t>Hall</t>
  </si>
  <si>
    <t>5624 North Hwy 1</t>
  </si>
  <si>
    <t>970-218-6341</t>
  </si>
  <si>
    <t xml:space="preserve">Lillian </t>
  </si>
  <si>
    <t>20158 CR 50</t>
  </si>
  <si>
    <t>cslane22@gmail.com</t>
  </si>
  <si>
    <t>970-590-2365</t>
  </si>
  <si>
    <t>Rachel</t>
  </si>
  <si>
    <t>Befort</t>
  </si>
  <si>
    <t>3293 Wild West Lane</t>
  </si>
  <si>
    <t>r.befort824@gmail.com</t>
  </si>
  <si>
    <t>970-690-2968</t>
  </si>
  <si>
    <t>Mike</t>
  </si>
  <si>
    <t>Doyle</t>
  </si>
  <si>
    <t>3147 Twin Wash Square</t>
  </si>
  <si>
    <t>mdoyletcg@icloud.com</t>
  </si>
  <si>
    <t>858-232-6759</t>
  </si>
  <si>
    <t>Lucas</t>
  </si>
  <si>
    <t>bridledup@gmail.com</t>
  </si>
  <si>
    <t>307-351-4266</t>
  </si>
  <si>
    <t>Erica</t>
  </si>
  <si>
    <t>Tonso</t>
  </si>
  <si>
    <t>2005 E Riding Club Road</t>
  </si>
  <si>
    <t>Lindsey</t>
  </si>
  <si>
    <t>150520 Experiment Farm Rd</t>
  </si>
  <si>
    <t>slidehorsest@gmail.com</t>
  </si>
  <si>
    <t>308-672-5091</t>
  </si>
  <si>
    <t xml:space="preserve">Ken </t>
  </si>
  <si>
    <t>2301 Road 58</t>
  </si>
  <si>
    <t>Veteral</t>
  </si>
  <si>
    <t>307-532-0629</t>
  </si>
  <si>
    <t>Lisa</t>
  </si>
  <si>
    <t>Reddick</t>
  </si>
  <si>
    <t xml:space="preserve">9730 Osage </t>
  </si>
  <si>
    <t>desertseynarabians5@gmail.com</t>
  </si>
  <si>
    <t>541-419-2287</t>
  </si>
  <si>
    <t>Meyer</t>
  </si>
  <si>
    <t>307-331-8953</t>
  </si>
  <si>
    <t>Nick</t>
  </si>
  <si>
    <t>970-567-7854</t>
  </si>
  <si>
    <t xml:space="preserve">Robin </t>
  </si>
  <si>
    <t>Loepp</t>
  </si>
  <si>
    <t>5025 E Magnolia</t>
  </si>
  <si>
    <t>countrygirlra@gmail.com</t>
  </si>
  <si>
    <t>307-262-5527</t>
  </si>
  <si>
    <t>Wendi</t>
  </si>
  <si>
    <t>ranchwife@gmail.com</t>
  </si>
  <si>
    <t>307-256-6849</t>
  </si>
  <si>
    <t>Josey</t>
  </si>
  <si>
    <t>cowgirljosey@gmail.com</t>
  </si>
  <si>
    <t>307-267-3992</t>
  </si>
  <si>
    <t>1435 Esterbrook Road</t>
  </si>
  <si>
    <t>mkelly@wagonhound.com</t>
  </si>
  <si>
    <t>307-351-7558</t>
  </si>
  <si>
    <t>Edie</t>
  </si>
  <si>
    <t>Holmes</t>
  </si>
  <si>
    <t>2490 W 42nd Street</t>
  </si>
  <si>
    <t>edieholmes2018@gmail.com</t>
  </si>
  <si>
    <t>307-258-7577</t>
  </si>
  <si>
    <t>PO Box 370</t>
  </si>
  <si>
    <t>Evansville</t>
  </si>
  <si>
    <t>doubleheartperformancehorses@yahoo.com</t>
  </si>
  <si>
    <t>307-797-0129</t>
  </si>
  <si>
    <t>McKensie</t>
  </si>
  <si>
    <t>Phillips</t>
  </si>
  <si>
    <t>2168 Monroe Street</t>
  </si>
  <si>
    <t>mckensiekharris@gmail.com</t>
  </si>
  <si>
    <t>307-760-6674</t>
  </si>
  <si>
    <t>Brianna</t>
  </si>
  <si>
    <t>Garcia</t>
  </si>
  <si>
    <t>11117 Chief Twomoon Rd</t>
  </si>
  <si>
    <t>brigirl11@gmail.com</t>
  </si>
  <si>
    <t>307-640-4881</t>
  </si>
  <si>
    <t>Carlisle</t>
  </si>
  <si>
    <t>8410 E Bull Run</t>
  </si>
  <si>
    <t>kimcarlisle@mac.com</t>
  </si>
  <si>
    <t>307-262-3879</t>
  </si>
  <si>
    <t>Michael</t>
  </si>
  <si>
    <t>Bruce</t>
  </si>
  <si>
    <t>3125 CR 250</t>
  </si>
  <si>
    <t>Durango</t>
  </si>
  <si>
    <t>mike@perrofeo.com</t>
  </si>
  <si>
    <t>970-946-8248</t>
  </si>
  <si>
    <t>Kesnia</t>
  </si>
  <si>
    <t>Brinkerhoff</t>
  </si>
  <si>
    <t>15601 Clark Road</t>
  </si>
  <si>
    <t>307-247-3408</t>
  </si>
  <si>
    <t>Dean</t>
  </si>
  <si>
    <t>Barent</t>
  </si>
  <si>
    <t>1306 Ten Mile Drive</t>
  </si>
  <si>
    <t>diamondbranch72@hotmail.com</t>
  </si>
  <si>
    <t>307-431-6689</t>
  </si>
  <si>
    <t>Marc</t>
  </si>
  <si>
    <t>8181 East 136th Ave</t>
  </si>
  <si>
    <t>303-907-8120</t>
  </si>
  <si>
    <t>Danny</t>
  </si>
  <si>
    <t>May</t>
  </si>
  <si>
    <t>18509 CR 22</t>
  </si>
  <si>
    <t>Ft. Lupton</t>
  </si>
  <si>
    <t>dsmride@live.com</t>
  </si>
  <si>
    <t>970-218-4448</t>
  </si>
  <si>
    <t>Jadin</t>
  </si>
  <si>
    <t>Vogler</t>
  </si>
  <si>
    <t>7744 Olive Creek Road</t>
  </si>
  <si>
    <t>Firth</t>
  </si>
  <si>
    <t>jadinvogler@gmail.com</t>
  </si>
  <si>
    <t>402-416-9600</t>
  </si>
  <si>
    <t xml:space="preserve">Kate </t>
  </si>
  <si>
    <t>7804 Inca Road</t>
  </si>
  <si>
    <t>walden.kate11@gmail.com</t>
  </si>
  <si>
    <t>303-968-9382</t>
  </si>
  <si>
    <t>Lexie</t>
  </si>
  <si>
    <t>Riedlinger</t>
  </si>
  <si>
    <t>1700 E County Road 66</t>
  </si>
  <si>
    <t>kriedlinger@yahoo.com</t>
  </si>
  <si>
    <t>970-566-2677</t>
  </si>
  <si>
    <t>Rice</t>
  </si>
  <si>
    <t>2025 S Hwy 287</t>
  </si>
  <si>
    <t>mywillowcreek@gmail.com</t>
  </si>
  <si>
    <t>303-709-1588</t>
  </si>
  <si>
    <t>Daphne</t>
  </si>
  <si>
    <t>Potter</t>
  </si>
  <si>
    <t>42726 County Road 13</t>
  </si>
  <si>
    <t>daphne.potter66@gmail.com</t>
  </si>
  <si>
    <t>970-227-2553</t>
  </si>
  <si>
    <t>Lynda</t>
  </si>
  <si>
    <t>Percival</t>
  </si>
  <si>
    <t>7005 County Rd 126 1/2</t>
  </si>
  <si>
    <t>lynda@frontrangepc.com</t>
  </si>
  <si>
    <t>970-290-5328</t>
  </si>
  <si>
    <t>Goldie</t>
  </si>
  <si>
    <t>Olsen</t>
  </si>
  <si>
    <t>1767 N Grasscreek Road</t>
  </si>
  <si>
    <t>goldolson@msn.com</t>
  </si>
  <si>
    <t>307-267-0861</t>
  </si>
  <si>
    <t>Collin</t>
  </si>
  <si>
    <t>Ochsner</t>
  </si>
  <si>
    <t>30300 CR 388</t>
  </si>
  <si>
    <t>collinkochsner@gmail.com</t>
  </si>
  <si>
    <t>970-396-7347</t>
  </si>
  <si>
    <t>Alaina</t>
  </si>
  <si>
    <t>Mikesell</t>
  </si>
  <si>
    <t>721 S County Road 17</t>
  </si>
  <si>
    <t>alaina.mikesell@yahoo.com</t>
  </si>
  <si>
    <t>307-460-0216</t>
  </si>
  <si>
    <t>Caitlin</t>
  </si>
  <si>
    <t>Mendoza</t>
  </si>
  <si>
    <t>PO Box 735</t>
  </si>
  <si>
    <t>Galeton</t>
  </si>
  <si>
    <t>morethanluck.08@gmail.com</t>
  </si>
  <si>
    <t>970-397-7251</t>
  </si>
  <si>
    <t>McGinniss</t>
  </si>
  <si>
    <t>101 Cholla Circle</t>
  </si>
  <si>
    <t>Florence</t>
  </si>
  <si>
    <t>sarah.mcginniss@live.com</t>
  </si>
  <si>
    <t>719-371-3903</t>
  </si>
  <si>
    <t>Lanita</t>
  </si>
  <si>
    <t>lovercheckl@gmail.com</t>
  </si>
  <si>
    <t>307-286-1412</t>
  </si>
  <si>
    <t>Lance</t>
  </si>
  <si>
    <t>1494 S Robertson Road</t>
  </si>
  <si>
    <t>k1horseresource@gmail.com</t>
  </si>
  <si>
    <t>307-277-3564</t>
  </si>
  <si>
    <t>Lakner</t>
  </si>
  <si>
    <t>7292 Geary Dome Road</t>
  </si>
  <si>
    <t>Evensville</t>
  </si>
  <si>
    <t>sands6599@live.com</t>
  </si>
  <si>
    <t>307-251-6795</t>
  </si>
  <si>
    <t>Kreutzer</t>
  </si>
  <si>
    <t>13485 W 7th Drive</t>
  </si>
  <si>
    <t>paigelultorse@gmail.com</t>
  </si>
  <si>
    <t>720-648-4080</t>
  </si>
  <si>
    <t>Alesa</t>
  </si>
  <si>
    <t>19643 W Correction Line Rd</t>
  </si>
  <si>
    <t>Hershey</t>
  </si>
  <si>
    <t>ajc_dolly@yahoo.com</t>
  </si>
  <si>
    <t>308-520-1705</t>
  </si>
  <si>
    <t>Helen</t>
  </si>
  <si>
    <t>29658 CR 17</t>
  </si>
  <si>
    <t>luckyhammer@wildblue.net</t>
  </si>
  <si>
    <t>720-998-9600</t>
  </si>
  <si>
    <t>Bracy</t>
  </si>
  <si>
    <t>Groshko</t>
  </si>
  <si>
    <t>1532 Haymarket Street</t>
  </si>
  <si>
    <t>bracygroshko@gmail.com</t>
  </si>
  <si>
    <t>517-756-8370</t>
  </si>
  <si>
    <t>Katey</t>
  </si>
  <si>
    <t>1446 S Grand Baker</t>
  </si>
  <si>
    <t>kgibson0784@hotmail.com</t>
  </si>
  <si>
    <t>303-319-2636</t>
  </si>
  <si>
    <t xml:space="preserve">Ellen </t>
  </si>
  <si>
    <t>3405 E 128th Place</t>
  </si>
  <si>
    <t>egibson@aol.com</t>
  </si>
  <si>
    <t>970-946-0344</t>
  </si>
  <si>
    <t>Brooklyn</t>
  </si>
  <si>
    <t>Depue</t>
  </si>
  <si>
    <t>13421 Shoshone St</t>
  </si>
  <si>
    <t>Westminster</t>
  </si>
  <si>
    <t>80234</t>
  </si>
  <si>
    <t>larrykeppler@gmail.com</t>
  </si>
  <si>
    <t>Zane</t>
  </si>
  <si>
    <t>Cope</t>
  </si>
  <si>
    <t>1040 Road 110A</t>
  </si>
  <si>
    <t>Hereford579@gmail.com</t>
  </si>
  <si>
    <t>307-399-2622</t>
  </si>
  <si>
    <t>Bonnie</t>
  </si>
  <si>
    <t>Carnesecca</t>
  </si>
  <si>
    <t>2036 Abilene Ct</t>
  </si>
  <si>
    <t>carneseccabonnie@gmail.com</t>
  </si>
  <si>
    <t>408-209-2924</t>
  </si>
  <si>
    <t>Best</t>
  </si>
  <si>
    <t>PO Box 164</t>
  </si>
  <si>
    <t>ajheller93@yahoo.com</t>
  </si>
  <si>
    <t>307-421-7683</t>
  </si>
  <si>
    <t>Jaxine</t>
  </si>
  <si>
    <t>Barhite</t>
  </si>
  <si>
    <t>9601 Mason  Road</t>
  </si>
  <si>
    <t>j.barhite@icloud.com</t>
  </si>
  <si>
    <t>307-421-1926</t>
  </si>
  <si>
    <t>Trea</t>
  </si>
  <si>
    <t>Allen</t>
  </si>
  <si>
    <t>39288 Olsen Drive</t>
  </si>
  <si>
    <t>Kiowa</t>
  </si>
  <si>
    <t>treaallen14@gmail.com</t>
  </si>
  <si>
    <t>303-818-6977</t>
  </si>
  <si>
    <t>August</t>
  </si>
  <si>
    <t>Wenzel</t>
  </si>
  <si>
    <t>111857 James</t>
  </si>
  <si>
    <t>awenzeld@msn.com</t>
  </si>
  <si>
    <t>307-631-6533</t>
  </si>
  <si>
    <t xml:space="preserve">Cole </t>
  </si>
  <si>
    <t>Tully</t>
  </si>
  <si>
    <t>901 Date St</t>
  </si>
  <si>
    <t>cole.l.tully@gmail.com</t>
  </si>
  <si>
    <t>307-321-2997</t>
  </si>
  <si>
    <t xml:space="preserve">Alice </t>
  </si>
  <si>
    <t>PO Box 111</t>
  </si>
  <si>
    <t>Shawnee</t>
  </si>
  <si>
    <t>glenn.ryan@usda.gov</t>
  </si>
  <si>
    <t>707-367-1679</t>
  </si>
  <si>
    <t>Pontoriero</t>
  </si>
  <si>
    <t>360 Road 102</t>
  </si>
  <si>
    <t>Granite Canyon</t>
  </si>
  <si>
    <t>aspenstarranch8@gmail.com</t>
  </si>
  <si>
    <t>Robert</t>
  </si>
  <si>
    <t>80612</t>
  </si>
  <si>
    <t>bob@frontrange-pc.com</t>
  </si>
  <si>
    <t>970-290-5598</t>
  </si>
  <si>
    <t>Newkirk</t>
  </si>
  <si>
    <t>4044 Plum Creek Drive</t>
  </si>
  <si>
    <t>mnepllc@gmail.com</t>
  </si>
  <si>
    <t>970-227-8892</t>
  </si>
  <si>
    <t>Martinez</t>
  </si>
  <si>
    <t>29752 County Road 53</t>
  </si>
  <si>
    <t>reiterhauswd@gmail.com</t>
  </si>
  <si>
    <t>303-845-0816</t>
  </si>
  <si>
    <t>Kraft</t>
  </si>
  <si>
    <t>162 Kraft Lane</t>
  </si>
  <si>
    <t>cheri.kraft1@gmail.com</t>
  </si>
  <si>
    <t>970-443-7732</t>
  </si>
  <si>
    <t>Drake</t>
  </si>
  <si>
    <t>PO Box 454</t>
  </si>
  <si>
    <t>80758</t>
  </si>
  <si>
    <t>drakejjohnson@gmail.com</t>
  </si>
  <si>
    <t>970-597-0117</t>
  </si>
  <si>
    <t>Giffin</t>
  </si>
  <si>
    <t>1876 I 25 Service Road</t>
  </si>
  <si>
    <t>newmankh2004@msn.com</t>
  </si>
  <si>
    <t>307-640-1647</t>
  </si>
  <si>
    <t>Debi</t>
  </si>
  <si>
    <t>Decorsey</t>
  </si>
  <si>
    <t>619 Noe Road</t>
  </si>
  <si>
    <t>debidec@gmail.com</t>
  </si>
  <si>
    <t>303-249-5152</t>
  </si>
  <si>
    <t>Shelbie</t>
  </si>
  <si>
    <t>Burke</t>
  </si>
  <si>
    <t>2201 Skeel Street</t>
  </si>
  <si>
    <t>shelbieburke17@gmail.com</t>
  </si>
  <si>
    <t>303-827-8774</t>
  </si>
  <si>
    <t>Madisyn</t>
  </si>
  <si>
    <t>Cutler</t>
  </si>
  <si>
    <t>34625 Road 760</t>
  </si>
  <si>
    <t>Elsie</t>
  </si>
  <si>
    <t>madisyn175@gmail.com</t>
  </si>
  <si>
    <t>308-883-1946</t>
  </si>
  <si>
    <t>Brazelton</t>
  </si>
  <si>
    <t>14570 Umpire Street</t>
  </si>
  <si>
    <t>Brishton</t>
  </si>
  <si>
    <t>b.g.brazelton@gmail.com</t>
  </si>
  <si>
    <t>253-225-3955</t>
  </si>
  <si>
    <t>Waite</t>
  </si>
  <si>
    <t>243 S-I Rd</t>
  </si>
  <si>
    <t>caijwaite@hotmail.com</t>
  </si>
  <si>
    <t>308-562-0148</t>
  </si>
  <si>
    <t>Estela</t>
  </si>
  <si>
    <t>Price-Foster</t>
  </si>
  <si>
    <t>957 Wild Cherry Lane</t>
  </si>
  <si>
    <t>kpricefoster@gmail.com</t>
  </si>
  <si>
    <t>970-430-9594</t>
  </si>
  <si>
    <t>2899 CR 80</t>
  </si>
  <si>
    <t>phroggunr@hotmail.com</t>
  </si>
  <si>
    <t>970-443-9128</t>
  </si>
  <si>
    <t>Emmarie</t>
  </si>
  <si>
    <t>Michaell</t>
  </si>
  <si>
    <t>Kitten</t>
  </si>
  <si>
    <t>7640 N CR 19</t>
  </si>
  <si>
    <t>michaellkitten@gmail.com</t>
  </si>
  <si>
    <t>970-443-6097</t>
  </si>
  <si>
    <t>Alyssa</t>
  </si>
  <si>
    <t>Gomez</t>
  </si>
  <si>
    <t>13750 Burlington Blvd</t>
  </si>
  <si>
    <t>sissikg@gmail.com</t>
  </si>
  <si>
    <t>303-257-3649</t>
  </si>
  <si>
    <t>Brewer</t>
  </si>
  <si>
    <t>whfbrewer@gmail.com</t>
  </si>
  <si>
    <t>Bishop</t>
  </si>
  <si>
    <t>274 Road West 70</t>
  </si>
  <si>
    <t>Ogallala</t>
  </si>
  <si>
    <t>sbishop@atcje.net</t>
  </si>
  <si>
    <t>308-289-1860</t>
  </si>
  <si>
    <t>Warrick</t>
  </si>
  <si>
    <t>Bergroth</t>
  </si>
  <si>
    <t>450 Balsam St</t>
  </si>
  <si>
    <t>80226</t>
  </si>
  <si>
    <t>wbergroth@gmail.com</t>
  </si>
  <si>
    <t>303-842-2799</t>
  </si>
  <si>
    <t>Garrett</t>
  </si>
  <si>
    <t>Ashby</t>
  </si>
  <si>
    <t>8162 E CR 20C</t>
  </si>
  <si>
    <t>ashbygarrett@gmail.com</t>
  </si>
  <si>
    <t>402-350-8895</t>
  </si>
  <si>
    <t>Elana</t>
  </si>
  <si>
    <t>TerAvest</t>
  </si>
  <si>
    <t>2020 Burbank Street</t>
  </si>
  <si>
    <t>elanateravest@hotmail.com</t>
  </si>
  <si>
    <t>970-290-5021</t>
  </si>
  <si>
    <t>Weir</t>
  </si>
  <si>
    <t>1021 Hillcrest Dr</t>
  </si>
  <si>
    <t>k.kelseyweir@gmail.com</t>
  </si>
  <si>
    <t>720-285-0450</t>
  </si>
  <si>
    <t>Greg</t>
  </si>
  <si>
    <t>47539 Cty Rd D</t>
  </si>
  <si>
    <t>smith.amberlynn1@gmail.com</t>
  </si>
  <si>
    <t>970-630-2581</t>
  </si>
  <si>
    <t>Teaghan</t>
  </si>
  <si>
    <t>9162 Tollgate Drive</t>
  </si>
  <si>
    <t>tweir@skybeam.com</t>
  </si>
  <si>
    <t>720-200-2863</t>
  </si>
  <si>
    <t>Stephenson</t>
  </si>
  <si>
    <t>dana7stephenson@gmail.com</t>
  </si>
  <si>
    <t>303-709-6733</t>
  </si>
  <si>
    <t>Kristin</t>
  </si>
  <si>
    <t>Bullard</t>
  </si>
  <si>
    <t>396 Painted Horse Way</t>
  </si>
  <si>
    <t>kbullard@psiwy.com</t>
  </si>
  <si>
    <t>307-333-3499</t>
  </si>
  <si>
    <t>Alvey</t>
  </si>
  <si>
    <t>16883 McKiva Court</t>
  </si>
  <si>
    <t>kimberlyalvey@yahoo.com</t>
  </si>
  <si>
    <t>301-580-5876</t>
  </si>
  <si>
    <t>Kimberlee</t>
  </si>
  <si>
    <t>Gabel</t>
  </si>
  <si>
    <t>32751 Highway 14</t>
  </si>
  <si>
    <t>gabelstable@aol.com</t>
  </si>
  <si>
    <t>970-302-9675</t>
  </si>
  <si>
    <t>Olivo</t>
  </si>
  <si>
    <t>3400 Meining Rd</t>
  </si>
  <si>
    <t>dmolivo@gmail.com</t>
  </si>
  <si>
    <t>970-213-1562</t>
  </si>
  <si>
    <t>Simpson</t>
  </si>
  <si>
    <t>Woodland Park</t>
  </si>
  <si>
    <t>miranda.simpson2021@gmail.com</t>
  </si>
  <si>
    <t>719-985-1096</t>
  </si>
  <si>
    <t>Beresford</t>
  </si>
  <si>
    <t>alishab17@gmail.com</t>
  </si>
  <si>
    <t>720-501-0391</t>
  </si>
  <si>
    <t>Savannah</t>
  </si>
  <si>
    <t>McGuire</t>
  </si>
  <si>
    <t>19740 Buckhorn Rd</t>
  </si>
  <si>
    <t>Bellvue</t>
  </si>
  <si>
    <t>paula2060@rocketmail.com</t>
  </si>
  <si>
    <t>970-222-7176</t>
  </si>
  <si>
    <t>Alexandra</t>
  </si>
  <si>
    <t>Parsaye</t>
  </si>
  <si>
    <t>4639 Rutters Drive</t>
  </si>
  <si>
    <t>alexschoen030@gmail.com</t>
  </si>
  <si>
    <t>970-396-6398</t>
  </si>
  <si>
    <t>Pointer</t>
  </si>
  <si>
    <t>24247 CR 38</t>
  </si>
  <si>
    <t>susanspointer@gmail.com</t>
  </si>
  <si>
    <t>303-726-3948</t>
  </si>
  <si>
    <t>Haun</t>
  </si>
  <si>
    <t>48605 CR 19</t>
  </si>
  <si>
    <t>amanda@dhaun.com</t>
  </si>
  <si>
    <t>970-581-5820</t>
  </si>
  <si>
    <t>Zacharias</t>
  </si>
  <si>
    <t>35297 County Rd 57</t>
  </si>
  <si>
    <t>Gill</t>
  </si>
  <si>
    <t>smurfzach@gmail.com</t>
  </si>
  <si>
    <t>970-815-1325</t>
  </si>
  <si>
    <t>Hayes</t>
  </si>
  <si>
    <t>685 Pioneer Dr</t>
  </si>
  <si>
    <t>Milliken</t>
  </si>
  <si>
    <t>80543</t>
  </si>
  <si>
    <t>julie.hayes316@gmail.com</t>
  </si>
  <si>
    <t>970-580-1221</t>
  </si>
  <si>
    <t>PO Box 788</t>
  </si>
  <si>
    <t>Torrington</t>
  </si>
  <si>
    <t>wwg@bbc.net</t>
  </si>
  <si>
    <t>Braden</t>
  </si>
  <si>
    <t>Mortensen</t>
  </si>
  <si>
    <t>26487 Morgan County Rd T</t>
  </si>
  <si>
    <t>Brush</t>
  </si>
  <si>
    <t>braden.mort11@gmail.com</t>
  </si>
  <si>
    <t>970-380-9011</t>
  </si>
  <si>
    <t>Regina</t>
  </si>
  <si>
    <t>Wells</t>
  </si>
  <si>
    <t>417 Utah St</t>
  </si>
  <si>
    <t>cheygwells@yahoo.com</t>
  </si>
  <si>
    <t>307-214-0181</t>
  </si>
  <si>
    <t>Huntra</t>
  </si>
  <si>
    <t>Christensen</t>
  </si>
  <si>
    <t>210 E 2nd Street</t>
  </si>
  <si>
    <t>hchristensen13@unl.edu</t>
  </si>
  <si>
    <t>402-326-5824</t>
  </si>
  <si>
    <t>Murusky</t>
  </si>
  <si>
    <t>38307 E 147th Pl</t>
  </si>
  <si>
    <t>hmurucky.work@gmail.com</t>
  </si>
  <si>
    <t>Bailey</t>
  </si>
  <si>
    <t>Bixenman</t>
  </si>
  <si>
    <t>4998 W R 110 S</t>
  </si>
  <si>
    <t>Grainfield</t>
  </si>
  <si>
    <t>KS</t>
  </si>
  <si>
    <t>babixenman@hotmail.com</t>
  </si>
  <si>
    <t>785-673-6702</t>
  </si>
  <si>
    <t>Stephan</t>
  </si>
  <si>
    <t>15153 St Paul Street</t>
  </si>
  <si>
    <t>pinkcatevilgenius@gmail.com</t>
  </si>
  <si>
    <t>303-250-6676</t>
  </si>
  <si>
    <t>Emily</t>
  </si>
  <si>
    <t>stephanemily@gmail.com</t>
  </si>
  <si>
    <t>303-946-5608</t>
  </si>
  <si>
    <t>Becky</t>
  </si>
  <si>
    <t>Osborne</t>
  </si>
  <si>
    <t>12081 West 32nd Drive</t>
  </si>
  <si>
    <t>Wheat Ridge</t>
  </si>
  <si>
    <t>beck.osborne@gmail.com</t>
  </si>
  <si>
    <t>303-250-5499</t>
  </si>
  <si>
    <t>Tiffany</t>
  </si>
  <si>
    <t>Stauffer</t>
  </si>
  <si>
    <t xml:space="preserve">6025 Koda </t>
  </si>
  <si>
    <t>stauffer405@gmail.com</t>
  </si>
  <si>
    <t>715-450-4372</t>
  </si>
  <si>
    <t xml:space="preserve">Amy </t>
  </si>
  <si>
    <t>PO Box 72</t>
  </si>
  <si>
    <t>Baggs</t>
  </si>
  <si>
    <t>amynorbitolson@gmail.com</t>
  </si>
  <si>
    <t>307-710-7780</t>
  </si>
  <si>
    <t>944 S Indian Bend Dr</t>
  </si>
  <si>
    <t>aqhacuttingirl@yahoo.com</t>
  </si>
  <si>
    <t>719-240-1540</t>
  </si>
  <si>
    <t>Abbi</t>
  </si>
  <si>
    <t>442 Paradise Valley Road</t>
  </si>
  <si>
    <t>Riveton</t>
  </si>
  <si>
    <t>ali1115@cwc.edu</t>
  </si>
  <si>
    <t>307-858-7002</t>
  </si>
  <si>
    <t>L Joan</t>
  </si>
  <si>
    <t>Seckar</t>
  </si>
  <si>
    <t>27777 Nicholson Road</t>
  </si>
  <si>
    <t>ljseckar@gmail.com</t>
  </si>
  <si>
    <t>719-251-9968</t>
  </si>
  <si>
    <t>Oxley</t>
  </si>
  <si>
    <t>113 Hobbs Avenue</t>
  </si>
  <si>
    <t>oskim@centurylink.net</t>
  </si>
  <si>
    <t>307-634-4693</t>
  </si>
  <si>
    <t>Julian</t>
  </si>
  <si>
    <t>Nemmers</t>
  </si>
  <si>
    <t>14128 N 115th</t>
  </si>
  <si>
    <t>jgnemmers@gmail.com</t>
  </si>
  <si>
    <t>303-775-4650</t>
  </si>
  <si>
    <t>Robin</t>
  </si>
  <si>
    <t>Lombard</t>
  </si>
  <si>
    <t>4370 Bergemann Road</t>
  </si>
  <si>
    <t>robinrider1@hotmail.com</t>
  </si>
  <si>
    <t>719-465-1081</t>
  </si>
  <si>
    <t>Hardrick</t>
  </si>
  <si>
    <t>796 O Street</t>
  </si>
  <si>
    <t>Penrose</t>
  </si>
  <si>
    <t>ikiespikie@hotmail.com</t>
  </si>
  <si>
    <t>719-251-8375</t>
  </si>
  <si>
    <t>Coley</t>
  </si>
  <si>
    <t>1654 Ames Court</t>
  </si>
  <si>
    <t>acminusten@gmail.com</t>
  </si>
  <si>
    <t>404-409-2082</t>
  </si>
  <si>
    <t>Cole</t>
  </si>
  <si>
    <t>PO Box 1561</t>
  </si>
  <si>
    <t>Riverton</t>
  </si>
  <si>
    <t>jen13cole@gmail.com</t>
  </si>
  <si>
    <t>307-851-7705</t>
  </si>
  <si>
    <t>Geri</t>
  </si>
  <si>
    <t>Dahle</t>
  </si>
  <si>
    <t>27431 Road Z</t>
  </si>
  <si>
    <t>kkdahle2000@aol.com</t>
  </si>
  <si>
    <t>970-768-2037</t>
  </si>
  <si>
    <t>5602 N Hwy 1</t>
  </si>
  <si>
    <t>khperformancehorses@yahoo.com</t>
  </si>
  <si>
    <t>970-420-4073</t>
  </si>
  <si>
    <t>Teena</t>
  </si>
  <si>
    <t>7936 Columbine Ave</t>
  </si>
  <si>
    <t>80530</t>
  </si>
  <si>
    <t>twb239@msn.com</t>
  </si>
  <si>
    <t>720-363-0097</t>
  </si>
  <si>
    <t>Brown</t>
  </si>
  <si>
    <t>26185 WCR 10</t>
  </si>
  <si>
    <t>blbrown@what-wire.com</t>
  </si>
  <si>
    <t>303-915-5827</t>
  </si>
  <si>
    <t>Durovka-Dowd</t>
  </si>
  <si>
    <t>32825 E 140th Way</t>
  </si>
  <si>
    <t>nancyddowd@gmail.com</t>
  </si>
  <si>
    <t>720-984-5126</t>
  </si>
  <si>
    <t>3845 Mount Baker Street</t>
  </si>
  <si>
    <t>dmbnny1@yahoo.com</t>
  </si>
  <si>
    <t>970-420-8401</t>
  </si>
  <si>
    <t>Nankervis</t>
  </si>
  <si>
    <t>4553 Highplains Dr</t>
  </si>
  <si>
    <t>Bethoud</t>
  </si>
  <si>
    <t>rzn@mesanetworks.net</t>
  </si>
  <si>
    <t>303-210-4760</t>
  </si>
  <si>
    <t>Andrews</t>
  </si>
  <si>
    <t>5212 Getaway Drive</t>
  </si>
  <si>
    <t>ikia1818@yahoo.com</t>
  </si>
  <si>
    <t>970-215-7133</t>
  </si>
  <si>
    <t>Corgan</t>
  </si>
  <si>
    <t>1610 Westbridge Drive #553</t>
  </si>
  <si>
    <t>mecorgan@gmail.com</t>
  </si>
  <si>
    <t>858-731-6609</t>
  </si>
  <si>
    <t>Vivian</t>
  </si>
  <si>
    <t>Beard</t>
  </si>
  <si>
    <t>300 N. Star Loop</t>
  </si>
  <si>
    <t>gqtr@aol.com</t>
  </si>
  <si>
    <t>307-631-2204</t>
  </si>
  <si>
    <t>7300 CR 15</t>
  </si>
  <si>
    <t>debbiekay.david@gmail.com</t>
  </si>
  <si>
    <t>970-554-0308</t>
  </si>
  <si>
    <t>Bryson</t>
  </si>
  <si>
    <t>Wagner</t>
  </si>
  <si>
    <t>39011 Private Rd 17</t>
  </si>
  <si>
    <t>wagnertrainingco@gmail.com</t>
  </si>
  <si>
    <t>308-627-5748</t>
  </si>
  <si>
    <t>33050 Alpine Lane</t>
  </si>
  <si>
    <t>stewartshannon28@gmail.com</t>
  </si>
  <si>
    <t>303-434-1739</t>
  </si>
  <si>
    <t>Margaret</t>
  </si>
  <si>
    <t>Peine</t>
  </si>
  <si>
    <t>8033 Countryside Park # 201</t>
  </si>
  <si>
    <t>peine.meg@gmail.com</t>
  </si>
  <si>
    <t>303-386-2989</t>
  </si>
  <si>
    <t>9088 Golden Fields Lane</t>
  </si>
  <si>
    <t>brittany.s.johnson1@gmail.com</t>
  </si>
  <si>
    <t>303-518-5124</t>
  </si>
  <si>
    <t>Marilyn</t>
  </si>
  <si>
    <t>Pamela</t>
  </si>
  <si>
    <t>Bauer</t>
  </si>
  <si>
    <t>3433 Maple Circle</t>
  </si>
  <si>
    <t>pm_bauer@msn.com</t>
  </si>
  <si>
    <t>303-717-3390</t>
  </si>
  <si>
    <t>Kenny</t>
  </si>
  <si>
    <t>Scott</t>
  </si>
  <si>
    <t>180 Bobcat Drive</t>
  </si>
  <si>
    <t>303-653-3284</t>
  </si>
  <si>
    <t>Judi</t>
  </si>
  <si>
    <t>Stoddard</t>
  </si>
  <si>
    <t>11520 Hwy 392</t>
  </si>
  <si>
    <t>jbarsperformancehorses@gmail.com</t>
  </si>
  <si>
    <t>605-569-1255</t>
  </si>
  <si>
    <t>Hart</t>
  </si>
  <si>
    <t>4515 Meier Rd</t>
  </si>
  <si>
    <t>82604</t>
  </si>
  <si>
    <t>heather.gabbard@yahoo.com</t>
  </si>
  <si>
    <t>307-277-1419</t>
  </si>
  <si>
    <t>2415 Road 218</t>
  </si>
  <si>
    <t>86chelle@gmail.com</t>
  </si>
  <si>
    <t>307-286-8948</t>
  </si>
  <si>
    <t>Webster</t>
  </si>
  <si>
    <t>2314 Eagleview Cir</t>
  </si>
  <si>
    <t>diana7749@gmail.com</t>
  </si>
  <si>
    <t>303-517-6504</t>
  </si>
  <si>
    <t>Karp</t>
  </si>
  <si>
    <t>15380 Great Rock Rd</t>
  </si>
  <si>
    <t>Juliekarp67@gmail.com</t>
  </si>
  <si>
    <t>303-653-6338</t>
  </si>
  <si>
    <t>Hanes</t>
  </si>
  <si>
    <t>1800 N County Road 23</t>
  </si>
  <si>
    <t>kphanes10@hotmail.com</t>
  </si>
  <si>
    <t>970-744-9516</t>
  </si>
  <si>
    <t>Reilly</t>
  </si>
  <si>
    <t>Dhaliwal</t>
  </si>
  <si>
    <t>166 S Cedar Brook Rd</t>
  </si>
  <si>
    <t>Boulder</t>
  </si>
  <si>
    <t>80304</t>
  </si>
  <si>
    <t>reillydhaliwal@gmail.com</t>
  </si>
  <si>
    <t>303-931-4486</t>
  </si>
  <si>
    <t>Chapin</t>
  </si>
  <si>
    <t>8717 Chase Dr. #233</t>
  </si>
  <si>
    <t>80003</t>
  </si>
  <si>
    <t>kimberlychapin88@gmail.com</t>
  </si>
  <si>
    <t>760-815-8649</t>
  </si>
  <si>
    <t>Stacy</t>
  </si>
  <si>
    <t>Stern</t>
  </si>
  <si>
    <t>5715 Northern Lights</t>
  </si>
  <si>
    <t>stacystern2@yahoo.com</t>
  </si>
  <si>
    <t>901-461-6901</t>
  </si>
  <si>
    <t>Piaseck</t>
  </si>
  <si>
    <t>1584 E. 131st Place</t>
  </si>
  <si>
    <t>hpiaseck@yahoo.com</t>
  </si>
  <si>
    <t>303-875-2436</t>
  </si>
  <si>
    <t>Hovel</t>
  </si>
  <si>
    <t>1910 Eagle Dr</t>
  </si>
  <si>
    <t>crowcreekmeat@bresnan.net</t>
  </si>
  <si>
    <t>307-221-2403</t>
  </si>
  <si>
    <t>Tonya</t>
  </si>
  <si>
    <t>Barnhart</t>
  </si>
  <si>
    <t>PO Box 217</t>
  </si>
  <si>
    <t>sunrisridr@aol.com</t>
  </si>
  <si>
    <t>970-227-5237</t>
  </si>
  <si>
    <t>Phillip</t>
  </si>
  <si>
    <t>Franken</t>
  </si>
  <si>
    <t>28659 Ladonna Vista Lane</t>
  </si>
  <si>
    <t>phil@bitsandspurshorsemanship.com</t>
  </si>
  <si>
    <t>303-601-1861</t>
  </si>
  <si>
    <t>3180 Kendall St</t>
  </si>
  <si>
    <t>Wheatridge</t>
  </si>
  <si>
    <t>80124</t>
  </si>
  <si>
    <t>livelaughlove0648@gmail.com</t>
  </si>
  <si>
    <t>720-413-3460</t>
  </si>
  <si>
    <t>Kaitlyn</t>
  </si>
  <si>
    <t>7813 CR 24</t>
  </si>
  <si>
    <t>kfaye@uwyo.edu</t>
  </si>
  <si>
    <t>970-673-6581</t>
  </si>
  <si>
    <t>Jama</t>
  </si>
  <si>
    <t>Mickler</t>
  </si>
  <si>
    <t>4012 Road 115</t>
  </si>
  <si>
    <t>69141</t>
  </si>
  <si>
    <t>Jama.mickler@egging.com</t>
  </si>
  <si>
    <t>308-249-6632</t>
  </si>
  <si>
    <t>Kimberly</t>
  </si>
  <si>
    <t>Sherrard</t>
  </si>
  <si>
    <t>34632 Wagon Wheel Trail</t>
  </si>
  <si>
    <t>kimber.sherrard@gmail.com</t>
  </si>
  <si>
    <t>303-946-3734</t>
  </si>
  <si>
    <t>Carlee</t>
  </si>
  <si>
    <t>Stutz</t>
  </si>
  <si>
    <t>PO Box 1034</t>
  </si>
  <si>
    <t>carleestutz@gmail.com</t>
  </si>
  <si>
    <t>970-402-3745</t>
  </si>
  <si>
    <t>Rhegan</t>
  </si>
  <si>
    <t>Devier</t>
  </si>
  <si>
    <t>5249 Road 119</t>
  </si>
  <si>
    <t>Dalton</t>
  </si>
  <si>
    <t>69131</t>
  </si>
  <si>
    <t>rhegan.horsenut@gmail.com</t>
  </si>
  <si>
    <t>308-250-0778</t>
  </si>
  <si>
    <t>Wood</t>
  </si>
  <si>
    <t>3620 w 10th St. STE B 512</t>
  </si>
  <si>
    <t>woodlivestock@yahoo.com</t>
  </si>
  <si>
    <t>Marla</t>
  </si>
  <si>
    <t>Maxey</t>
  </si>
  <si>
    <t>5788 N Highway 1</t>
  </si>
  <si>
    <t>mmaxeymlf@gmail.com</t>
  </si>
  <si>
    <t>970-237-9736</t>
  </si>
  <si>
    <t>Wadding</t>
  </si>
  <si>
    <t>2174 Woodpecker Ln</t>
  </si>
  <si>
    <t>caitlin.wadding@gmail.com</t>
  </si>
  <si>
    <t>303-304-6830</t>
  </si>
  <si>
    <t>Singhas</t>
  </si>
  <si>
    <t>1128 Wagon Box Rd</t>
  </si>
  <si>
    <t>imbull53@aol.com</t>
  </si>
  <si>
    <t>307-433-4933</t>
  </si>
  <si>
    <t>Campbell</t>
  </si>
  <si>
    <t>149 Reservoir Road</t>
  </si>
  <si>
    <t>Capturedspiritranch@gmail.com</t>
  </si>
  <si>
    <t>307-331-9575</t>
  </si>
  <si>
    <t>Mimi</t>
  </si>
  <si>
    <t>Pfaff</t>
  </si>
  <si>
    <t>10450 Garrison St</t>
  </si>
  <si>
    <t>80021</t>
  </si>
  <si>
    <t>1.tough.kiwi@gmail.com</t>
  </si>
  <si>
    <t>303-475-0556</t>
  </si>
  <si>
    <t>Johanna</t>
  </si>
  <si>
    <t>Hegel</t>
  </si>
  <si>
    <t>39751 E Florida Dr</t>
  </si>
  <si>
    <t>80102</t>
  </si>
  <si>
    <t>johannasabados@gmail.com</t>
  </si>
  <si>
    <t>303-927-9533</t>
  </si>
  <si>
    <t>539 Vanderbilt Drive</t>
  </si>
  <si>
    <t>Placentia</t>
  </si>
  <si>
    <t>CA</t>
  </si>
  <si>
    <t>92870</t>
  </si>
  <si>
    <t>rebecca_moore99@yahoo.com</t>
  </si>
  <si>
    <t>714-399-6396</t>
  </si>
  <si>
    <t>Roger</t>
  </si>
  <si>
    <t>Bates</t>
  </si>
  <si>
    <t>102 Arabian Court</t>
  </si>
  <si>
    <t>batesandbates@man.com</t>
  </si>
  <si>
    <t>970-215-5796</t>
  </si>
  <si>
    <t>Diane</t>
  </si>
  <si>
    <t>1118 St James Rd</t>
  </si>
  <si>
    <t>307-630-8442</t>
  </si>
  <si>
    <t>Jordyn</t>
  </si>
  <si>
    <t>Troglin</t>
  </si>
  <si>
    <t>338 Lupine Dr - LD338B</t>
  </si>
  <si>
    <t>jordyntroglin@gmail.com</t>
  </si>
  <si>
    <t>505-252-6900</t>
  </si>
  <si>
    <t>Keri</t>
  </si>
  <si>
    <t>304 Hollyberry ln. Dr</t>
  </si>
  <si>
    <t>80303</t>
  </si>
  <si>
    <t>keridavis77@gmail.com</t>
  </si>
  <si>
    <t>303-859-1877</t>
  </si>
  <si>
    <t>Walsh</t>
  </si>
  <si>
    <t>13387 Olive St</t>
  </si>
  <si>
    <t>80601</t>
  </si>
  <si>
    <t>wal7603@theacademyk12.org</t>
  </si>
  <si>
    <t>303-903-5760</t>
  </si>
  <si>
    <t>Kasydi</t>
  </si>
  <si>
    <t>Valentine</t>
  </si>
  <si>
    <t>24520 Carlin Street</t>
  </si>
  <si>
    <t>kasydivalentine@gmail.com</t>
  </si>
  <si>
    <t>303-941-0606</t>
  </si>
  <si>
    <t>4617 Sheridan</t>
  </si>
  <si>
    <t>shannon.914@hotmail.com</t>
  </si>
  <si>
    <t>970-690-5754</t>
  </si>
  <si>
    <t>Lavert</t>
  </si>
  <si>
    <t>Avent</t>
  </si>
  <si>
    <t>13635 Murphy rd</t>
  </si>
  <si>
    <t>Elbert</t>
  </si>
  <si>
    <t>80106</t>
  </si>
  <si>
    <t>laperformancehorses@yahoo.com</t>
  </si>
  <si>
    <t>505-429-7180</t>
  </si>
  <si>
    <t>Amy</t>
  </si>
  <si>
    <t>D'Epagnier</t>
  </si>
  <si>
    <t>14785 Hayesmount Rd</t>
  </si>
  <si>
    <t>adiamond2242@gmail.com</t>
  </si>
  <si>
    <t>303-981-5468</t>
  </si>
  <si>
    <t>Klement</t>
  </si>
  <si>
    <t>7309 Horsechestnut</t>
  </si>
  <si>
    <t>pamela.klement@gmail.com</t>
  </si>
  <si>
    <t>970-460-0736</t>
  </si>
  <si>
    <t>Helgans</t>
  </si>
  <si>
    <t>1735 Mapleton Ave</t>
  </si>
  <si>
    <t>edhelgans@hotmail.com</t>
  </si>
  <si>
    <t>720-840-1452</t>
  </si>
  <si>
    <t>Erickson</t>
  </si>
  <si>
    <t>134 Rambla Del Caballo</t>
  </si>
  <si>
    <t>Stanley</t>
  </si>
  <si>
    <t>87056</t>
  </si>
  <si>
    <t>ryan.erickson45@gmail.com</t>
  </si>
  <si>
    <t>505-469-2474</t>
  </si>
  <si>
    <t>Hersh</t>
  </si>
  <si>
    <t>PO Box 507</t>
  </si>
  <si>
    <t>equinefeline53@gmail.com</t>
  </si>
  <si>
    <t>970-219-5687</t>
  </si>
  <si>
    <t>P.O. Box 772331</t>
  </si>
  <si>
    <t>80477</t>
  </si>
  <si>
    <t>amberelliott@mindspring.com</t>
  </si>
  <si>
    <t>970-846-2891</t>
  </si>
  <si>
    <t>Gillian</t>
  </si>
  <si>
    <t>Gendreau</t>
  </si>
  <si>
    <t>356 Lupine Dr.</t>
  </si>
  <si>
    <t>Callie</t>
  </si>
  <si>
    <t>9056 Del Camino Lane</t>
  </si>
  <si>
    <t>cjleathershop@gmail.com</t>
  </si>
  <si>
    <t>303-249-2235</t>
  </si>
  <si>
    <t>Weaber</t>
  </si>
  <si>
    <t>36428 WCR 27</t>
  </si>
  <si>
    <t>nweaber@yahoo.com</t>
  </si>
  <si>
    <t>Ginger</t>
  </si>
  <si>
    <t>Matney</t>
  </si>
  <si>
    <t>1195 Isabell Street</t>
  </si>
  <si>
    <t>gingermatney@gmail.com</t>
  </si>
  <si>
    <t>303-881-9127</t>
  </si>
  <si>
    <t>Kelsi</t>
  </si>
  <si>
    <t>PO Box 3382</t>
  </si>
  <si>
    <t>Eagle</t>
  </si>
  <si>
    <t>douglasride19@gmail.com</t>
  </si>
  <si>
    <t>970-390-5515</t>
  </si>
  <si>
    <t>Looman</t>
  </si>
  <si>
    <t>hannahlooman@gmail.com</t>
  </si>
  <si>
    <t>Sara</t>
  </si>
  <si>
    <t>Ostrand</t>
  </si>
  <si>
    <t>3745 Greenwood Rd</t>
  </si>
  <si>
    <t>s.r.ostrand@gmail.com</t>
  </si>
  <si>
    <t>720-224-1642</t>
  </si>
  <si>
    <t>Conley</t>
  </si>
  <si>
    <t>3076 North County Road 3</t>
  </si>
  <si>
    <t>devin.conley@hotmail.com</t>
  </si>
  <si>
    <t>970-593-2688</t>
  </si>
  <si>
    <t>Grace</t>
  </si>
  <si>
    <t>Romo</t>
  </si>
  <si>
    <t>3915 Glacier Court</t>
  </si>
  <si>
    <t>graceromo01@gmail.com</t>
  </si>
  <si>
    <t>970-689-4527</t>
  </si>
  <si>
    <t>Vial</t>
  </si>
  <si>
    <t>24759 Pleasant Park Rd</t>
  </si>
  <si>
    <t>vialbryan99@gmail.com</t>
  </si>
  <si>
    <t>303-642-6303</t>
  </si>
  <si>
    <t>Karin</t>
  </si>
  <si>
    <t>Troendle</t>
  </si>
  <si>
    <t>5640 N Hwy 1</t>
  </si>
  <si>
    <t>karintroendle@yahoo.com</t>
  </si>
  <si>
    <t>970-222-9281</t>
  </si>
  <si>
    <t>Brynn</t>
  </si>
  <si>
    <t>Heil</t>
  </si>
  <si>
    <t>5225 W 11th St  #1606</t>
  </si>
  <si>
    <t>brynnheil@hotmail.com</t>
  </si>
  <si>
    <t>720-785-4327</t>
  </si>
  <si>
    <t>Allison</t>
  </si>
  <si>
    <t>251 E Highway 60</t>
  </si>
  <si>
    <t>860-287-8163</t>
  </si>
  <si>
    <t>Rachael</t>
  </si>
  <si>
    <t>Motzkus</t>
  </si>
  <si>
    <t>P.O. Box 373 - 2220 Rd 157</t>
  </si>
  <si>
    <t>Chappell</t>
  </si>
  <si>
    <t>69129</t>
  </si>
  <si>
    <t>rachael.motzkus@yahoo.com</t>
  </si>
  <si>
    <t>308-874-5010</t>
  </si>
  <si>
    <t>Abigail</t>
  </si>
  <si>
    <t>Larson</t>
  </si>
  <si>
    <t>PO Box 813</t>
  </si>
  <si>
    <t>Kemmerer</t>
  </si>
  <si>
    <t>83101</t>
  </si>
  <si>
    <t>abslarson99@yahoo.com</t>
  </si>
  <si>
    <t>307-727-8999</t>
  </si>
  <si>
    <t>caitlinrenee714@gamil.com</t>
  </si>
  <si>
    <t>307-640-4993</t>
  </si>
  <si>
    <t>Addysen</t>
  </si>
  <si>
    <t>Rosner</t>
  </si>
  <si>
    <t>7507 Ridge Rd</t>
  </si>
  <si>
    <t>rosnera22@gmail.com</t>
  </si>
  <si>
    <t>307-287-2766</t>
  </si>
  <si>
    <t>Wayne</t>
  </si>
  <si>
    <t>Schill</t>
  </si>
  <si>
    <t>177 Ayers Rd</t>
  </si>
  <si>
    <t>wayne.schill@yahoo.com</t>
  </si>
  <si>
    <t>931-249-9375</t>
  </si>
  <si>
    <t>Andie</t>
  </si>
  <si>
    <t>12435 Hwy 392</t>
  </si>
  <si>
    <t>aroseee63@gmail.com</t>
  </si>
  <si>
    <t>970-492-5662</t>
  </si>
  <si>
    <t>rocknsperformancehorses@outlook.com</t>
  </si>
  <si>
    <t>720-503-5252</t>
  </si>
  <si>
    <t>Jonelle</t>
  </si>
  <si>
    <t>Castleberry</t>
  </si>
  <si>
    <t>23 Manzanita</t>
  </si>
  <si>
    <t>Littleton</t>
  </si>
  <si>
    <t>80127</t>
  </si>
  <si>
    <t>jonelle.castleberry@gmail.com</t>
  </si>
  <si>
    <t>303-905-1013</t>
  </si>
  <si>
    <t>Gale</t>
  </si>
  <si>
    <t>900 Starling Lane</t>
  </si>
  <si>
    <t>dglpd@yahoo.com</t>
  </si>
  <si>
    <t>303-919-4973</t>
  </si>
  <si>
    <t>845 E 1st Street</t>
  </si>
  <si>
    <t>lairdleslie@hotmail.com</t>
  </si>
  <si>
    <t>970-630-8158</t>
  </si>
  <si>
    <t>3445 Christy Ridge Rd</t>
  </si>
  <si>
    <t>smith3445@aol.com</t>
  </si>
  <si>
    <t>303-663-7387</t>
  </si>
  <si>
    <t>Morgan</t>
  </si>
  <si>
    <t>Sailer</t>
  </si>
  <si>
    <t>3543 South County Rd 7</t>
  </si>
  <si>
    <t>dndsailer@gmail.com</t>
  </si>
  <si>
    <t>970-566-9931</t>
  </si>
  <si>
    <t>Nusser</t>
  </si>
  <si>
    <t>6900 Saint Vrain Rd</t>
  </si>
  <si>
    <t>amber.nusser15@gmail.com</t>
  </si>
  <si>
    <t>303-776-7484</t>
  </si>
  <si>
    <t>Makayla</t>
  </si>
  <si>
    <t>mraemotzkus@gmail.com</t>
  </si>
  <si>
    <t>970-520-9951</t>
  </si>
  <si>
    <t>Sinclair</t>
  </si>
  <si>
    <t>13395 Braun Rd</t>
  </si>
  <si>
    <t>80401</t>
  </si>
  <si>
    <t>sinclairem@gmail.com</t>
  </si>
  <si>
    <t>303-722-0722</t>
  </si>
  <si>
    <t>Regin</t>
  </si>
  <si>
    <t>regin.fletcher@gmail.com</t>
  </si>
  <si>
    <t>719-580-8809</t>
  </si>
  <si>
    <t>Sharpe</t>
  </si>
  <si>
    <t>6605 Kremers Lane</t>
  </si>
  <si>
    <t>cindyngeorge9@gmail.com</t>
  </si>
  <si>
    <t>970-567-1775</t>
  </si>
  <si>
    <t>Logan</t>
  </si>
  <si>
    <t>george.logan@mac.com</t>
  </si>
  <si>
    <t>970-567-1776</t>
  </si>
  <si>
    <t>14785 Hayes Ct</t>
  </si>
  <si>
    <t>misssunbar@gmail.com</t>
  </si>
  <si>
    <t>303-775-4593</t>
  </si>
  <si>
    <t>Kluza</t>
  </si>
  <si>
    <t>1014 Andrews Peak Drive  Unit C108</t>
  </si>
  <si>
    <t>ash@kluza.net</t>
  </si>
  <si>
    <t>209-712-2208</t>
  </si>
  <si>
    <t>Brenna</t>
  </si>
  <si>
    <t>DeGeer</t>
  </si>
  <si>
    <t>7197 Hwy 14</t>
  </si>
  <si>
    <t>pntdhrslady@gmail.com</t>
  </si>
  <si>
    <t>307-370-0162</t>
  </si>
  <si>
    <t>Petrocco</t>
  </si>
  <si>
    <t>5405 S County Road 23</t>
  </si>
  <si>
    <t>paigelcfrodeoqueen@gmail.com</t>
  </si>
  <si>
    <t>303-656-6331</t>
  </si>
  <si>
    <t>Payton</t>
  </si>
  <si>
    <t>Porterfield</t>
  </si>
  <si>
    <t>14781 N Meadow Woods St</t>
  </si>
  <si>
    <t>brendaberlin21@gmail.com</t>
  </si>
  <si>
    <t>720-219-8972</t>
  </si>
  <si>
    <t>McCaslin</t>
  </si>
  <si>
    <t>PO Box 400 - 1779 Palisade Mtn Dr</t>
  </si>
  <si>
    <t>80515</t>
  </si>
  <si>
    <t>lilsdriften@gmail.com</t>
  </si>
  <si>
    <t>720-237-9046</t>
  </si>
  <si>
    <t>Mallory</t>
  </si>
  <si>
    <t>61924 HWY 90</t>
  </si>
  <si>
    <t>sortinggal@live.com</t>
  </si>
  <si>
    <t>970-260-0201</t>
  </si>
  <si>
    <t>Eric</t>
  </si>
  <si>
    <t>Bronder</t>
  </si>
  <si>
    <t>2861 Brooks Blvd</t>
  </si>
  <si>
    <t>trialaska@yahoo.com</t>
  </si>
  <si>
    <t>307-757-5026</t>
  </si>
  <si>
    <t>Brigitte</t>
  </si>
  <si>
    <t>356 Lupine Dr</t>
  </si>
  <si>
    <t>brigitte.101@gmail.com</t>
  </si>
  <si>
    <t>253-514-9833</t>
  </si>
  <si>
    <t>Kailynn</t>
  </si>
  <si>
    <t>Stoll</t>
  </si>
  <si>
    <t>7441 Bachman Drive</t>
  </si>
  <si>
    <t>mannerspro@gmail.com</t>
  </si>
  <si>
    <t>303-946-4802</t>
  </si>
  <si>
    <t>Larry</t>
  </si>
  <si>
    <t>Stoermer</t>
  </si>
  <si>
    <t>3180 Calhoun Byers Rd</t>
  </si>
  <si>
    <t>Byers</t>
  </si>
  <si>
    <t>larryvickie@aol.com</t>
  </si>
  <si>
    <t>303-929-1735</t>
  </si>
  <si>
    <t>Plothow</t>
  </si>
  <si>
    <t>813 S Summit View Dr</t>
  </si>
  <si>
    <t>nplothow17@gmail.com</t>
  </si>
  <si>
    <t>720-579-2432</t>
  </si>
  <si>
    <t>Carey</t>
  </si>
  <si>
    <t>800 US Highway 287</t>
  </si>
  <si>
    <t>82070</t>
  </si>
  <si>
    <t>dr.edwards.dvm@gmail.com</t>
  </si>
  <si>
    <t>307-761-3980</t>
  </si>
  <si>
    <t>Aubrey C</t>
  </si>
  <si>
    <t>Ari</t>
  </si>
  <si>
    <t>Mischo</t>
  </si>
  <si>
    <t>4833 Haystack Dr</t>
  </si>
  <si>
    <t>ari.mischo@gmail.com</t>
  </si>
  <si>
    <t>970-933-0074</t>
  </si>
  <si>
    <t>Jamie</t>
  </si>
  <si>
    <t>6577 Cottonwood Shores Dr</t>
  </si>
  <si>
    <t>jamiestory@yahoo.com</t>
  </si>
  <si>
    <t>970-691-0113</t>
  </si>
  <si>
    <t>Nuttall</t>
  </si>
  <si>
    <t>Thermopolis</t>
  </si>
  <si>
    <t>taylor.nuttall24@gamil.com</t>
  </si>
  <si>
    <t>406-425-0411</t>
  </si>
  <si>
    <t>Malmgren</t>
  </si>
  <si>
    <t>24296 Agate Trail</t>
  </si>
  <si>
    <t>Deer Trail</t>
  </si>
  <si>
    <t>80105</t>
  </si>
  <si>
    <t>davidmalmg@q.com</t>
  </si>
  <si>
    <t>303-621-0198</t>
  </si>
  <si>
    <t>Valerie</t>
  </si>
  <si>
    <t>3351 E. 120TH Ave  21-204</t>
  </si>
  <si>
    <t>80233</t>
  </si>
  <si>
    <t>nananurse2000@hotmail.com</t>
  </si>
  <si>
    <t>734-255-2604</t>
  </si>
  <si>
    <t>Pruett</t>
  </si>
  <si>
    <t>3487 WCR 61</t>
  </si>
  <si>
    <t>imapruett@gmail.com</t>
  </si>
  <si>
    <t>303-732-4533</t>
  </si>
  <si>
    <t>80214</t>
  </si>
  <si>
    <t>srt7921@gmail.com</t>
  </si>
  <si>
    <t>720-971-3224</t>
  </si>
  <si>
    <t>Marit</t>
  </si>
  <si>
    <t>14552 Race St</t>
  </si>
  <si>
    <t>queenmarit@msn.com</t>
  </si>
  <si>
    <t>303-789-9937</t>
  </si>
  <si>
    <t xml:space="preserve">Aubrey  </t>
  </si>
  <si>
    <t>11421 CO RD 74</t>
  </si>
  <si>
    <t>aubreylind@aol.com</t>
  </si>
  <si>
    <t>Stundon</t>
  </si>
  <si>
    <t>158 Windsong</t>
  </si>
  <si>
    <t>Black Hawk</t>
  </si>
  <si>
    <t>dmstundon@gmail.com</t>
  </si>
  <si>
    <t>720-891-8696</t>
  </si>
  <si>
    <t>Boone</t>
  </si>
  <si>
    <t>18197 County Road 25</t>
  </si>
  <si>
    <t>80723</t>
  </si>
  <si>
    <t>sboonednp@gmail.com</t>
  </si>
  <si>
    <t>970-380-7022</t>
  </si>
  <si>
    <t>Gray</t>
  </si>
  <si>
    <t>Samenfink</t>
  </si>
  <si>
    <t>2865 County Road 10</t>
  </si>
  <si>
    <t>agrays@mesanetowrks.net</t>
  </si>
  <si>
    <t>303-395-5815</t>
  </si>
  <si>
    <t>Winger</t>
  </si>
  <si>
    <t>4380 Road 123</t>
  </si>
  <si>
    <t>cjwinger@hotmail.com</t>
  </si>
  <si>
    <t>307-630-2523</t>
  </si>
  <si>
    <t>Shane</t>
  </si>
  <si>
    <t>Hoer</t>
  </si>
  <si>
    <t>1227 Adams St</t>
  </si>
  <si>
    <t>Blair</t>
  </si>
  <si>
    <t>68008</t>
  </si>
  <si>
    <t>shanehoer@yahoo.com</t>
  </si>
  <si>
    <t>402-699-4503</t>
  </si>
  <si>
    <t>PO Box 95</t>
  </si>
  <si>
    <t>Saratoga</t>
  </si>
  <si>
    <t>boxbarcross@yahoo.com</t>
  </si>
  <si>
    <t>720-435-3839</t>
  </si>
  <si>
    <t>Coon</t>
  </si>
  <si>
    <t>7286 Road 45 Unit A</t>
  </si>
  <si>
    <t>82240</t>
  </si>
  <si>
    <t>karen.coon9@gmail.com</t>
  </si>
  <si>
    <t>307-532-1756</t>
  </si>
  <si>
    <t>32702 County Road V</t>
  </si>
  <si>
    <t>codycurtisace@gmail.com</t>
  </si>
  <si>
    <t>970-847-3078</t>
  </si>
  <si>
    <t>Jodie</t>
  </si>
  <si>
    <t>Witt</t>
  </si>
  <si>
    <t>15244 Singletree Dr</t>
  </si>
  <si>
    <t>jodie.witt@outlook.com</t>
  </si>
  <si>
    <t>970-222-3922</t>
  </si>
  <si>
    <t>Jennay</t>
  </si>
  <si>
    <t>Terrell</t>
  </si>
  <si>
    <t>1400 E. College Drive</t>
  </si>
  <si>
    <t>jennayt0024@gmail.com</t>
  </si>
  <si>
    <t>970-630-5924</t>
  </si>
  <si>
    <t>Daynon</t>
  </si>
  <si>
    <t>Mowry</t>
  </si>
  <si>
    <t>1340 E. College Dr</t>
  </si>
  <si>
    <t>307-321-3871</t>
  </si>
  <si>
    <t>Anisha</t>
  </si>
  <si>
    <t>Kumar</t>
  </si>
  <si>
    <t>3002 W. Elizabeth #20H</t>
  </si>
  <si>
    <t>anisha.kumar06@gmail.com</t>
  </si>
  <si>
    <t>949-300-0130</t>
  </si>
  <si>
    <t>Tritz</t>
  </si>
  <si>
    <t>1761 E. 114th Place</t>
  </si>
  <si>
    <t>Northglenn</t>
  </si>
  <si>
    <t>mariah@intrepidkarma.com</t>
  </si>
  <si>
    <t>720-388-0439</t>
  </si>
  <si>
    <t>Kaylynn</t>
  </si>
  <si>
    <t>Sheldon</t>
  </si>
  <si>
    <t>140 Jansma Lane</t>
  </si>
  <si>
    <t>Manhattan</t>
  </si>
  <si>
    <t>MT</t>
  </si>
  <si>
    <t>kaylynnsheldon@gmail.com</t>
  </si>
  <si>
    <t>720-467-8409</t>
  </si>
  <si>
    <t>Sumner</t>
  </si>
  <si>
    <t>5211 Eastview St</t>
  </si>
  <si>
    <t>helenmse@aol.com</t>
  </si>
  <si>
    <t>307-632-8334</t>
  </si>
  <si>
    <t>Mataya</t>
  </si>
  <si>
    <t>Christina</t>
  </si>
  <si>
    <t>Haxton</t>
  </si>
  <si>
    <t>393 Dawson Rd</t>
  </si>
  <si>
    <t>Pine Junction</t>
  </si>
  <si>
    <t>80470</t>
  </si>
  <si>
    <t>christinahaxton@gmail.com</t>
  </si>
  <si>
    <t>720-936-2725</t>
  </si>
  <si>
    <t xml:space="preserve">Kay </t>
  </si>
  <si>
    <t>Brass</t>
  </si>
  <si>
    <t>43573 ROAD 750</t>
  </si>
  <si>
    <t>Lexington</t>
  </si>
  <si>
    <t>68850</t>
  </si>
  <si>
    <t>kbrass@atcjet.net</t>
  </si>
  <si>
    <t>308-324-1871</t>
  </si>
  <si>
    <t>Darlene</t>
  </si>
  <si>
    <t>Brunkhardt</t>
  </si>
  <si>
    <t>5388 Road 56</t>
  </si>
  <si>
    <t>wseoils307@gmail.com</t>
  </si>
  <si>
    <t>307-575-7577</t>
  </si>
  <si>
    <t>Jackie</t>
  </si>
  <si>
    <t>Danielsen</t>
  </si>
  <si>
    <t>20911 MCR 33</t>
  </si>
  <si>
    <t>jdan630@hotmail.com</t>
  </si>
  <si>
    <t>970-380-0188</t>
  </si>
  <si>
    <t>Kathryn</t>
  </si>
  <si>
    <t>Cotton</t>
  </si>
  <si>
    <t>2019 Carls Road</t>
  </si>
  <si>
    <t>kcimaf@gmail.com</t>
  </si>
  <si>
    <t>307-630-0291</t>
  </si>
  <si>
    <t>Hurd</t>
  </si>
  <si>
    <t>7080 Mckenzie Loop</t>
  </si>
  <si>
    <t>Lmhurd33@yahoo.com</t>
  </si>
  <si>
    <t>307-630-4331</t>
  </si>
  <si>
    <t>Klenda</t>
  </si>
  <si>
    <t>21540 County Road U.5</t>
  </si>
  <si>
    <t>klkmrk@gmail.com</t>
  </si>
  <si>
    <t>970-768-6514</t>
  </si>
  <si>
    <t>Ratzloff</t>
  </si>
  <si>
    <t>P.O. Box 444</t>
  </si>
  <si>
    <t>alyssa.ratzloff@gmail.com</t>
  </si>
  <si>
    <t>970-568-9540</t>
  </si>
  <si>
    <t>Williamsen</t>
  </si>
  <si>
    <t>730 E County Rd 66 E</t>
  </si>
  <si>
    <t>janetwilliamsen@aol.com</t>
  </si>
  <si>
    <t>970-342-0133</t>
  </si>
  <si>
    <t>80475</t>
  </si>
  <si>
    <t>720-320-8731</t>
  </si>
  <si>
    <t>Wacey</t>
  </si>
  <si>
    <t>Flack</t>
  </si>
  <si>
    <t>25387 CR 58</t>
  </si>
  <si>
    <t>waceyflack@gmail.com</t>
  </si>
  <si>
    <t>Kirsten</t>
  </si>
  <si>
    <t>2 Bellflower</t>
  </si>
  <si>
    <t>ksmith426@student.cccs.edu</t>
  </si>
  <si>
    <t>303-903-3444</t>
  </si>
  <si>
    <t>Arp</t>
  </si>
  <si>
    <t>624 W. CR 66</t>
  </si>
  <si>
    <t>razz2@msn.com</t>
  </si>
  <si>
    <t>970-214-0964</t>
  </si>
  <si>
    <t>Becker</t>
  </si>
  <si>
    <t>508 Center Ave</t>
  </si>
  <si>
    <t>69025</t>
  </si>
  <si>
    <t>beckerbrooklyn1@gmail.com</t>
  </si>
  <si>
    <t>308-293-2190</t>
  </si>
  <si>
    <t>Ed</t>
  </si>
  <si>
    <t>Kimgrough</t>
  </si>
  <si>
    <t>2573 Falling Star Loop</t>
  </si>
  <si>
    <t>edkimbro@gmail.com</t>
  </si>
  <si>
    <t>307-221-3462</t>
  </si>
  <si>
    <t>Maranda</t>
  </si>
  <si>
    <t>Vomund</t>
  </si>
  <si>
    <t>580 Viridian Drive Apt#311</t>
  </si>
  <si>
    <t>marandavomund@comcast.net</t>
  </si>
  <si>
    <t>925-202-3880</t>
  </si>
  <si>
    <t>Colette</t>
  </si>
  <si>
    <t>Ledlow</t>
  </si>
  <si>
    <t>PO Box 181</t>
  </si>
  <si>
    <t>coletteledlow1@gmail.com</t>
  </si>
  <si>
    <t>970-518-3056</t>
  </si>
  <si>
    <t>laura.bergroth@ucdenver.edu</t>
  </si>
  <si>
    <t>303-249-1802</t>
  </si>
  <si>
    <t>Katherine</t>
  </si>
  <si>
    <t>8354 E CO RD 20C</t>
  </si>
  <si>
    <t>bellaire007@gmail.com</t>
  </si>
  <si>
    <t>970-222-3678</t>
  </si>
  <si>
    <t>Mackenzie</t>
  </si>
  <si>
    <t>Armstrong</t>
  </si>
  <si>
    <t>7166 E County Road 16</t>
  </si>
  <si>
    <t>cintiaa@mail.com</t>
  </si>
  <si>
    <t>970-481-2868</t>
  </si>
  <si>
    <t>MacGuire</t>
  </si>
  <si>
    <t>amacguire1@msn.com</t>
  </si>
  <si>
    <t>Forsythe</t>
  </si>
  <si>
    <t>501 Crook Ave Apt 5</t>
  </si>
  <si>
    <t>makayle.forsythe@gamil.com</t>
  </si>
  <si>
    <t>402-310-1657</t>
  </si>
  <si>
    <t>Conkey-Sajban</t>
  </si>
  <si>
    <t>12619 Flagg Dr</t>
  </si>
  <si>
    <t>80026</t>
  </si>
  <si>
    <t>michelleconkey@gmail.com</t>
  </si>
  <si>
    <t>303-877-4835</t>
  </si>
  <si>
    <t>573 17TH Road</t>
  </si>
  <si>
    <t>Thurston</t>
  </si>
  <si>
    <t>68062</t>
  </si>
  <si>
    <t>drjohn01pps@gmail.com</t>
  </si>
  <si>
    <t>402-922-0790</t>
  </si>
  <si>
    <t>Krystal</t>
  </si>
  <si>
    <t>2105 Estes Street</t>
  </si>
  <si>
    <t>80215</t>
  </si>
  <si>
    <t>estes143@msn.com</t>
  </si>
  <si>
    <t>720-205-5698</t>
  </si>
  <si>
    <t>Abbie</t>
  </si>
  <si>
    <t>Ferris</t>
  </si>
  <si>
    <t>1926 14TH ST RD</t>
  </si>
  <si>
    <t>toadielu@gmail.com</t>
  </si>
  <si>
    <t>714-227-3247</t>
  </si>
  <si>
    <t>sent 4/6/2026</t>
  </si>
  <si>
    <t>Joanne</t>
  </si>
  <si>
    <t>Hergenreder</t>
  </si>
  <si>
    <t>43323 Fletcher Rd</t>
  </si>
  <si>
    <t>Moorefield</t>
  </si>
  <si>
    <t>69039</t>
  </si>
  <si>
    <t>jhergenreder2@unl.edu</t>
  </si>
  <si>
    <t>308-367-5291</t>
  </si>
  <si>
    <t>Briana</t>
  </si>
  <si>
    <t>raiders-1_2010@hotmail.com</t>
  </si>
  <si>
    <t>970-380-0204</t>
  </si>
  <si>
    <t>Roark</t>
  </si>
  <si>
    <t>29458 County Road Q</t>
  </si>
  <si>
    <t>tom.westernsales@gmail.com</t>
  </si>
  <si>
    <t>970-842-2566</t>
  </si>
  <si>
    <t>1982 Van Buren St</t>
  </si>
  <si>
    <t>pgibson3@uwyo.edu</t>
  </si>
  <si>
    <t>307-461-2332</t>
  </si>
  <si>
    <t>Vicki</t>
  </si>
  <si>
    <t>Benson</t>
  </si>
  <si>
    <t>P.O. Box 1430</t>
  </si>
  <si>
    <t>vickibenson@yahoo.com</t>
  </si>
  <si>
    <t>303-646-9890</t>
  </si>
  <si>
    <t>Kyle</t>
  </si>
  <si>
    <t>Likes</t>
  </si>
  <si>
    <t>6855 Road 41</t>
  </si>
  <si>
    <t>Mancos</t>
  </si>
  <si>
    <t>81328</t>
  </si>
  <si>
    <t>kylelikes13@gmail.com</t>
  </si>
  <si>
    <t>970-560-4749</t>
  </si>
  <si>
    <t>Cynthia</t>
  </si>
  <si>
    <t>Meredith</t>
  </si>
  <si>
    <t>12986 N. 5th St</t>
  </si>
  <si>
    <t>cyndicrco@yahoo.com</t>
  </si>
  <si>
    <t>303-688-7534</t>
  </si>
  <si>
    <t>Kerry</t>
  </si>
  <si>
    <t>Miriam</t>
  </si>
  <si>
    <t>Altman</t>
  </si>
  <si>
    <t>Merrill</t>
  </si>
  <si>
    <t>P.O. Box 20519</t>
  </si>
  <si>
    <t>jenimerrill@vcn.com</t>
  </si>
  <si>
    <t>307-630-8866</t>
  </si>
  <si>
    <t>Leah</t>
  </si>
  <si>
    <t>39882 CO RD 33</t>
  </si>
  <si>
    <t>ljcgriggith@gmail.com</t>
  </si>
  <si>
    <t>970-309-5753</t>
  </si>
  <si>
    <t>7790 WCR 42</t>
  </si>
  <si>
    <t>emilyanne.dahle@gmail.com</t>
  </si>
  <si>
    <t>970-768-2062</t>
  </si>
  <si>
    <t>24951 Road 9.5</t>
  </si>
  <si>
    <t>kdwood96@gmail.com</t>
  </si>
  <si>
    <t>970-768-3355</t>
  </si>
  <si>
    <t>Norris</t>
  </si>
  <si>
    <t>24968 Road 9.5</t>
  </si>
  <si>
    <t>norrishorses@hotmail.com</t>
  </si>
  <si>
    <t>970-768-0261</t>
  </si>
  <si>
    <t>Newell</t>
  </si>
  <si>
    <t>18917 Wapiti Circle</t>
  </si>
  <si>
    <t>sooners2@hughes.net</t>
  </si>
  <si>
    <t>719-221-9310</t>
  </si>
  <si>
    <t>Sue</t>
  </si>
  <si>
    <t>Gentle</t>
  </si>
  <si>
    <t>1008 Ole Maverick Rd</t>
  </si>
  <si>
    <t>sbgentle@hotmail.com</t>
  </si>
  <si>
    <t>307-630-0340</t>
  </si>
  <si>
    <t>sent 3/5/2026</t>
  </si>
  <si>
    <t>Bryana</t>
  </si>
  <si>
    <t>26619 WCR 76</t>
  </si>
  <si>
    <t>deb@debtannehill.com</t>
  </si>
  <si>
    <t>Carol</t>
  </si>
  <si>
    <t>Ackerman</t>
  </si>
  <si>
    <t>1205 N CR 3</t>
  </si>
  <si>
    <t>cjohnacker@gmail.com</t>
  </si>
  <si>
    <t>Sterkel</t>
  </si>
  <si>
    <t>310 East Union Ave</t>
  </si>
  <si>
    <t>ksterkel42@gmail.com</t>
  </si>
  <si>
    <t>720-308-8942</t>
  </si>
  <si>
    <t>3752 WCR 7</t>
  </si>
  <si>
    <t>sterkel.livestock@gmail.com</t>
  </si>
  <si>
    <t>303-601-9463</t>
  </si>
  <si>
    <t>Bill</t>
  </si>
  <si>
    <t>wrgentle@gmail.com</t>
  </si>
  <si>
    <t>307-630-1284</t>
  </si>
  <si>
    <t>Lange</t>
  </si>
  <si>
    <t>8355 Quay Dr</t>
  </si>
  <si>
    <t>steve@langerealty.net</t>
  </si>
  <si>
    <t>303-887-8710</t>
  </si>
  <si>
    <t>Cintia</t>
  </si>
  <si>
    <t>Coates</t>
  </si>
  <si>
    <t>1726 Horse Creek Rd</t>
  </si>
  <si>
    <t>wyodcc@gmail.com</t>
  </si>
  <si>
    <t>307-631-7155</t>
  </si>
  <si>
    <t>4715 Horse Creek Road</t>
  </si>
  <si>
    <t>sdianesteele@aol.com</t>
  </si>
  <si>
    <t>307-421-6719</t>
  </si>
  <si>
    <t>Dona</t>
  </si>
  <si>
    <t>Ramsteck</t>
  </si>
  <si>
    <t>7509 WCR 24</t>
  </si>
  <si>
    <t>hunterrhodes@aol.com</t>
  </si>
  <si>
    <t>970-669-1114</t>
  </si>
  <si>
    <t>Londi</t>
  </si>
  <si>
    <t>Stout</t>
  </si>
  <si>
    <t>11499 CR 40.5</t>
  </si>
  <si>
    <t>londistout@hotmail.com</t>
  </si>
  <si>
    <t>970-217-7030</t>
  </si>
  <si>
    <t>Kathleen</t>
  </si>
  <si>
    <t>McPhaul</t>
  </si>
  <si>
    <t>13122 W. 30th Dr</t>
  </si>
  <si>
    <t>mcphaulkathleen@gmail.com</t>
  </si>
  <si>
    <t>970-371-7199</t>
  </si>
  <si>
    <t>10934 Coonrod Rd</t>
  </si>
  <si>
    <t>casey_tia@hotmail.com</t>
  </si>
  <si>
    <t>307-640-1739</t>
  </si>
  <si>
    <t>sent 4/15/2026</t>
  </si>
  <si>
    <t>Melinda</t>
  </si>
  <si>
    <t>Grendell</t>
  </si>
  <si>
    <t>8768 CO RD 134</t>
  </si>
  <si>
    <t>80117</t>
  </si>
  <si>
    <t>melindagrendell@hotmail.com</t>
  </si>
  <si>
    <t>970-485-2257</t>
  </si>
  <si>
    <t>Parry</t>
  </si>
  <si>
    <t>22509 CR 48</t>
  </si>
  <si>
    <t>emilydayparry@aol.com</t>
  </si>
  <si>
    <t>970-520-1068</t>
  </si>
  <si>
    <t>Don</t>
  </si>
  <si>
    <t>delding@gmail.com</t>
  </si>
  <si>
    <t>970-430-9985</t>
  </si>
  <si>
    <t>8162 E. CR 20C</t>
  </si>
  <si>
    <t>nowherebutup@live.com</t>
  </si>
  <si>
    <t>970-214-9983</t>
  </si>
  <si>
    <t>Troy</t>
  </si>
  <si>
    <t>troy@kaiserwyo.com</t>
  </si>
  <si>
    <t>307-640-0808</t>
  </si>
  <si>
    <t>Wayne A.</t>
  </si>
  <si>
    <t>Miller</t>
  </si>
  <si>
    <t>10375 CR 118</t>
  </si>
  <si>
    <t>wayne.miller@colostate.edu</t>
  </si>
  <si>
    <t>970-672-6982</t>
  </si>
  <si>
    <t>Brasher</t>
  </si>
  <si>
    <t>Collegiate</t>
  </si>
  <si>
    <t>None</t>
  </si>
  <si>
    <t>Colorado State College</t>
  </si>
  <si>
    <t>mlbrashaer@hotmail.com</t>
  </si>
  <si>
    <t>303-718-0565</t>
  </si>
  <si>
    <t>No membership Required</t>
  </si>
  <si>
    <t>Coach</t>
  </si>
  <si>
    <t>none</t>
  </si>
  <si>
    <t>Central Wyo College</t>
  </si>
  <si>
    <t>jcole@cwcd.edu</t>
  </si>
  <si>
    <t>307-855-2302</t>
  </si>
  <si>
    <t>Dunkel</t>
  </si>
  <si>
    <t>SHTX</t>
  </si>
  <si>
    <t>jill@dunkeldesigns.com</t>
  </si>
  <si>
    <t>855-846-7468</t>
  </si>
  <si>
    <t>NCTA</t>
  </si>
  <si>
    <t>Elias</t>
  </si>
  <si>
    <t>Hutchinson</t>
  </si>
  <si>
    <t>Univ of Wyo</t>
  </si>
  <si>
    <t>ehutchi2@uwyo.edu</t>
  </si>
  <si>
    <t>307-766-3977</t>
  </si>
  <si>
    <t>AJ</t>
  </si>
  <si>
    <t>NJC</t>
  </si>
  <si>
    <t>amanda.morgan@njc.edu</t>
  </si>
  <si>
    <t>303-587-9398</t>
  </si>
  <si>
    <t>RMQHA</t>
  </si>
  <si>
    <t>jwitt@rmqha.com</t>
  </si>
  <si>
    <t>303-659-7752</t>
  </si>
  <si>
    <t>Contacts</t>
  </si>
  <si>
    <t>l</t>
  </si>
  <si>
    <t>Membership Duration (1, 3 or lifetime)</t>
  </si>
  <si>
    <t>Renewal Due</t>
  </si>
  <si>
    <t>Moreno</t>
  </si>
  <si>
    <t>General</t>
  </si>
  <si>
    <t>youth</t>
  </si>
  <si>
    <t>Youth</t>
  </si>
  <si>
    <t>Rabecca</t>
  </si>
  <si>
    <t>Angela</t>
  </si>
  <si>
    <t>Tane'</t>
  </si>
  <si>
    <t xml:space="preserve">Crytal </t>
  </si>
  <si>
    <t>Smantha</t>
  </si>
  <si>
    <t>Active</t>
  </si>
  <si>
    <t>Ferreia</t>
  </si>
  <si>
    <t>Thorton</t>
  </si>
  <si>
    <t xml:space="preserve">	marissa.grimsdale@gmail.com</t>
  </si>
  <si>
    <t>468 S Clarkson St</t>
  </si>
  <si>
    <t>80209</t>
  </si>
  <si>
    <t>donnakrug@gmail.com</t>
  </si>
  <si>
    <t>Florrissant</t>
  </si>
  <si>
    <t>1808</t>
  </si>
  <si>
    <t>kittyp@frii.com</t>
  </si>
  <si>
    <t>Expires</t>
  </si>
  <si>
    <r>
      <rPr>
        <rFont val="Arial"/>
        <color rgb="FF000000"/>
        <sz val="14.0"/>
        <u/>
      </rPr>
      <t>isabel.mouer@gmail.com</t>
    </r>
  </si>
  <si>
    <t>Marcus</t>
  </si>
  <si>
    <t>8181 East 136th Ave.</t>
  </si>
  <si>
    <t>Cherry Hills Villiage</t>
  </si>
  <si>
    <t>54426 Flacon Rd</t>
  </si>
  <si>
    <t>Pasossa Springs</t>
  </si>
  <si>
    <t>?????</t>
  </si>
  <si>
    <t>1424 Lookout Valley Ct</t>
  </si>
  <si>
    <t>7005 Cnty Rd 126 1/2</t>
  </si>
  <si>
    <t>autocratn</t>
  </si>
  <si>
    <t>autocratp</t>
  </si>
  <si>
    <t>dataSheetName</t>
  </si>
  <si>
    <t>"Memberships"</t>
  </si>
  <si>
    <t>v</t>
  </si>
  <si>
    <t>"5.1"</t>
  </si>
  <si>
    <t>dataSheetId</t>
  </si>
  <si>
    <t>"0.0"</t>
  </si>
  <si>
    <t>updateTime</t>
  </si>
  <si>
    <t>"1.759964009034E12"</t>
  </si>
  <si>
    <t>vp</t>
  </si>
  <si>
    <t>ssId</t>
  </si>
  <si>
    <t>"10hExShqrXbEI6-WJp49ovWFOE0z1a22dCncgw97xmBo"</t>
  </si>
  <si>
    <t>Job ID</t>
  </si>
  <si>
    <t>Job Name</t>
  </si>
  <si>
    <t>Template ID</t>
  </si>
  <si>
    <t>Data Sheet ID</t>
  </si>
  <si>
    <t>Header Row</t>
  </si>
  <si>
    <t>First Data Row</t>
  </si>
  <si>
    <t>File Name</t>
  </si>
  <si>
    <t>File Type</t>
  </si>
  <si>
    <t>Share As</t>
  </si>
  <si>
    <t>Folders</t>
  </si>
  <si>
    <t>Dynamic Folder Reference</t>
  </si>
  <si>
    <t>Conditionals</t>
  </si>
  <si>
    <t>Mode</t>
  </si>
  <si>
    <t>Append Breaks</t>
  </si>
  <si>
    <t>Tags</t>
  </si>
  <si>
    <t>Run On Time Trigger</t>
  </si>
  <si>
    <t>Time Trigger Frequency</t>
  </si>
  <si>
    <t>Run On Form Trigger</t>
  </si>
  <si>
    <t>Send Email And Share</t>
  </si>
  <si>
    <t>Email To</t>
  </si>
  <si>
    <t>Email CC</t>
  </si>
  <si>
    <t>Email BCC</t>
  </si>
  <si>
    <t>Email Reply To</t>
  </si>
  <si>
    <t>Email No Reply</t>
  </si>
  <si>
    <t>Email Subject</t>
  </si>
  <si>
    <t>Email Body</t>
  </si>
  <si>
    <t>Prevent Resharing</t>
  </si>
  <si>
    <t>Time Trigger Timestamp</t>
  </si>
  <si>
    <t>Form Trigger Timestamp</t>
  </si>
  <si>
    <t>_1742016450873</t>
  </si>
  <si>
    <t>CoWN Membership Emailing</t>
  </si>
  <si>
    <t>1vVXLedYJa6yTgSnKU-E28CBRYgbHU28zjmMujL84fnc</t>
  </si>
  <si>
    <t>&lt;&lt;First&gt;&gt; &lt;&lt;Last&gt;&gt; 2025 CoWN Membership Card</t>
  </si>
  <si>
    <t>PDF</t>
  </si>
  <si>
    <t>["1E2saGPu1kXmOIemU9fRj07M1TOE1R09f"]</t>
  </si>
  <si>
    <t>[]</t>
  </si>
  <si>
    <t>[{"headerMap":"sent","value":"send"}]</t>
  </si>
  <si>
    <t>MULTIPLE_OUTPUT</t>
  </si>
  <si>
    <t>[{"tag":"First","type":"STANDARD","details":{"isUnmapped":false,"headerMap":"First"}},{"tag":"Last","type":"STANDARD","details":{"isUnmapped":false,"headerMap":"Last"}},{"tag":"CoWN #","type":"STANDARD","details":{"isUnmapped":false,"headerMap":"CoWN #"}},{"tag":"TYPE","type":"STANDARD","details":{"isUnmapped":false,"headerMap":"Type"}},{"tag":"Expires","type":"STANDARD","details":{"isUnmapped":false,"headerMap":"Expiration Date"}}]</t>
  </si>
  <si>
    <t>&lt;&lt;Recipient&gt;&gt;</t>
  </si>
  <si>
    <t>COWN Stock Horse Association</t>
  </si>
  <si>
    <t>2025 COWN Membership</t>
  </si>
  <si>
    <t>Hi &lt;&lt;First&gt;&gt;,
Welcome to the Colorado, Wyoming, and Nebraska Stock Horse Association - CoWN!   
We’re thrilled to have you as a member.
Attached is your official membership card, which contains your membership details.
&lt;strong&gt;
  Member Name:  &lt;&lt;First&gt;&gt; &lt;&lt;Last&gt;&gt;
  Membership ID:  &lt;&lt;CoWN #&gt;&gt;
  Membership Type: &lt;&lt;Type&gt;&gt;
  Expiration Date: &lt;&lt;Expires&gt;&gt;
&lt;/strong&gt;
Benefits included with your annual CoWN membership:
   • CoWN Membership
   • SHTx Membership
   • Access to all of our clinics and events throughout the year
   • Records will be maintained on you and your horse for all CoWN-approved events
   • CoWN newsletters and e-blasts
You can always check &lt;strong&gt;member information, division eligibility, or renew&lt;/strong&gt; on the &lt;a href="http://cownsh.com"&gt;&lt;strong&gt;CoWN Website&lt;/strong&gt;&lt;/a&gt;. Check out our &lt;strong&gt;2025 show schedule&lt;/strong&gt;!&lt;/p&gt;
&lt;p&gt;&amp;nbsp;&lt;strong&gt;Your membership card is attached as a PDF.&lt;/strong&gt; Please keep it handy for verification and benefits access.&lt;/p&gt;
&lt;h3&gt;&lt;strong&gt;Visit Our Parent Organization: &lt;/strong&gt;&lt;a href="https://stockhorsetexas.org/"&gt;&lt;strong&gt;SHTX&lt;/strong&gt;&lt;/a&gt;&lt;/h3&gt;
Included in your membership is a membership to &lt;strong&gt;Stock Horse of Texas (SHTX)&lt;/strong&gt;. They will mail out their membership card separately. You can visit their website for more information and to download a copy of the &lt;strong&gt;&lt;a href="https://stockhorsetexas.org/pdfs/SHTX-Handbook-web.pdf"&gt; rule book for the year&lt;/strong&gt;.&lt;/p&gt;
&lt;h3&gt;&lt;strong&gt;Stay Connected!&lt;/strong&gt;&lt;/h3&gt;
&amp;nbsp;Follow us on Facebook: &lt;a href="https://www.facebook.com/cownstockhorse"&gt;CoWN Facebook Page&lt;br /&gt; &lt;/a&gt;&amp;nbsp;Visit our website: &lt;a href="https://cownsh.com/"&gt;CoWN Website&lt;/a&gt;
&lt;p&gt;If you have any questions, feel free to reach out to us at &lt;strong&gt;cownmarketing@gmail.com&lt;/strong&gt;.
Thank you for being part of our community! 
Best,
Colorado, Wyoming, and Nebraska Stock Horse Association - CoWN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</si>
</sst>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/MM/yyyy HH:mm:ss"/>
    <numFmt numFmtId="165" formatCode="###-###-####"/>
    <numFmt numFmtId="166" formatCode="M/d/yyyy"/>
    <numFmt numFmtId="167" formatCode="m/d/yy"/>
    <numFmt numFmtId="168" formatCode="mm/dd/yy"/>
    <numFmt numFmtId="169" formatCode="mmm dd, yyyy"/>
    <numFmt numFmtId="170" formatCode="m/d/yyyy"/>
    <numFmt numFmtId="171" formatCode="mmm d, yyyy"/>
    <numFmt numFmtId="172" formatCode="[$$]#,##0.00"/>
  </numFmts>
  <fonts count="45">
    <font>
      <sz val="10.0"/>
      <color rgb="FF000000"/>
      <name val="Arial"/>
      <scheme val="minor"/>
    </font>
    <font>
      <b/>
      <sz val="14.0"/>
      <color theme="1"/>
      <name val="Arial"/>
    </font>
    <font>
      <sz val="14.0"/>
      <color theme="1"/>
      <name val="Arial"/>
    </font>
    <font>
      <sz val="14.0"/>
      <color rgb="FF000000"/>
      <name val="Arial"/>
    </font>
    <font>
      <sz val="14.0"/>
      <color rgb="FF15232B"/>
      <name val="Arial"/>
    </font>
    <font>
      <u/>
      <sz val="14.0"/>
      <color rgb="FF000000"/>
      <name val="Arial"/>
    </font>
    <font>
      <u/>
      <sz val="14.0"/>
      <color rgb="FF000000"/>
      <name val="Arial"/>
    </font>
    <font>
      <u/>
      <sz val="14.0"/>
      <color rgb="FF000000"/>
      <name val="Arial"/>
    </font>
    <font>
      <u/>
      <sz val="14.0"/>
      <color rgb="FF000000"/>
      <name val="Arial"/>
    </font>
    <font>
      <u/>
      <sz val="14.0"/>
      <color rgb="FF000000"/>
      <name val="Arial"/>
    </font>
    <font>
      <u/>
      <sz val="14.0"/>
      <color rgb="FF000000"/>
      <name val="Arial"/>
    </font>
    <font>
      <u/>
      <sz val="14.0"/>
      <color rgb="FF000000"/>
      <name val="Arial"/>
    </font>
    <font>
      <u/>
      <sz val="14.0"/>
      <color theme="1"/>
      <name val="Arial"/>
    </font>
    <font>
      <u/>
      <sz val="14.0"/>
      <color rgb="FF000000"/>
      <name val="Arial"/>
    </font>
    <font>
      <u/>
      <sz val="14.0"/>
      <color rgb="FF000000"/>
      <name val="Arial"/>
    </font>
    <font>
      <sz val="14.0"/>
      <color rgb="FF1F1F1F"/>
      <name val="Arial"/>
    </font>
    <font>
      <u/>
      <sz val="14.0"/>
      <color rgb="FF000000"/>
      <name val="Arial"/>
    </font>
    <font>
      <u/>
      <sz val="14.0"/>
      <color rgb="FF000000"/>
      <name val="Arial"/>
    </font>
    <font>
      <u/>
      <sz val="14.0"/>
      <color rgb="FF0000FF"/>
      <name val="Arial"/>
    </font>
    <font>
      <u/>
      <sz val="14.0"/>
      <color theme="1"/>
      <name val="Arial"/>
    </font>
    <font>
      <u/>
      <sz val="14.0"/>
      <color rgb="FF000000"/>
      <name val="Arial"/>
    </font>
    <font>
      <u/>
      <sz val="14.0"/>
      <color rgb="FF000000"/>
      <name val="Arial"/>
    </font>
    <font>
      <u/>
      <sz val="14.0"/>
      <color rgb="FF000000"/>
      <name val="Arial"/>
    </font>
    <font>
      <u/>
      <sz val="14.0"/>
      <color rgb="FF000000"/>
      <name val="Arial"/>
    </font>
    <font>
      <u/>
      <sz val="14.0"/>
      <color rgb="FF000000"/>
      <name val="Arial"/>
    </font>
    <font>
      <u/>
      <sz val="14.0"/>
      <color rgb="FF000000"/>
      <name val="Arial"/>
    </font>
    <font>
      <sz val="12.0"/>
      <color rgb="FF15232B"/>
      <name val="Arial"/>
    </font>
    <font>
      <sz val="13.0"/>
      <color theme="1"/>
      <name val="Arial"/>
    </font>
    <font>
      <sz val="13.0"/>
      <color rgb="FF000000"/>
      <name val="Arial"/>
    </font>
    <font>
      <u/>
      <sz val="14.0"/>
      <color rgb="FF000000"/>
      <name val="Arial"/>
    </font>
    <font>
      <u/>
      <sz val="14.0"/>
      <color rgb="FF2E75B5"/>
      <name val="Arial"/>
    </font>
    <font>
      <color theme="1"/>
      <name val="Arial"/>
      <scheme val="minor"/>
    </font>
    <font>
      <b/>
      <sz val="13.0"/>
      <color theme="1"/>
      <name val="Arial"/>
    </font>
    <font>
      <sz val="13.0"/>
      <color rgb="FF15232B"/>
      <name val="Arial"/>
    </font>
    <font>
      <sz val="13.0"/>
      <color rgb="FF1F1F1F"/>
      <name val="Arial"/>
    </font>
    <font>
      <u/>
      <sz val="14.0"/>
      <color rgb="FF000000"/>
      <name val="Arial"/>
    </font>
    <font>
      <u/>
      <sz val="14.0"/>
      <color rgb="FF000000"/>
      <name val="Arial"/>
    </font>
    <font>
      <sz val="14.0"/>
      <color rgb="FF38761D"/>
      <name val="Arial"/>
    </font>
    <font>
      <u/>
      <sz val="14.0"/>
      <color theme="1"/>
      <name val="Arial"/>
    </font>
    <font>
      <u/>
      <sz val="14.0"/>
      <color rgb="FF000000"/>
      <name val="Arial"/>
    </font>
    <font>
      <u/>
      <sz val="14.0"/>
      <color rgb="FF0000FF"/>
      <name val="Arial"/>
    </font>
    <font>
      <u/>
      <sz val="14.0"/>
      <color rgb="FF000000"/>
      <name val="Arial"/>
    </font>
    <font>
      <u/>
      <sz val="14.0"/>
      <color rgb="FF000000"/>
      <name val="Arial"/>
    </font>
    <font>
      <u/>
      <sz val="14.0"/>
      <color theme="1"/>
      <name val="Arial"/>
    </font>
    <font>
      <u/>
      <sz val="14.0"/>
      <color rgb="FF000000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7F7F8"/>
        <bgColor rgb="FFF7F7F8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CFD4D8"/>
        <bgColor rgb="FFCFD4D8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E6B8AF"/>
        <bgColor rgb="FFE6B8AF"/>
      </patternFill>
    </fill>
    <fill>
      <patternFill patternType="solid">
        <fgColor rgb="FF6D9EEB"/>
        <bgColor rgb="FF6D9EEB"/>
      </patternFill>
    </fill>
    <fill>
      <patternFill patternType="solid">
        <fgColor rgb="FF9FC5E8"/>
        <bgColor rgb="FF9FC5E8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0" fillId="2" fontId="2" numFmtId="0" xfId="0" applyAlignment="1" applyFont="1">
      <alignment horizontal="center" readingOrder="0" vertical="top"/>
    </xf>
    <xf borderId="0" fillId="2" fontId="2" numFmtId="0" xfId="0" applyAlignment="1" applyFont="1">
      <alignment readingOrder="0" shrinkToFit="0" vertical="bottom" wrapText="1"/>
    </xf>
    <xf borderId="0" fillId="2" fontId="2" numFmtId="0" xfId="0" applyAlignment="1" applyFont="1">
      <alignment horizontal="center" readingOrder="0" shrinkToFit="0" vertical="top" wrapText="1"/>
    </xf>
    <xf borderId="0" fillId="2" fontId="2" numFmtId="0" xfId="0" applyAlignment="1" applyFont="1">
      <alignment horizontal="center" readingOrder="0" shrinkToFit="0" vertical="bottom" wrapText="1"/>
    </xf>
    <xf borderId="0" fillId="2" fontId="2" numFmtId="0" xfId="0" applyAlignment="1" applyFont="1">
      <alignment horizontal="right" readingOrder="0" shrinkToFit="0" vertical="bottom" wrapText="1"/>
    </xf>
    <xf borderId="0" fillId="2" fontId="3" numFmtId="0" xfId="0" applyAlignment="1" applyFont="1">
      <alignment readingOrder="0" shrinkToFit="0" wrapText="1"/>
    </xf>
    <xf borderId="0" fillId="2" fontId="4" numFmtId="0" xfId="0" applyAlignment="1" applyFont="1">
      <alignment horizontal="center" readingOrder="0" shrinkToFit="0" wrapText="1"/>
    </xf>
    <xf borderId="0" fillId="2" fontId="4" numFmtId="0" xfId="0" applyAlignment="1" applyFont="1">
      <alignment horizontal="left" readingOrder="0" shrinkToFit="0" wrapText="1"/>
    </xf>
    <xf borderId="2" fillId="2" fontId="1" numFmtId="164" xfId="0" applyAlignment="1" applyBorder="1" applyFont="1" applyNumberFormat="1">
      <alignment horizontal="center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0" fillId="2" fontId="1" numFmtId="165" xfId="0" applyAlignment="1" applyFont="1" applyNumberFormat="1">
      <alignment horizontal="center" shrinkToFit="0" vertical="center" wrapText="1"/>
    </xf>
    <xf borderId="0" fillId="2" fontId="1" numFmtId="164" xfId="0" applyAlignment="1" applyFont="1" applyNumberForma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4" fillId="2" fontId="2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0" fillId="2" fontId="2" numFmtId="0" xfId="0" applyAlignment="1" applyFont="1">
      <alignment shrinkToFit="0" wrapText="1"/>
    </xf>
    <xf borderId="0" fillId="3" fontId="2" numFmtId="0" xfId="0" applyAlignment="1" applyFill="1" applyFont="1">
      <alignment readingOrder="0" vertical="top"/>
    </xf>
    <xf borderId="0" fillId="3" fontId="2" numFmtId="0" xfId="0" applyAlignment="1" applyFont="1">
      <alignment horizontal="center" readingOrder="0" vertical="top"/>
    </xf>
    <xf borderId="0" fillId="3" fontId="2" numFmtId="0" xfId="0" applyAlignment="1" applyFont="1">
      <alignment readingOrder="0" vertical="bottom"/>
    </xf>
    <xf borderId="0" fillId="4" fontId="2" numFmtId="0" xfId="0" applyAlignment="1" applyFill="1" applyFont="1">
      <alignment horizontal="center" vertical="top"/>
    </xf>
    <xf borderId="0" fillId="3" fontId="2" numFmtId="0" xfId="0" applyAlignment="1" applyFont="1">
      <alignment horizontal="center" readingOrder="0" vertical="bottom"/>
    </xf>
    <xf borderId="0" fillId="3" fontId="2" numFmtId="166" xfId="0" applyAlignment="1" applyFont="1" applyNumberFormat="1">
      <alignment horizontal="right" readingOrder="0" vertical="bottom"/>
    </xf>
    <xf borderId="0" fillId="4" fontId="3" numFmtId="14" xfId="0" applyFont="1" applyNumberFormat="1"/>
    <xf borderId="0" fillId="3" fontId="4" numFmtId="0" xfId="0" applyAlignment="1" applyFont="1">
      <alignment horizontal="center" readingOrder="0"/>
    </xf>
    <xf borderId="0" fillId="4" fontId="3" numFmtId="0" xfId="0" applyAlignment="1" applyFont="1">
      <alignment horizontal="left" readingOrder="0"/>
    </xf>
    <xf borderId="0" fillId="4" fontId="3" numFmtId="0" xfId="0" applyAlignment="1" applyFont="1">
      <alignment readingOrder="0" vertical="top"/>
    </xf>
    <xf borderId="0" fillId="4" fontId="3" numFmtId="0" xfId="0" applyAlignment="1" applyFont="1">
      <alignment horizontal="center" readingOrder="0" vertical="top"/>
    </xf>
    <xf borderId="0" fillId="4" fontId="3" numFmtId="49" xfId="0" applyAlignment="1" applyFont="1" applyNumberFormat="1">
      <alignment horizontal="center" readingOrder="0"/>
    </xf>
    <xf borderId="0" fillId="4" fontId="3" numFmtId="165" xfId="0" applyAlignment="1" applyFont="1" applyNumberFormat="1">
      <alignment horizontal="center" readingOrder="0"/>
    </xf>
    <xf borderId="0" fillId="5" fontId="2" numFmtId="167" xfId="0" applyAlignment="1" applyFill="1" applyFont="1" applyNumberFormat="1">
      <alignment readingOrder="0" vertical="bottom"/>
    </xf>
    <xf borderId="0" fillId="4" fontId="2" numFmtId="0" xfId="0" applyAlignment="1" applyFont="1">
      <alignment horizontal="right" vertical="bottom"/>
    </xf>
    <xf borderId="0" fillId="6" fontId="2" numFmtId="168" xfId="0" applyAlignment="1" applyFill="1" applyFont="1" applyNumberFormat="1">
      <alignment horizontal="right" vertical="bottom"/>
    </xf>
    <xf borderId="0" fillId="0" fontId="2" numFmtId="0" xfId="0" applyAlignment="1" applyFont="1">
      <alignment readingOrder="0"/>
    </xf>
    <xf borderId="0" fillId="5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0" fontId="3" numFmtId="0" xfId="0" applyAlignment="1" applyFont="1">
      <alignment horizontal="left" readingOrder="0"/>
    </xf>
    <xf borderId="0" fillId="5" fontId="4" numFmtId="165" xfId="0" applyAlignment="1" applyFont="1" applyNumberFormat="1">
      <alignment horizontal="center" readingOrder="0"/>
    </xf>
    <xf borderId="0" fillId="4" fontId="4" numFmtId="0" xfId="0" applyAlignment="1" applyFont="1">
      <alignment horizontal="left" readingOrder="0"/>
    </xf>
    <xf borderId="0" fillId="4" fontId="3" numFmtId="49" xfId="0" applyAlignment="1" applyFont="1" applyNumberFormat="1">
      <alignment horizontal="center" readingOrder="0" vertical="top"/>
    </xf>
    <xf borderId="0" fillId="5" fontId="2" numFmtId="169" xfId="0" applyAlignment="1" applyFont="1" applyNumberFormat="1">
      <alignment readingOrder="0" vertical="bottom"/>
    </xf>
    <xf borderId="0" fillId="3" fontId="2" numFmtId="167" xfId="0" applyAlignment="1" applyFont="1" applyNumberFormat="1">
      <alignment horizontal="right" readingOrder="0" vertical="bottom"/>
    </xf>
    <xf borderId="0" fillId="4" fontId="4" numFmtId="49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3" fontId="4" numFmtId="165" xfId="0" applyAlignment="1" applyFont="1" applyNumberFormat="1">
      <alignment horizontal="center" readingOrder="0"/>
    </xf>
    <xf borderId="0" fillId="5" fontId="2" numFmtId="170" xfId="0" applyAlignment="1" applyFont="1" applyNumberFormat="1">
      <alignment readingOrder="0" vertical="bottom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left" readingOrder="0"/>
    </xf>
    <xf borderId="0" fillId="4" fontId="8" numFmtId="0" xfId="0" applyAlignment="1" applyFont="1">
      <alignment horizontal="left" readingOrder="0" vertical="top"/>
    </xf>
    <xf borderId="0" fillId="4" fontId="3" numFmtId="165" xfId="0" applyAlignment="1" applyFont="1" applyNumberFormat="1">
      <alignment horizontal="center" readingOrder="0" vertical="top"/>
    </xf>
    <xf borderId="0" fillId="0" fontId="2" numFmtId="0" xfId="0" applyFont="1"/>
    <xf borderId="0" fillId="7" fontId="2" numFmtId="0" xfId="0" applyAlignment="1" applyFill="1" applyFont="1">
      <alignment readingOrder="0" vertical="bottom"/>
    </xf>
    <xf borderId="0" fillId="4" fontId="3" numFmtId="165" xfId="0" applyAlignment="1" applyFont="1" applyNumberFormat="1">
      <alignment horizontal="left" readingOrder="0"/>
    </xf>
    <xf borderId="0" fillId="5" fontId="4" numFmtId="171" xfId="0" applyAlignment="1" applyFont="1" applyNumberFormat="1">
      <alignment horizontal="left" readingOrder="0"/>
    </xf>
    <xf borderId="0" fillId="4" fontId="2" numFmtId="168" xfId="0" applyAlignment="1" applyFont="1" applyNumberFormat="1">
      <alignment horizontal="right" vertical="bottom"/>
    </xf>
    <xf borderId="0" fillId="4" fontId="3" numFmtId="0" xfId="0" applyAlignment="1" applyFont="1">
      <alignment readingOrder="0" vertical="top"/>
    </xf>
    <xf borderId="0" fillId="8" fontId="9" numFmtId="0" xfId="0" applyAlignment="1" applyFill="1" applyFont="1">
      <alignment horizontal="left" readingOrder="0" vertical="top"/>
    </xf>
    <xf borderId="0" fillId="4" fontId="3" numFmtId="0" xfId="0" applyAlignment="1" applyFont="1">
      <alignment vertical="top"/>
    </xf>
    <xf borderId="0" fillId="4" fontId="10" numFmtId="0" xfId="0" applyAlignment="1" applyFont="1">
      <alignment horizontal="center" vertical="top"/>
    </xf>
    <xf borderId="0" fillId="4" fontId="3" numFmtId="49" xfId="0" applyAlignment="1" applyFont="1" applyNumberFormat="1">
      <alignment horizontal="center" vertical="top"/>
    </xf>
    <xf borderId="0" fillId="4" fontId="11" numFmtId="0" xfId="0" applyAlignment="1" applyFont="1">
      <alignment horizontal="left" readingOrder="0"/>
    </xf>
    <xf borderId="0" fillId="4" fontId="3" numFmtId="165" xfId="0" applyAlignment="1" applyFont="1" applyNumberFormat="1">
      <alignment horizontal="center" vertical="top"/>
    </xf>
    <xf borderId="0" fillId="4" fontId="2" numFmtId="0" xfId="0" applyAlignment="1" applyFont="1">
      <alignment vertical="top"/>
    </xf>
    <xf borderId="0" fillId="4" fontId="2" numFmtId="0" xfId="0" applyAlignment="1" applyFont="1">
      <alignment horizontal="center" vertical="bottom"/>
    </xf>
    <xf borderId="0" fillId="4" fontId="2" numFmtId="166" xfId="0" applyAlignment="1" applyFont="1" applyNumberFormat="1">
      <alignment horizontal="right" vertical="bottom"/>
    </xf>
    <xf borderId="0" fillId="9" fontId="2" numFmtId="0" xfId="0" applyAlignment="1" applyFill="1" applyFont="1">
      <alignment horizontal="center" vertical="top"/>
    </xf>
    <xf borderId="0" fillId="4" fontId="2" numFmtId="49" xfId="0" applyAlignment="1" applyFont="1" applyNumberFormat="1">
      <alignment horizontal="center" vertical="top"/>
    </xf>
    <xf borderId="0" fillId="4" fontId="12" numFmtId="0" xfId="0" applyAlignment="1" applyFont="1">
      <alignment horizontal="left" vertical="top"/>
    </xf>
    <xf borderId="0" fillId="4" fontId="2" numFmtId="165" xfId="0" applyAlignment="1" applyFont="1" applyNumberFormat="1">
      <alignment horizontal="center" readingOrder="0" vertical="top"/>
    </xf>
    <xf borderId="0" fillId="5" fontId="2" numFmtId="170" xfId="0" applyAlignment="1" applyFont="1" applyNumberFormat="1">
      <alignment horizontal="right" vertical="bottom"/>
    </xf>
    <xf borderId="0" fillId="3" fontId="2" numFmtId="0" xfId="0" applyAlignment="1" applyFont="1">
      <alignment horizontal="center" vertical="top"/>
    </xf>
    <xf borderId="0" fillId="4" fontId="13" numFmtId="165" xfId="0" applyAlignment="1" applyFont="1" applyNumberFormat="1">
      <alignment horizontal="left" readingOrder="0" vertical="top"/>
    </xf>
    <xf borderId="0" fillId="10" fontId="4" numFmtId="169" xfId="0" applyAlignment="1" applyFill="1" applyFont="1" applyNumberFormat="1">
      <alignment horizontal="left" readingOrder="0"/>
    </xf>
    <xf borderId="0" fillId="4" fontId="3" numFmtId="165" xfId="0" applyAlignment="1" applyFont="1" applyNumberFormat="1">
      <alignment horizontal="left" readingOrder="0" vertical="top"/>
    </xf>
    <xf borderId="0" fillId="4" fontId="4" numFmtId="165" xfId="0" applyAlignment="1" applyFont="1" applyNumberFormat="1">
      <alignment horizontal="left" readingOrder="0"/>
    </xf>
    <xf borderId="0" fillId="4" fontId="14" numFmtId="0" xfId="0" applyAlignment="1" applyFont="1">
      <alignment horizontal="left" vertical="top"/>
    </xf>
    <xf borderId="0" fillId="4" fontId="3" numFmtId="0" xfId="0" applyAlignment="1" applyFont="1">
      <alignment horizontal="center" vertical="top"/>
    </xf>
    <xf borderId="0" fillId="11" fontId="4" numFmtId="0" xfId="0" applyAlignment="1" applyFill="1" applyFont="1">
      <alignment horizontal="center" readingOrder="0" vertical="bottom"/>
    </xf>
    <xf borderId="0" fillId="11" fontId="4" numFmtId="0" xfId="0" applyAlignment="1" applyFont="1">
      <alignment horizontal="center" vertical="bottom"/>
    </xf>
    <xf borderId="0" fillId="3" fontId="4" numFmtId="0" xfId="0" applyAlignment="1" applyFont="1">
      <alignment horizontal="left" readingOrder="0"/>
    </xf>
    <xf borderId="0" fillId="4" fontId="2" numFmtId="0" xfId="0" applyAlignment="1" applyFont="1">
      <alignment readingOrder="0" vertical="bottom"/>
    </xf>
    <xf borderId="0" fillId="6" fontId="2" numFmtId="168" xfId="0" applyAlignment="1" applyFont="1" applyNumberFormat="1">
      <alignment vertical="bottom"/>
    </xf>
    <xf borderId="0" fillId="3" fontId="2" numFmtId="0" xfId="0" applyAlignment="1" applyFont="1">
      <alignment vertical="top"/>
    </xf>
    <xf borderId="0" fillId="4" fontId="3" numFmtId="0" xfId="0" applyAlignment="1" applyFont="1">
      <alignment readingOrder="0" shrinkToFit="0" vertical="bottom" wrapText="0"/>
    </xf>
    <xf borderId="0" fillId="4" fontId="15" numFmtId="49" xfId="0" applyAlignment="1" applyFont="1" applyNumberFormat="1">
      <alignment readingOrder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165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4" fontId="3" numFmtId="0" xfId="0" applyAlignment="1" applyFont="1">
      <alignment readingOrder="0" shrinkToFit="0" wrapText="0"/>
    </xf>
    <xf borderId="0" fillId="4" fontId="3" numFmtId="49" xfId="0" applyAlignment="1" applyFont="1" applyNumberFormat="1">
      <alignment horizontal="right" readingOrder="0" vertical="bottom"/>
    </xf>
    <xf borderId="0" fillId="0" fontId="3" numFmtId="165" xfId="0" applyAlignment="1" applyFont="1" applyNumberFormat="1">
      <alignment horizontal="left" readingOrder="0" shrinkToFit="0" vertical="bottom" wrapText="0"/>
    </xf>
    <xf borderId="0" fillId="0" fontId="3" numFmtId="171" xfId="0" applyAlignment="1" applyFont="1" applyNumberFormat="1">
      <alignment horizontal="right" readingOrder="0" shrinkToFit="0" vertical="bottom" wrapText="0"/>
    </xf>
    <xf borderId="0" fillId="4" fontId="3" numFmtId="0" xfId="0" applyAlignment="1" applyFont="1">
      <alignment horizontal="center" readingOrder="0" shrinkToFit="0" vertical="bottom" wrapText="0"/>
    </xf>
    <xf borderId="0" fillId="4" fontId="3" numFmtId="49" xfId="0" applyAlignment="1" applyFont="1" applyNumberFormat="1">
      <alignment horizontal="center" readingOrder="0" shrinkToFit="0" vertical="bottom" wrapText="0"/>
    </xf>
    <xf borderId="0" fillId="4" fontId="3" numFmtId="4" xfId="0" applyAlignment="1" applyFont="1" applyNumberFormat="1">
      <alignment horizontal="center" readingOrder="0" vertical="top"/>
    </xf>
    <xf borderId="0" fillId="3" fontId="4" numFmtId="0" xfId="0" applyAlignment="1" applyFont="1">
      <alignment horizontal="left" readingOrder="0"/>
    </xf>
    <xf borderId="0" fillId="0" fontId="15" numFmtId="0" xfId="0" applyAlignment="1" applyFont="1">
      <alignment horizontal="left" readingOrder="0"/>
    </xf>
    <xf borderId="0" fillId="4" fontId="3" numFmtId="0" xfId="0" applyAlignment="1" applyFont="1">
      <alignment readingOrder="0"/>
    </xf>
    <xf borderId="0" fillId="3" fontId="4" numFmtId="166" xfId="0" applyAlignment="1" applyFont="1" applyNumberFormat="1">
      <alignment horizontal="right" readingOrder="0"/>
    </xf>
    <xf borderId="0" fillId="4" fontId="16" numFmtId="0" xfId="0" applyAlignment="1" applyFont="1">
      <alignment horizontal="left" readingOrder="0"/>
    </xf>
    <xf borderId="0" fillId="4" fontId="2" numFmtId="0" xfId="0" applyFont="1"/>
    <xf borderId="0" fillId="12" fontId="2" numFmtId="168" xfId="0" applyAlignment="1" applyFill="1" applyFont="1" applyNumberFormat="1">
      <alignment horizontal="right" vertical="bottom"/>
    </xf>
    <xf borderId="0" fillId="9" fontId="2" numFmtId="168" xfId="0" applyAlignment="1" applyFont="1" applyNumberFormat="1">
      <alignment horizontal="right" vertical="bottom"/>
    </xf>
    <xf borderId="0" fillId="13" fontId="2" numFmtId="0" xfId="0" applyAlignment="1" applyFill="1" applyFont="1">
      <alignment horizontal="center" readingOrder="0" vertical="bottom"/>
    </xf>
    <xf borderId="0" fillId="5" fontId="4" numFmtId="0" xfId="0" applyAlignment="1" applyFont="1">
      <alignment horizontal="left" readingOrder="0"/>
    </xf>
    <xf borderId="0" fillId="7" fontId="4" numFmtId="0" xfId="0" applyAlignment="1" applyFont="1">
      <alignment horizontal="left" readingOrder="0"/>
    </xf>
    <xf borderId="0" fillId="4" fontId="17" numFmtId="0" xfId="0" applyAlignment="1" applyFont="1">
      <alignment horizontal="center" readingOrder="0" vertical="top"/>
    </xf>
    <xf borderId="0" fillId="3" fontId="3" numFmtId="0" xfId="0" applyAlignment="1" applyFont="1">
      <alignment horizontal="left" readingOrder="0"/>
    </xf>
    <xf borderId="0" fillId="3" fontId="3" numFmtId="0" xfId="0" applyAlignment="1" applyFont="1">
      <alignment horizontal="center" readingOrder="0"/>
    </xf>
    <xf borderId="0" fillId="3" fontId="4" numFmtId="0" xfId="0" applyAlignment="1" applyFont="1">
      <alignment horizontal="center" readingOrder="0" vertical="bottom"/>
    </xf>
    <xf borderId="0" fillId="3" fontId="15" numFmtId="0" xfId="0" applyAlignment="1" applyFont="1">
      <alignment readingOrder="0"/>
    </xf>
    <xf borderId="0" fillId="11" fontId="2" numFmtId="168" xfId="0" applyAlignment="1" applyFont="1" applyNumberFormat="1">
      <alignment horizontal="right" vertical="bottom"/>
    </xf>
    <xf borderId="0" fillId="4" fontId="18" numFmtId="0" xfId="0" applyAlignment="1" applyFont="1">
      <alignment horizontal="left" readingOrder="0" vertical="top"/>
    </xf>
    <xf borderId="0" fillId="3" fontId="2" numFmtId="14" xfId="0" applyAlignment="1" applyFont="1" applyNumberFormat="1">
      <alignment readingOrder="0" vertical="bottom"/>
    </xf>
    <xf borderId="0" fillId="12" fontId="2" numFmtId="167" xfId="0" applyAlignment="1" applyFont="1" applyNumberFormat="1">
      <alignment horizontal="right" vertical="bottom"/>
    </xf>
    <xf borderId="0" fillId="5" fontId="4" numFmtId="169" xfId="0" applyAlignment="1" applyFont="1" applyNumberFormat="1">
      <alignment horizontal="left" readingOrder="0"/>
    </xf>
    <xf borderId="0" fillId="4" fontId="3" numFmtId="0" xfId="0" applyAlignment="1" applyFont="1">
      <alignment horizontal="center" readingOrder="0"/>
    </xf>
    <xf borderId="0" fillId="4" fontId="2" numFmtId="0" xfId="0" applyAlignment="1" applyFont="1">
      <alignment readingOrder="0" vertical="top"/>
    </xf>
    <xf borderId="0" fillId="4" fontId="2" numFmtId="166" xfId="0" applyAlignment="1" applyFont="1" applyNumberFormat="1">
      <alignment horizontal="right" readingOrder="0" vertical="bottom"/>
    </xf>
    <xf borderId="0" fillId="4" fontId="2" numFmtId="0" xfId="0" applyAlignment="1" applyFont="1">
      <alignment vertical="bottom"/>
    </xf>
    <xf borderId="0" fillId="4" fontId="2" numFmtId="49" xfId="0" applyAlignment="1" applyFont="1" applyNumberFormat="1">
      <alignment horizontal="center" vertical="bottom"/>
    </xf>
    <xf borderId="0" fillId="4" fontId="19" numFmtId="0" xfId="0" applyAlignment="1" applyFont="1">
      <alignment horizontal="left" readingOrder="0" vertical="bottom"/>
    </xf>
    <xf borderId="0" fillId="4" fontId="2" numFmtId="165" xfId="0" applyAlignment="1" applyFont="1" applyNumberFormat="1">
      <alignment horizontal="center" readingOrder="0" vertical="bottom"/>
    </xf>
    <xf borderId="0" fillId="4" fontId="2" numFmtId="0" xfId="0" applyAlignment="1" applyFont="1">
      <alignment vertical="bottom"/>
    </xf>
    <xf borderId="0" fillId="4" fontId="2" numFmtId="0" xfId="0" applyAlignment="1" applyFont="1">
      <alignment horizontal="right" vertical="bottom"/>
    </xf>
    <xf borderId="0" fillId="3" fontId="4" numFmtId="0" xfId="0" applyAlignment="1" applyFont="1">
      <alignment horizontal="center"/>
    </xf>
    <xf borderId="0" fillId="4" fontId="20" numFmtId="0" xfId="0" applyAlignment="1" applyFont="1">
      <alignment horizontal="left" readingOrder="0" vertical="top"/>
    </xf>
    <xf borderId="0" fillId="3" fontId="4" numFmtId="0" xfId="0" applyAlignment="1" applyFont="1">
      <alignment horizontal="center" vertical="bottom"/>
    </xf>
    <xf borderId="0" fillId="4" fontId="3" numFmtId="0" xfId="0" applyAlignment="1" applyFont="1">
      <alignment vertical="bottom"/>
    </xf>
    <xf borderId="0" fillId="4" fontId="21" numFmtId="0" xfId="0" applyAlignment="1" applyFont="1">
      <alignment horizontal="left" vertical="bottom"/>
    </xf>
    <xf borderId="0" fillId="4" fontId="2" numFmtId="14" xfId="0" applyAlignment="1" applyFont="1" applyNumberFormat="1">
      <alignment horizontal="right" vertical="bottom"/>
    </xf>
    <xf borderId="0" fillId="5" fontId="2" numFmtId="164" xfId="0" applyAlignment="1" applyFont="1" applyNumberFormat="1">
      <alignment vertical="bottom"/>
    </xf>
    <xf borderId="0" fillId="3" fontId="2" numFmtId="164" xfId="0" applyAlignment="1" applyFont="1" applyNumberFormat="1">
      <alignment vertical="bottom"/>
    </xf>
    <xf borderId="0" fillId="3" fontId="2" numFmtId="0" xfId="0" applyAlignment="1" applyFont="1">
      <alignment horizontal="center" vertical="top"/>
    </xf>
    <xf borderId="0" fillId="4" fontId="3" numFmtId="0" xfId="0" applyAlignment="1" applyFont="1">
      <alignment vertical="top"/>
    </xf>
    <xf borderId="0" fillId="4" fontId="22" numFmtId="0" xfId="0" applyAlignment="1" applyFont="1">
      <alignment horizontal="center" vertical="top"/>
    </xf>
    <xf borderId="0" fillId="12" fontId="2" numFmtId="14" xfId="0" applyAlignment="1" applyFont="1" applyNumberFormat="1">
      <alignment horizontal="right" vertical="bottom"/>
    </xf>
    <xf borderId="0" fillId="3" fontId="2" numFmtId="0" xfId="0" applyAlignment="1" applyFont="1">
      <alignment horizontal="center" vertical="bottom"/>
    </xf>
    <xf borderId="0" fillId="3" fontId="3" numFmtId="0" xfId="0" applyAlignment="1" applyFont="1">
      <alignment horizontal="center"/>
    </xf>
    <xf borderId="0" fillId="0" fontId="3" numFmtId="170" xfId="0" applyAlignment="1" applyFont="1" applyNumberFormat="1">
      <alignment horizontal="right" readingOrder="0" shrinkToFit="0" vertical="bottom" wrapText="0"/>
    </xf>
    <xf borderId="0" fillId="4" fontId="3" numFmtId="0" xfId="0" applyAlignment="1" applyFont="1">
      <alignment horizontal="left" vertical="top"/>
    </xf>
    <xf borderId="0" fillId="3" fontId="2" numFmtId="166" xfId="0" applyAlignment="1" applyFont="1" applyNumberFormat="1">
      <alignment horizontal="right" readingOrder="0" vertical="top"/>
    </xf>
    <xf borderId="0" fillId="12" fontId="2" numFmtId="168" xfId="0" applyAlignment="1" applyFont="1" applyNumberFormat="1">
      <alignment horizontal="right" vertical="top"/>
    </xf>
    <xf borderId="0" fillId="4" fontId="23" numFmtId="0" xfId="0" applyAlignment="1" applyFont="1">
      <alignment horizontal="left" vertical="top"/>
    </xf>
    <xf borderId="0" fillId="3" fontId="2" numFmtId="0" xfId="0" applyAlignment="1" applyFont="1">
      <alignment vertical="bottom"/>
    </xf>
    <xf borderId="0" fillId="4" fontId="3" numFmtId="0" xfId="0" applyAlignment="1" applyFont="1">
      <alignment readingOrder="0" vertical="bottom"/>
    </xf>
    <xf borderId="0" fillId="4" fontId="24" numFmtId="0" xfId="0" applyAlignment="1" applyFont="1">
      <alignment horizontal="center" vertical="bottom"/>
    </xf>
    <xf borderId="0" fillId="4" fontId="3" numFmtId="49" xfId="0" applyAlignment="1" applyFont="1" applyNumberFormat="1">
      <alignment horizontal="center" vertical="bottom"/>
    </xf>
    <xf borderId="0" fillId="4" fontId="3" numFmtId="0" xfId="0" applyAlignment="1" applyFont="1">
      <alignment horizontal="left" readingOrder="0" vertical="bottom"/>
    </xf>
    <xf borderId="0" fillId="4" fontId="3" numFmtId="165" xfId="0" applyAlignment="1" applyFont="1" applyNumberFormat="1">
      <alignment horizontal="center" vertical="bottom"/>
    </xf>
    <xf borderId="0" fillId="3" fontId="2" numFmtId="166" xfId="0" applyAlignment="1" applyFont="1" applyNumberFormat="1">
      <alignment horizontal="right" vertical="bottom"/>
    </xf>
    <xf borderId="0" fillId="4" fontId="3" numFmtId="0" xfId="0" applyAlignment="1" applyFont="1">
      <alignment horizontal="left" readingOrder="0" vertical="top"/>
    </xf>
    <xf borderId="0" fillId="4" fontId="2" numFmtId="168" xfId="0" applyAlignment="1" applyFont="1" applyNumberFormat="1">
      <alignment horizontal="right" vertical="top"/>
    </xf>
    <xf borderId="0" fillId="14" fontId="2" numFmtId="0" xfId="0" applyAlignment="1" applyFill="1" applyFont="1">
      <alignment horizontal="center" readingOrder="0" vertical="bottom"/>
    </xf>
    <xf borderId="0" fillId="4" fontId="2" numFmtId="168" xfId="0" applyAlignment="1" applyFont="1" applyNumberFormat="1">
      <alignment vertical="bottom"/>
    </xf>
    <xf borderId="0" fillId="4" fontId="3" numFmtId="164" xfId="0" applyAlignment="1" applyFont="1" applyNumberFormat="1">
      <alignment vertical="top"/>
    </xf>
    <xf borderId="0" fillId="4" fontId="25" numFmtId="164" xfId="0" applyAlignment="1" applyFont="1" applyNumberFormat="1">
      <alignment horizontal="center" vertical="top"/>
    </xf>
    <xf borderId="0" fillId="0" fontId="2" numFmtId="168" xfId="0" applyAlignment="1" applyFont="1" applyNumberFormat="1">
      <alignment horizontal="right" vertical="bottom"/>
    </xf>
    <xf borderId="0" fillId="3" fontId="2" numFmtId="166" xfId="0" applyAlignment="1" applyFont="1" applyNumberFormat="1">
      <alignment horizontal="right" vertical="top"/>
    </xf>
    <xf borderId="0" fillId="11" fontId="2" numFmtId="168" xfId="0" applyAlignment="1" applyFont="1" applyNumberFormat="1">
      <alignment horizontal="right" vertical="top"/>
    </xf>
    <xf borderId="0" fillId="5" fontId="26" numFmtId="169" xfId="0" applyAlignment="1" applyFont="1" applyNumberFormat="1">
      <alignment horizontal="left" readingOrder="0"/>
    </xf>
    <xf borderId="0" fillId="4" fontId="3" numFmtId="0" xfId="0" applyAlignment="1" applyFont="1">
      <alignment horizontal="left" vertical="bottom"/>
    </xf>
    <xf borderId="0" fillId="3" fontId="2" numFmtId="170" xfId="0" applyAlignment="1" applyFont="1" applyNumberFormat="1">
      <alignment horizontal="right" readingOrder="0" vertical="bottom"/>
    </xf>
    <xf borderId="0" fillId="15" fontId="2" numFmtId="168" xfId="0" applyAlignment="1" applyFill="1" applyFont="1" applyNumberFormat="1">
      <alignment horizontal="right" vertical="bottom"/>
    </xf>
    <xf borderId="0" fillId="16" fontId="2" numFmtId="168" xfId="0" applyAlignment="1" applyFill="1" applyFont="1" applyNumberFormat="1">
      <alignment horizontal="right" vertical="bottom"/>
    </xf>
    <xf borderId="0" fillId="11" fontId="2" numFmtId="167" xfId="0" applyAlignment="1" applyFont="1" applyNumberFormat="1">
      <alignment horizontal="right" vertical="bottom"/>
    </xf>
    <xf borderId="0" fillId="4" fontId="3" numFmtId="0" xfId="0" applyAlignment="1" applyFont="1">
      <alignment horizontal="left" readingOrder="0" vertical="top"/>
    </xf>
    <xf borderId="0" fillId="3" fontId="2" numFmtId="0" xfId="0" applyAlignment="1" applyFont="1">
      <alignment horizontal="right" readingOrder="0" vertical="bottom"/>
    </xf>
    <xf borderId="0" fillId="4" fontId="3" numFmtId="165" xfId="0" applyAlignment="1" applyFont="1" applyNumberFormat="1">
      <alignment horizontal="left" vertical="top"/>
    </xf>
    <xf borderId="0" fillId="6" fontId="2" numFmtId="167" xfId="0" applyAlignment="1" applyFont="1" applyNumberFormat="1">
      <alignment horizontal="right" vertical="bottom"/>
    </xf>
    <xf borderId="0" fillId="3" fontId="27" numFmtId="0" xfId="0" applyAlignment="1" applyFont="1">
      <alignment vertical="top"/>
    </xf>
    <xf borderId="0" fillId="3" fontId="27" numFmtId="0" xfId="0" applyAlignment="1" applyFont="1">
      <alignment horizontal="center" vertical="top"/>
    </xf>
    <xf borderId="0" fillId="4" fontId="27" numFmtId="0" xfId="0" applyAlignment="1" applyFont="1">
      <alignment horizontal="center" vertical="top"/>
    </xf>
    <xf borderId="0" fillId="3" fontId="2" numFmtId="168" xfId="0" applyAlignment="1" applyFont="1" applyNumberFormat="1">
      <alignment horizontal="center" vertical="bottom"/>
    </xf>
    <xf borderId="0" fillId="3" fontId="27" numFmtId="166" xfId="0" applyAlignment="1" applyFont="1" applyNumberFormat="1">
      <alignment horizontal="right" vertical="bottom"/>
    </xf>
    <xf borderId="0" fillId="4" fontId="28" numFmtId="14" xfId="0" applyFont="1" applyNumberFormat="1"/>
    <xf borderId="0" fillId="4" fontId="29" numFmtId="0" xfId="0" applyAlignment="1" applyFont="1">
      <alignment vertical="top"/>
    </xf>
    <xf borderId="0" fillId="5" fontId="27" numFmtId="0" xfId="0" applyAlignment="1" applyFont="1">
      <alignment vertical="bottom"/>
    </xf>
    <xf borderId="0" fillId="3" fontId="27" numFmtId="0" xfId="0" applyAlignment="1" applyFont="1">
      <alignment horizontal="center" readingOrder="0" vertical="top"/>
    </xf>
    <xf borderId="0" fillId="4" fontId="27" numFmtId="0" xfId="0" applyAlignment="1" applyFont="1">
      <alignment horizontal="center" readingOrder="0" vertical="top"/>
    </xf>
    <xf borderId="0" fillId="3" fontId="27" numFmtId="168" xfId="0" applyAlignment="1" applyFont="1" applyNumberFormat="1">
      <alignment vertical="bottom"/>
    </xf>
    <xf borderId="0" fillId="3" fontId="27" numFmtId="0" xfId="0" applyAlignment="1" applyFont="1">
      <alignment vertical="bottom"/>
    </xf>
    <xf borderId="0" fillId="3" fontId="27" numFmtId="0" xfId="0" applyAlignment="1" applyFont="1">
      <alignment horizontal="center" vertical="bottom"/>
    </xf>
    <xf borderId="0" fillId="3" fontId="2" numFmtId="49" xfId="0" applyAlignment="1" applyFont="1" applyNumberFormat="1">
      <alignment horizontal="center" vertical="bottom"/>
    </xf>
    <xf borderId="0" fillId="3" fontId="30" numFmtId="0" xfId="0" applyAlignment="1" applyFont="1">
      <alignment vertical="bottom"/>
    </xf>
    <xf borderId="0" fillId="3" fontId="27" numFmtId="165" xfId="0" applyAlignment="1" applyFont="1" applyNumberFormat="1">
      <alignment horizontal="center" vertical="bottom"/>
    </xf>
    <xf borderId="0" fillId="0" fontId="31" numFmtId="0" xfId="0" applyAlignment="1" applyFont="1">
      <alignment readingOrder="0"/>
    </xf>
    <xf borderId="1" fillId="2" fontId="32" numFmtId="0" xfId="0" applyAlignment="1" applyBorder="1" applyFont="1">
      <alignment horizontal="center" readingOrder="0" shrinkToFit="0" wrapText="1"/>
    </xf>
    <xf borderId="2" fillId="2" fontId="32" numFmtId="0" xfId="0" applyAlignment="1" applyBorder="1" applyFont="1">
      <alignment horizontal="center" shrinkToFit="0" wrapText="1"/>
    </xf>
    <xf borderId="2" fillId="2" fontId="32" numFmtId="49" xfId="0" applyAlignment="1" applyBorder="1" applyFont="1" applyNumberFormat="1">
      <alignment horizontal="center" shrinkToFit="0" wrapText="1"/>
    </xf>
    <xf borderId="2" fillId="2" fontId="1" numFmtId="172" xfId="0" applyAlignment="1" applyBorder="1" applyFont="1" applyNumberFormat="1">
      <alignment horizontal="center" readingOrder="0" shrinkToFit="0" wrapText="1"/>
    </xf>
    <xf borderId="2" fillId="2" fontId="32" numFmtId="166" xfId="0" applyAlignment="1" applyBorder="1" applyFont="1" applyNumberFormat="1">
      <alignment horizontal="right" shrinkToFit="0" wrapText="1"/>
    </xf>
    <xf borderId="2" fillId="2" fontId="32" numFmtId="172" xfId="0" applyAlignment="1" applyBorder="1" applyFont="1" applyNumberFormat="1">
      <alignment horizontal="center" shrinkToFit="0" wrapText="1"/>
    </xf>
    <xf borderId="0" fillId="3" fontId="33" numFmtId="0" xfId="0" applyAlignment="1" applyFont="1">
      <alignment horizontal="left" readingOrder="0"/>
    </xf>
    <xf borderId="0" fillId="3" fontId="27" numFmtId="0" xfId="0" applyAlignment="1" applyFont="1">
      <alignment readingOrder="0" vertical="bottom"/>
    </xf>
    <xf borderId="0" fillId="3" fontId="27" numFmtId="166" xfId="0" applyAlignment="1" applyFont="1" applyNumberFormat="1">
      <alignment horizontal="right" readingOrder="0" vertical="bottom"/>
    </xf>
    <xf borderId="0" fillId="3" fontId="27" numFmtId="167" xfId="0" applyAlignment="1" applyFont="1" applyNumberFormat="1">
      <alignment horizontal="right" readingOrder="0" vertical="bottom"/>
    </xf>
    <xf borderId="0" fillId="3" fontId="27" numFmtId="0" xfId="0" applyAlignment="1" applyFont="1">
      <alignment readingOrder="0" vertical="top"/>
    </xf>
    <xf borderId="0" fillId="3" fontId="33" numFmtId="166" xfId="0" applyAlignment="1" applyFont="1" applyNumberFormat="1">
      <alignment horizontal="right" readingOrder="0"/>
    </xf>
    <xf borderId="0" fillId="3" fontId="28" numFmtId="0" xfId="0" applyAlignment="1" applyFont="1">
      <alignment horizontal="left" readingOrder="0"/>
    </xf>
    <xf borderId="0" fillId="3" fontId="34" numFmtId="0" xfId="0" applyAlignment="1" applyFont="1">
      <alignment readingOrder="0"/>
    </xf>
    <xf borderId="0" fillId="3" fontId="27" numFmtId="0" xfId="0" applyAlignment="1" applyFont="1">
      <alignment horizontal="center" vertical="top"/>
    </xf>
    <xf borderId="0" fillId="3" fontId="27" numFmtId="166" xfId="0" applyAlignment="1" applyFont="1" applyNumberFormat="1">
      <alignment horizontal="right" readingOrder="0" vertical="top"/>
    </xf>
    <xf borderId="0" fillId="3" fontId="27" numFmtId="0" xfId="0" applyAlignment="1" applyFont="1">
      <alignment shrinkToFit="0" vertical="top" wrapText="1"/>
    </xf>
    <xf borderId="0" fillId="3" fontId="27" numFmtId="166" xfId="0" applyAlignment="1" applyFont="1" applyNumberFormat="1">
      <alignment horizontal="right" vertical="top"/>
    </xf>
    <xf borderId="0" fillId="3" fontId="27" numFmtId="0" xfId="0" applyAlignment="1" applyFont="1">
      <alignment horizontal="right" readingOrder="0" vertical="bottom"/>
    </xf>
    <xf borderId="0" fillId="4" fontId="27" numFmtId="0" xfId="0" applyAlignment="1" applyFont="1">
      <alignment vertical="top"/>
    </xf>
    <xf borderId="0" fillId="4" fontId="28" numFmtId="0" xfId="0" applyAlignment="1" applyFont="1">
      <alignment readingOrder="0"/>
    </xf>
    <xf borderId="0" fillId="3" fontId="2" numFmtId="14" xfId="0" applyAlignment="1" applyFont="1" applyNumberFormat="1">
      <alignment horizontal="center" readingOrder="0" vertical="bottom"/>
    </xf>
    <xf borderId="0" fillId="3" fontId="2" numFmtId="168" xfId="0" applyAlignment="1" applyFont="1" applyNumberFormat="1">
      <alignment horizontal="center" readingOrder="0" vertical="bottom"/>
    </xf>
    <xf borderId="0" fillId="9" fontId="27" numFmtId="166" xfId="0" applyAlignment="1" applyFont="1" applyNumberFormat="1">
      <alignment horizontal="right" readingOrder="0" vertical="bottom"/>
    </xf>
    <xf borderId="0" fillId="4" fontId="27" numFmtId="0" xfId="0" applyAlignment="1" applyFont="1">
      <alignment readingOrder="0" vertical="top"/>
    </xf>
    <xf borderId="0" fillId="12" fontId="27" numFmtId="166" xfId="0" applyAlignment="1" applyFont="1" applyNumberFormat="1">
      <alignment horizontal="right" readingOrder="0" vertical="bottom"/>
    </xf>
    <xf borderId="0" fillId="4" fontId="27" numFmtId="166" xfId="0" applyAlignment="1" applyFont="1" applyNumberFormat="1">
      <alignment horizontal="right" readingOrder="0" vertical="bottom"/>
    </xf>
    <xf borderId="0" fillId="3" fontId="27" numFmtId="14" xfId="0" applyAlignment="1" applyFont="1" applyNumberFormat="1">
      <alignment horizontal="right" readingOrder="0" vertical="bottom"/>
    </xf>
    <xf borderId="0" fillId="17" fontId="31" numFmtId="0" xfId="0" applyFill="1" applyFont="1"/>
    <xf borderId="0" fillId="17" fontId="31" numFmtId="0" xfId="0" applyAlignment="1" applyFont="1">
      <alignment horizontal="left"/>
    </xf>
    <xf borderId="0" fillId="17" fontId="31" numFmtId="0" xfId="0" applyAlignment="1" applyFont="1">
      <alignment readingOrder="0"/>
    </xf>
    <xf borderId="0" fillId="17" fontId="31" numFmtId="0" xfId="0" applyAlignment="1" applyFont="1">
      <alignment horizontal="left" readingOrder="0"/>
    </xf>
    <xf borderId="0" fillId="0" fontId="31" numFmtId="0" xfId="0" applyAlignment="1" applyFont="1">
      <alignment horizontal="left"/>
    </xf>
    <xf borderId="0" fillId="2" fontId="3" numFmtId="0" xfId="0" applyAlignment="1" applyFont="1">
      <alignment horizontal="center" readingOrder="0" shrinkToFit="0" vertical="center" wrapText="1"/>
    </xf>
    <xf borderId="0" fillId="0" fontId="31" numFmtId="164" xfId="0" applyFont="1" applyNumberFormat="1"/>
    <xf borderId="0" fillId="4" fontId="3" numFmtId="14" xfId="0" applyAlignment="1" applyFont="1" applyNumberFormat="1">
      <alignment readingOrder="0"/>
    </xf>
    <xf borderId="0" fillId="5" fontId="26" numFmtId="0" xfId="0" applyAlignment="1" applyFont="1">
      <alignment horizontal="left" readingOrder="0"/>
    </xf>
    <xf borderId="0" fillId="0" fontId="31" numFmtId="168" xfId="0" applyFont="1" applyNumberFormat="1"/>
    <xf borderId="0" fillId="4" fontId="35" numFmtId="0" xfId="0" applyAlignment="1" applyFont="1">
      <alignment readingOrder="0" vertical="top"/>
    </xf>
    <xf borderId="0" fillId="0" fontId="31" numFmtId="170" xfId="0" applyAlignment="1" applyFont="1" applyNumberFormat="1">
      <alignment readingOrder="0"/>
    </xf>
    <xf borderId="0" fillId="0" fontId="31" numFmtId="171" xfId="0" applyAlignment="1" applyFont="1" applyNumberFormat="1">
      <alignment readingOrder="0"/>
    </xf>
    <xf borderId="0" fillId="0" fontId="31" numFmtId="167" xfId="0" applyAlignment="1" applyFont="1" applyNumberFormat="1">
      <alignment readingOrder="0"/>
    </xf>
    <xf borderId="0" fillId="8" fontId="36" numFmtId="0" xfId="0" applyAlignment="1" applyFont="1">
      <alignment readingOrder="0" vertical="top"/>
    </xf>
    <xf borderId="0" fillId="18" fontId="2" numFmtId="0" xfId="0" applyAlignment="1" applyFill="1" applyFont="1">
      <alignment vertical="bottom"/>
    </xf>
    <xf borderId="0" fillId="19" fontId="37" numFmtId="0" xfId="0" applyAlignment="1" applyFill="1" applyFont="1">
      <alignment horizontal="center" vertical="top"/>
    </xf>
    <xf borderId="0" fillId="4" fontId="38" numFmtId="0" xfId="0" applyAlignment="1" applyFont="1">
      <alignment vertical="top"/>
    </xf>
    <xf borderId="0" fillId="0" fontId="31" numFmtId="170" xfId="0" applyFont="1" applyNumberFormat="1"/>
    <xf borderId="0" fillId="4" fontId="39" numFmtId="165" xfId="0" applyAlignment="1" applyFont="1" applyNumberFormat="1">
      <alignment readingOrder="0" vertical="top"/>
    </xf>
    <xf borderId="0" fillId="0" fontId="31" numFmtId="169" xfId="0" applyAlignment="1" applyFont="1" applyNumberFormat="1">
      <alignment readingOrder="0"/>
    </xf>
    <xf borderId="0" fillId="0" fontId="3" numFmtId="0" xfId="0" applyAlignment="1" applyFont="1">
      <alignment readingOrder="0" shrinkToFit="0" wrapText="0"/>
    </xf>
    <xf borderId="0" fillId="4" fontId="2" numFmtId="0" xfId="0" applyAlignment="1" applyFont="1">
      <alignment horizontal="center" readingOrder="0" vertical="top"/>
    </xf>
    <xf borderId="0" fillId="4" fontId="40" numFmtId="0" xfId="0" applyAlignment="1" applyFont="1">
      <alignment readingOrder="0" vertical="top"/>
    </xf>
    <xf borderId="0" fillId="0" fontId="31" numFmtId="14" xfId="0" applyAlignment="1" applyFont="1" applyNumberFormat="1">
      <alignment readingOrder="0"/>
    </xf>
    <xf borderId="0" fillId="0" fontId="31" numFmtId="167" xfId="0" applyFont="1" applyNumberFormat="1"/>
    <xf borderId="0" fillId="4" fontId="41" numFmtId="0" xfId="0" applyAlignment="1" applyFont="1">
      <alignment readingOrder="0" vertical="top"/>
    </xf>
    <xf borderId="0" fillId="4" fontId="3" numFmtId="0" xfId="0" applyAlignment="1" applyFont="1">
      <alignment readingOrder="0" vertical="bottom"/>
    </xf>
    <xf borderId="0" fillId="4" fontId="42" numFmtId="0" xfId="0" applyAlignment="1" applyFont="1">
      <alignment vertical="top"/>
    </xf>
    <xf borderId="0" fillId="4" fontId="3" numFmtId="0" xfId="0" applyAlignment="1" applyFont="1">
      <alignment readingOrder="0" vertical="top"/>
    </xf>
    <xf borderId="0" fillId="3" fontId="2" numFmtId="0" xfId="0" applyAlignment="1" applyFont="1">
      <alignment vertical="top"/>
    </xf>
    <xf borderId="0" fillId="4" fontId="3" numFmtId="164" xfId="0" applyAlignment="1" applyFont="1" applyNumberFormat="1">
      <alignment horizontal="center" vertical="top"/>
    </xf>
    <xf borderId="0" fillId="4" fontId="3" numFmtId="165" xfId="0" applyAlignment="1" applyFont="1" applyNumberFormat="1">
      <alignment readingOrder="0" vertical="top"/>
    </xf>
    <xf borderId="0" fillId="18" fontId="2" numFmtId="0" xfId="0" applyAlignment="1" applyFont="1">
      <alignment readingOrder="0" vertical="bottom"/>
    </xf>
    <xf borderId="0" fillId="4" fontId="2" numFmtId="49" xfId="0" applyAlignment="1" applyFont="1" applyNumberFormat="1">
      <alignment horizontal="center" readingOrder="0" vertical="top"/>
    </xf>
    <xf borderId="0" fillId="4" fontId="43" numFmtId="0" xfId="0" applyAlignment="1" applyFont="1">
      <alignment readingOrder="0" vertical="top"/>
    </xf>
    <xf borderId="0" fillId="4" fontId="44" numFmtId="0" xfId="0" applyAlignment="1" applyFont="1">
      <alignment vertical="top"/>
    </xf>
    <xf borderId="0" fillId="0" fontId="3" numFmtId="0" xfId="0" applyAlignment="1" applyFont="1">
      <alignment shrinkToFit="0" wrapText="0"/>
    </xf>
    <xf borderId="0" fillId="4" fontId="3" numFmtId="49" xfId="0" applyAlignment="1" applyFont="1" applyNumberFormat="1">
      <alignment horizontal="right" vertical="bottom"/>
    </xf>
    <xf borderId="0" fillId="0" fontId="3" numFmtId="165" xfId="0" applyAlignment="1" applyFont="1" applyNumberFormat="1">
      <alignment shrinkToFit="0" vertical="bottom" wrapText="0"/>
    </xf>
    <xf borderId="0" fillId="4" fontId="3" numFmtId="165" xfId="0" applyAlignment="1" applyFont="1" applyNumberFormat="1">
      <alignment readingOrder="0"/>
    </xf>
    <xf borderId="0" fillId="4" fontId="3" numFmtId="0" xfId="0" applyAlignment="1" applyFont="1">
      <alignment horizontal="left" readingOrder="0"/>
    </xf>
    <xf borderId="0" fillId="4" fontId="3" numFmtId="0" xfId="0" applyAlignment="1" applyFont="1">
      <alignment horizontal="left"/>
    </xf>
    <xf borderId="0" fillId="4" fontId="3" numFmtId="49" xfId="0" applyAlignment="1" applyFont="1" applyNumberFormat="1">
      <alignment horizontal="center"/>
    </xf>
    <xf borderId="0" fillId="4" fontId="3" numFmtId="165" xfId="0" applyAlignment="1" applyFont="1" applyNumberFormat="1">
      <alignment horizontal="center"/>
    </xf>
    <xf borderId="0" fillId="4" fontId="2" numFmtId="0" xfId="0" applyAlignment="1" applyFont="1">
      <alignment readingOrder="0" vertical="top"/>
    </xf>
    <xf borderId="0" fillId="4" fontId="3" numFmtId="0" xfId="0" applyAlignment="1" applyFont="1">
      <alignment horizontal="center" vertical="bottom"/>
    </xf>
    <xf borderId="0" fillId="4" fontId="3" numFmtId="0" xfId="0" applyAlignment="1" applyFont="1">
      <alignment vertical="bottom"/>
    </xf>
    <xf borderId="0" fillId="4" fontId="3" numFmtId="0" xfId="0" applyAlignment="1" applyFont="1">
      <alignment vertical="top"/>
    </xf>
    <xf borderId="0" fillId="5" fontId="26" numFmtId="0" xfId="0" applyAlignment="1" applyFont="1">
      <alignment horizontal="left"/>
    </xf>
    <xf borderId="0" fillId="0" fontId="3" numFmtId="0" xfId="0" applyFont="1"/>
    <xf borderId="0" fillId="5" fontId="4" numFmtId="165" xfId="0" applyAlignment="1" applyFont="1" applyNumberFormat="1">
      <alignment horizontal="center"/>
    </xf>
    <xf borderId="0" fillId="4" fontId="3" numFmtId="0" xfId="0" applyAlignment="1" applyFont="1">
      <alignment horizontal="center" readingOrder="0" vertical="bottom"/>
    </xf>
    <xf borderId="0" fillId="4" fontId="3" numFmtId="49" xfId="0" applyAlignment="1" applyFont="1" applyNumberFormat="1">
      <alignment horizontal="center" readingOrder="0" vertical="bottom"/>
    </xf>
    <xf borderId="0" fillId="4" fontId="3" numFmtId="165" xfId="0" applyAlignment="1" applyFont="1" applyNumberFormat="1">
      <alignment horizontal="center" readingOrder="0" vertical="bottom"/>
    </xf>
    <xf borderId="0" fillId="4" fontId="3" numFmtId="165" xfId="0" applyAlignment="1" applyFont="1" applyNumberFormat="1">
      <alignment horizontal="left" readingOrder="0"/>
    </xf>
    <xf borderId="0" fillId="0" fontId="31" numFmtId="166" xfId="0" applyAlignment="1" applyFont="1" applyNumberFormat="1">
      <alignment readingOrder="0"/>
    </xf>
    <xf borderId="0" fillId="0" fontId="31" numFmtId="14" xfId="0" applyFont="1" applyNumberFormat="1"/>
    <xf borderId="0" fillId="0" fontId="31" numFmtId="49" xfId="0" applyFont="1" applyNumberFormat="1"/>
    <xf borderId="0" fillId="0" fontId="31" numFmtId="165" xfId="0" applyFont="1" applyNumberFormat="1"/>
    <xf borderId="0" fillId="0" fontId="31" numFmtId="49" xfId="0" applyAlignment="1" applyFont="1" applyNumberFormat="1">
      <alignment readingOrder="0"/>
    </xf>
    <xf borderId="0" fillId="0" fontId="31" numFmtId="165" xfId="0" applyAlignment="1" applyFont="1" applyNumberFormat="1">
      <alignment readingOrder="0"/>
    </xf>
    <xf borderId="0" fillId="0" fontId="31" numFmtId="0" xfId="0" applyFont="1"/>
    <xf borderId="0" fillId="0" fontId="31" numFmtId="0" xfId="0" applyAlignment="1" applyFont="1">
      <alignment readingOrder="0"/>
    </xf>
  </cellXfs>
  <cellStyles count="1">
    <cellStyle xfId="0" name="Normal" builtinId="0"/>
  </cellStyles>
  <dxfs count="11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>
        <color rgb="FF38761D"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A2FF82"/>
          <bgColor rgb="FFA2FF82"/>
        </patternFill>
      </fill>
      <border/>
    </dxf>
    <dxf>
      <font>
        <color rgb="FF000000"/>
      </font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oWN Stock Horse" id="{25fb1cc7-e524-4df0-9809-da670181d4a6}" providerId="google-sheets"/>
  <x18tc:person displayName="Abbie Ferris" id="{8c972b57-58f0-40c6-a189-616461f7b54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R295" dT="2023-08-04T22:09:51.00" personId="{25fb1cc7-e524-4df0-9809-da670181d4a6}" id="{8f7b9ae3-0843-437a-be03-8b8c60bcf17f}" done="0">
    <x18tc:text xml:space="preserve">sent second time</x18tc:text>
  </x18tc:threadedComment>
  <x18tc:threadedComment ref="A426" dT="2022-08-19T14:36:47.00" personId="{8c972b57-58f0-40c6-a189-616461f7b545}" id="{6c532053-2e2c-4e70-ac2d-e0094c9f7542}" done="0">
    <x18tc:text xml:space="preserve">Computer didn't charge her, needs to pay still</x18tc:text>
  </x18tc:threadedComment>
  <x18tc:threadedComment ref="G686" dT="2022-09-27T19:11:09.00" personId="{8c972b57-58f0-40c6-a189-616461f7b545}" id="{5e7ff08e-6c9c-4bcd-8624-98e2f31e86bb}" done="0">
    <x18tc:text xml:space="preserve">Paid very  late into the season after showing at several shows</x18tc:text>
  </x18tc:threadedComment>
  <x18tc:threadedComment ref="C790" dT="2023-09-14T23:29:09.00" personId="{8c972b57-58f0-40c6-a189-616461f7b545}" id="{13e352ff-ad6b-4ed8-a3c4-052dc5f1a395}" done="0">
    <x18tc:text xml:space="preserve">Was double registered as 775</x18tc:text>
  </x18tc:threadedComment>
  <x18tc:threadedComment ref="G258" dT="2023-08-13T16:39:47.00" personId="{8c972b57-58f0-40c6-a189-616461f7b545}" id="{576288ab-d14a-4033-9849-aad8c6007b97}" done="1">
    <x18tc:text xml:space="preserve">First Year free for L1. '23</x18tc:text>
  </x18tc:threadedComment>
  <x18tc:threadedComment ref="F732" dT="2024-04-16T15:20:39.00" personId="{8c972b57-58f0-40c6-a189-616461f7b545}" id="{892fc683-2ff3-4799-ba18-bd14c51acca9}" done="0">
    <x18tc:text xml:space="preserve">She was double charged and chose to have her membership extended for another 3 years rather than a refund</x18tc:text>
  </x18tc:threadedComment>
  <x18tc:threadedComment ref="B288" dT="2024-03-20T02:26:03.00" personId="{8c972b57-58f0-40c6-a189-616461f7b545}" id="{b8e2e76c-691f-4263-9208-213668963660}" done="0">
    <x18tc:text xml:space="preserve">purchased another 3 year membership in 2024</x18tc:text>
  </x18tc:threadedComment>
  <x18tc:threadedComment ref="H1" dT="2024-04-16T15:38:28.00" personId="{8c972b57-58f0-40c6-a189-616461f7b545}" id="{65ca5060-11d2-4372-9889-7d8965522921}" done="0">
    <x18tc:text xml:space="preserve">This date may be off by one day due to leap years. But it's close enough 12/30 vs 12/31 isn't an important distinction since no shows are held at this time of year</x18tc:text>
  </x18tc:threadedComment>
  <x18tc:threadedComment ref="A560" dT="2022-08-19T14:37:05.00" personId="{8c972b57-58f0-40c6-a189-616461f7b545}" id="{0453d0c5-30b0-4628-80f8-fd8787305d1c}" done="0">
    <x18tc:text xml:space="preserve">Computer didn't charge her, needs to pay still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mailto:msteele0915@gmail.com" TargetMode="External"/><Relationship Id="rId194" Type="http://schemas.openxmlformats.org/officeDocument/2006/relationships/hyperlink" Target="mailto:amanda@rockyscompletepainting.com" TargetMode="External"/><Relationship Id="rId193" Type="http://schemas.openxmlformats.org/officeDocument/2006/relationships/hyperlink" Target="mailto:amanda@rockyscompletepainting.com" TargetMode="External"/><Relationship Id="rId192" Type="http://schemas.openxmlformats.org/officeDocument/2006/relationships/hyperlink" Target="mailto:dmstewartm@aol.com" TargetMode="External"/><Relationship Id="rId191" Type="http://schemas.openxmlformats.org/officeDocument/2006/relationships/hyperlink" Target="mailto:dmstewartm@aol.com" TargetMode="External"/><Relationship Id="rId187" Type="http://schemas.openxmlformats.org/officeDocument/2006/relationships/hyperlink" Target="mailto:brycec1998@yahoo.com" TargetMode="External"/><Relationship Id="rId186" Type="http://schemas.openxmlformats.org/officeDocument/2006/relationships/hyperlink" Target="mailto:annakc1017@gamil.com" TargetMode="External"/><Relationship Id="rId185" Type="http://schemas.openxmlformats.org/officeDocument/2006/relationships/hyperlink" Target="mailto:annakc1017@gamil.com" TargetMode="External"/><Relationship Id="rId184" Type="http://schemas.openxmlformats.org/officeDocument/2006/relationships/hyperlink" Target="mailto:hanahm92@gmail.com" TargetMode="External"/><Relationship Id="rId189" Type="http://schemas.openxmlformats.org/officeDocument/2006/relationships/hyperlink" Target="mailto:msteele0915@gmail.com" TargetMode="External"/><Relationship Id="rId188" Type="http://schemas.openxmlformats.org/officeDocument/2006/relationships/hyperlink" Target="mailto:brycec1998@yahoo.com" TargetMode="External"/><Relationship Id="rId183" Type="http://schemas.openxmlformats.org/officeDocument/2006/relationships/hyperlink" Target="mailto:hanahm92@gmail.com" TargetMode="External"/><Relationship Id="rId182" Type="http://schemas.openxmlformats.org/officeDocument/2006/relationships/hyperlink" Target="mailto:lindakinnison.lk@gmail.com" TargetMode="External"/><Relationship Id="rId181" Type="http://schemas.openxmlformats.org/officeDocument/2006/relationships/hyperlink" Target="mailto:lindakinnison.lk@gmail.com" TargetMode="External"/><Relationship Id="rId180" Type="http://schemas.openxmlformats.org/officeDocument/2006/relationships/hyperlink" Target="mailto:bgprabbits@gmail.com" TargetMode="External"/><Relationship Id="rId176" Type="http://schemas.openxmlformats.org/officeDocument/2006/relationships/hyperlink" Target="mailto:annievocu@gmail.com" TargetMode="External"/><Relationship Id="rId175" Type="http://schemas.openxmlformats.org/officeDocument/2006/relationships/hyperlink" Target="mailto:annievocu@gmail.com" TargetMode="External"/><Relationship Id="rId174" Type="http://schemas.openxmlformats.org/officeDocument/2006/relationships/hyperlink" Target="mailto:kroth817@gmail.com" TargetMode="External"/><Relationship Id="rId173" Type="http://schemas.openxmlformats.org/officeDocument/2006/relationships/hyperlink" Target="mailto:kroth817@gmail.com" TargetMode="External"/><Relationship Id="rId179" Type="http://schemas.openxmlformats.org/officeDocument/2006/relationships/hyperlink" Target="mailto:bgprabbits@gmail.com" TargetMode="External"/><Relationship Id="rId178" Type="http://schemas.openxmlformats.org/officeDocument/2006/relationships/hyperlink" Target="mailto:rhonda@ecsdd.org" TargetMode="External"/><Relationship Id="rId177" Type="http://schemas.openxmlformats.org/officeDocument/2006/relationships/hyperlink" Target="mailto:rhonda@ecsdd.org" TargetMode="External"/><Relationship Id="rId198" Type="http://schemas.openxmlformats.org/officeDocument/2006/relationships/hyperlink" Target="mailto:tmaas11912@gmail.com" TargetMode="External"/><Relationship Id="rId197" Type="http://schemas.openxmlformats.org/officeDocument/2006/relationships/hyperlink" Target="mailto:tmaas11912@gmail.com" TargetMode="External"/><Relationship Id="rId196" Type="http://schemas.openxmlformats.org/officeDocument/2006/relationships/hyperlink" Target="mailto:jennifer.a.white@mac.com" TargetMode="External"/><Relationship Id="rId195" Type="http://schemas.openxmlformats.org/officeDocument/2006/relationships/hyperlink" Target="mailto:jennifer.a.white@mac.com" TargetMode="External"/><Relationship Id="rId199" Type="http://schemas.openxmlformats.org/officeDocument/2006/relationships/hyperlink" Target="mailto:angieglobug10@yahoo.com" TargetMode="External"/><Relationship Id="rId150" Type="http://schemas.openxmlformats.org/officeDocument/2006/relationships/hyperlink" Target="mailto:rebecca.oleary5@gmail.com" TargetMode="External"/><Relationship Id="rId392" Type="http://schemas.openxmlformats.org/officeDocument/2006/relationships/hyperlink" Target="mailto:kbullard@psiwy.com" TargetMode="External"/><Relationship Id="rId391" Type="http://schemas.openxmlformats.org/officeDocument/2006/relationships/hyperlink" Target="mailto:kbullard@psiwy.com" TargetMode="External"/><Relationship Id="rId390" Type="http://schemas.openxmlformats.org/officeDocument/2006/relationships/hyperlink" Target="mailto:smith.amberlynn1@gmail.com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149" Type="http://schemas.openxmlformats.org/officeDocument/2006/relationships/hyperlink" Target="mailto:rebecca.oleary5@gmail.com" TargetMode="External"/><Relationship Id="rId4" Type="http://schemas.openxmlformats.org/officeDocument/2006/relationships/hyperlink" Target="http://coyoteridgeherfords.com/" TargetMode="External"/><Relationship Id="rId148" Type="http://schemas.openxmlformats.org/officeDocument/2006/relationships/hyperlink" Target="mailto:skompcattle@hotmail.com" TargetMode="External"/><Relationship Id="rId9" Type="http://schemas.openxmlformats.org/officeDocument/2006/relationships/hyperlink" Target="mailto:miriam.b.altman@gmail.com" TargetMode="External"/><Relationship Id="rId143" Type="http://schemas.openxmlformats.org/officeDocument/2006/relationships/hyperlink" Target="mailto:dengel@vcn.com" TargetMode="External"/><Relationship Id="rId385" Type="http://schemas.openxmlformats.org/officeDocument/2006/relationships/hyperlink" Target="mailto:smith.amberlynn1@gmail.com" TargetMode="External"/><Relationship Id="rId142" Type="http://schemas.openxmlformats.org/officeDocument/2006/relationships/hyperlink" Target="mailto:lkietell@gmail.com" TargetMode="External"/><Relationship Id="rId384" Type="http://schemas.openxmlformats.org/officeDocument/2006/relationships/hyperlink" Target="mailto:smith.amberlynn1@gmail.com" TargetMode="External"/><Relationship Id="rId141" Type="http://schemas.openxmlformats.org/officeDocument/2006/relationships/hyperlink" Target="mailto:lkietell@gmail.com" TargetMode="External"/><Relationship Id="rId383" Type="http://schemas.openxmlformats.org/officeDocument/2006/relationships/hyperlink" Target="mailto:k.kelseyd@gmail.com" TargetMode="External"/><Relationship Id="rId140" Type="http://schemas.openxmlformats.org/officeDocument/2006/relationships/hyperlink" Target="mailto:mpipe@comcast.net" TargetMode="External"/><Relationship Id="rId382" Type="http://schemas.openxmlformats.org/officeDocument/2006/relationships/hyperlink" Target="mailto:k.kelseyd@gmail.com" TargetMode="External"/><Relationship Id="rId5" Type="http://schemas.openxmlformats.org/officeDocument/2006/relationships/hyperlink" Target="mailto:gracekgreen2007@gmail.com" TargetMode="External"/><Relationship Id="rId147" Type="http://schemas.openxmlformats.org/officeDocument/2006/relationships/hyperlink" Target="mailto:skompcattle@hotmail.com" TargetMode="External"/><Relationship Id="rId389" Type="http://schemas.openxmlformats.org/officeDocument/2006/relationships/hyperlink" Target="mailto:dana7stephenson@gmail.com" TargetMode="External"/><Relationship Id="rId6" Type="http://schemas.openxmlformats.org/officeDocument/2006/relationships/hyperlink" Target="mailto:isabel.mouer@gmail.com" TargetMode="External"/><Relationship Id="rId146" Type="http://schemas.openxmlformats.org/officeDocument/2006/relationships/hyperlink" Target="mailto:dlt72@icloud.com" TargetMode="External"/><Relationship Id="rId388" Type="http://schemas.openxmlformats.org/officeDocument/2006/relationships/hyperlink" Target="mailto:dana7stephenson@gmail.com" TargetMode="External"/><Relationship Id="rId7" Type="http://schemas.openxmlformats.org/officeDocument/2006/relationships/hyperlink" Target="mailto:rdolph@protonmail.ch" TargetMode="External"/><Relationship Id="rId145" Type="http://schemas.openxmlformats.org/officeDocument/2006/relationships/hyperlink" Target="mailto:dlt72@icloud.com" TargetMode="External"/><Relationship Id="rId387" Type="http://schemas.openxmlformats.org/officeDocument/2006/relationships/hyperlink" Target="mailto:tweir@skybeam.com" TargetMode="External"/><Relationship Id="rId8" Type="http://schemas.openxmlformats.org/officeDocument/2006/relationships/hyperlink" Target="mailto:raptor6@raptor6ranch.com" TargetMode="External"/><Relationship Id="rId144" Type="http://schemas.openxmlformats.org/officeDocument/2006/relationships/hyperlink" Target="mailto:dengel@vcn.com" TargetMode="External"/><Relationship Id="rId386" Type="http://schemas.openxmlformats.org/officeDocument/2006/relationships/hyperlink" Target="mailto:tweir@skybeam.com" TargetMode="External"/><Relationship Id="rId381" Type="http://schemas.openxmlformats.org/officeDocument/2006/relationships/hyperlink" Target="mailto:elanateravest@hotmail.com" TargetMode="External"/><Relationship Id="rId380" Type="http://schemas.openxmlformats.org/officeDocument/2006/relationships/hyperlink" Target="mailto:elanateravest@hotmail.com" TargetMode="External"/><Relationship Id="rId139" Type="http://schemas.openxmlformats.org/officeDocument/2006/relationships/hyperlink" Target="mailto:mpipe@comcast.net" TargetMode="External"/><Relationship Id="rId138" Type="http://schemas.openxmlformats.org/officeDocument/2006/relationships/hyperlink" Target="mailto:sydneeroady@outlook.com" TargetMode="External"/><Relationship Id="rId137" Type="http://schemas.openxmlformats.org/officeDocument/2006/relationships/hyperlink" Target="mailto:sydneeroady@outlook.com" TargetMode="External"/><Relationship Id="rId379" Type="http://schemas.openxmlformats.org/officeDocument/2006/relationships/hyperlink" Target="mailto:ashbygarrett@gmail.com" TargetMode="External"/><Relationship Id="rId132" Type="http://schemas.openxmlformats.org/officeDocument/2006/relationships/hyperlink" Target="mailto:aubrey.7672@gmail.com" TargetMode="External"/><Relationship Id="rId374" Type="http://schemas.openxmlformats.org/officeDocument/2006/relationships/hyperlink" Target="mailto:sbishop@atcje.net" TargetMode="External"/><Relationship Id="rId131" Type="http://schemas.openxmlformats.org/officeDocument/2006/relationships/hyperlink" Target="mailto:aubrey.7672@gmail.com" TargetMode="External"/><Relationship Id="rId373" Type="http://schemas.openxmlformats.org/officeDocument/2006/relationships/hyperlink" Target="mailto:whfbrewer@gmail.com" TargetMode="External"/><Relationship Id="rId130" Type="http://schemas.openxmlformats.org/officeDocument/2006/relationships/hyperlink" Target="mailto:cowgirlfaye@gmail.com" TargetMode="External"/><Relationship Id="rId372" Type="http://schemas.openxmlformats.org/officeDocument/2006/relationships/hyperlink" Target="mailto:whfbrewer@gmail.com" TargetMode="External"/><Relationship Id="rId371" Type="http://schemas.openxmlformats.org/officeDocument/2006/relationships/hyperlink" Target="mailto:sissikg@gmail.com" TargetMode="External"/><Relationship Id="rId136" Type="http://schemas.openxmlformats.org/officeDocument/2006/relationships/hyperlink" Target="mailto:kelly0515@aol.com" TargetMode="External"/><Relationship Id="rId378" Type="http://schemas.openxmlformats.org/officeDocument/2006/relationships/hyperlink" Target="mailto:ashbygarrett@gmail.com" TargetMode="External"/><Relationship Id="rId135" Type="http://schemas.openxmlformats.org/officeDocument/2006/relationships/hyperlink" Target="mailto:kelly0515@aol.com" TargetMode="External"/><Relationship Id="rId377" Type="http://schemas.openxmlformats.org/officeDocument/2006/relationships/hyperlink" Target="mailto:wbergroth@gmail.com" TargetMode="External"/><Relationship Id="rId134" Type="http://schemas.openxmlformats.org/officeDocument/2006/relationships/hyperlink" Target="mailto:troastle22@aol.com" TargetMode="External"/><Relationship Id="rId376" Type="http://schemas.openxmlformats.org/officeDocument/2006/relationships/hyperlink" Target="mailto:wbergroth@gmail.com" TargetMode="External"/><Relationship Id="rId133" Type="http://schemas.openxmlformats.org/officeDocument/2006/relationships/hyperlink" Target="mailto:troastle22@aol.com" TargetMode="External"/><Relationship Id="rId375" Type="http://schemas.openxmlformats.org/officeDocument/2006/relationships/hyperlink" Target="mailto:sbishop@atcje.net" TargetMode="External"/><Relationship Id="rId172" Type="http://schemas.openxmlformats.org/officeDocument/2006/relationships/hyperlink" Target="mailto:wattperformancehorses@yahoo.com" TargetMode="External"/><Relationship Id="rId171" Type="http://schemas.openxmlformats.org/officeDocument/2006/relationships/hyperlink" Target="mailto:wattperformancehorses@yahoo.com" TargetMode="External"/><Relationship Id="rId170" Type="http://schemas.openxmlformats.org/officeDocument/2006/relationships/hyperlink" Target="mailto:kelsey.lee@gmail.com" TargetMode="External"/><Relationship Id="rId165" Type="http://schemas.openxmlformats.org/officeDocument/2006/relationships/hyperlink" Target="mailto:nolimitsequestrians@gmail.com" TargetMode="External"/><Relationship Id="rId164" Type="http://schemas.openxmlformats.org/officeDocument/2006/relationships/hyperlink" Target="mailto:amacquire1@msn.com" TargetMode="External"/><Relationship Id="rId163" Type="http://schemas.openxmlformats.org/officeDocument/2006/relationships/hyperlink" Target="mailto:amacquire1@msn.com" TargetMode="External"/><Relationship Id="rId162" Type="http://schemas.openxmlformats.org/officeDocument/2006/relationships/hyperlink" Target="mailto:madisonsneddon2020@gmail.com" TargetMode="External"/><Relationship Id="rId169" Type="http://schemas.openxmlformats.org/officeDocument/2006/relationships/hyperlink" Target="mailto:kelsey.lee@gmail.com" TargetMode="External"/><Relationship Id="rId168" Type="http://schemas.openxmlformats.org/officeDocument/2006/relationships/hyperlink" Target="mailto:mjensen@bluegodthreads.com" TargetMode="External"/><Relationship Id="rId167" Type="http://schemas.openxmlformats.org/officeDocument/2006/relationships/hyperlink" Target="mailto:mjensen@bluegodthreads.com" TargetMode="External"/><Relationship Id="rId166" Type="http://schemas.openxmlformats.org/officeDocument/2006/relationships/hyperlink" Target="mailto:nolimitsequestrians@gmail.com" TargetMode="External"/><Relationship Id="rId161" Type="http://schemas.openxmlformats.org/officeDocument/2006/relationships/hyperlink" Target="mailto:madisonsneddon2020@gmail.com" TargetMode="External"/><Relationship Id="rId160" Type="http://schemas.openxmlformats.org/officeDocument/2006/relationships/hyperlink" Target="mailto:aj.simonson@yahoo.com" TargetMode="External"/><Relationship Id="rId159" Type="http://schemas.openxmlformats.org/officeDocument/2006/relationships/hyperlink" Target="mailto:aj.simonson@yahoo.com" TargetMode="External"/><Relationship Id="rId154" Type="http://schemas.openxmlformats.org/officeDocument/2006/relationships/hyperlink" Target="mailto:katz.m.micah@gmail.com" TargetMode="External"/><Relationship Id="rId396" Type="http://schemas.openxmlformats.org/officeDocument/2006/relationships/hyperlink" Target="mailto:gabelstable@aol.com" TargetMode="External"/><Relationship Id="rId153" Type="http://schemas.openxmlformats.org/officeDocument/2006/relationships/hyperlink" Target="mailto:katz.m.micah@gmail.com" TargetMode="External"/><Relationship Id="rId395" Type="http://schemas.openxmlformats.org/officeDocument/2006/relationships/hyperlink" Target="mailto:gabelstable@aol.com" TargetMode="External"/><Relationship Id="rId152" Type="http://schemas.openxmlformats.org/officeDocument/2006/relationships/hyperlink" Target="mailto:socksmid@aol.com" TargetMode="External"/><Relationship Id="rId394" Type="http://schemas.openxmlformats.org/officeDocument/2006/relationships/hyperlink" Target="mailto:kimberlyalvey@yahoo.com" TargetMode="External"/><Relationship Id="rId151" Type="http://schemas.openxmlformats.org/officeDocument/2006/relationships/hyperlink" Target="mailto:socksmid@aol.com" TargetMode="External"/><Relationship Id="rId393" Type="http://schemas.openxmlformats.org/officeDocument/2006/relationships/hyperlink" Target="mailto:kimberlyalvey@yahoo.com" TargetMode="External"/><Relationship Id="rId158" Type="http://schemas.openxmlformats.org/officeDocument/2006/relationships/hyperlink" Target="mailto:nicklemikayla@gmail.com" TargetMode="External"/><Relationship Id="rId157" Type="http://schemas.openxmlformats.org/officeDocument/2006/relationships/hyperlink" Target="mailto:nicklemikayla@gmail.com" TargetMode="External"/><Relationship Id="rId399" Type="http://schemas.openxmlformats.org/officeDocument/2006/relationships/hyperlink" Target="mailto:miranda.simpson2021@gmail.com" TargetMode="External"/><Relationship Id="rId156" Type="http://schemas.openxmlformats.org/officeDocument/2006/relationships/hyperlink" Target="mailto:equusapple@gmail.com" TargetMode="External"/><Relationship Id="rId398" Type="http://schemas.openxmlformats.org/officeDocument/2006/relationships/hyperlink" Target="mailto:dmolivo@gmail.com" TargetMode="External"/><Relationship Id="rId155" Type="http://schemas.openxmlformats.org/officeDocument/2006/relationships/hyperlink" Target="mailto:equusapple@gmail.com" TargetMode="External"/><Relationship Id="rId397" Type="http://schemas.openxmlformats.org/officeDocument/2006/relationships/hyperlink" Target="mailto:dmolivo@gmail.com" TargetMode="External"/><Relationship Id="rId808" Type="http://schemas.openxmlformats.org/officeDocument/2006/relationships/hyperlink" Target="mailto:casey_tia@hotmail.com" TargetMode="External"/><Relationship Id="rId807" Type="http://schemas.openxmlformats.org/officeDocument/2006/relationships/hyperlink" Target="mailto:casey_tia@hotmail.com" TargetMode="External"/><Relationship Id="rId806" Type="http://schemas.openxmlformats.org/officeDocument/2006/relationships/hyperlink" Target="mailto:mcphaulkathleen@gmail.com" TargetMode="External"/><Relationship Id="rId805" Type="http://schemas.openxmlformats.org/officeDocument/2006/relationships/hyperlink" Target="mailto:mcphaulkathleen@gmail.com" TargetMode="External"/><Relationship Id="rId809" Type="http://schemas.openxmlformats.org/officeDocument/2006/relationships/hyperlink" Target="mailto:melindagrendell@hotmail.com" TargetMode="External"/><Relationship Id="rId800" Type="http://schemas.openxmlformats.org/officeDocument/2006/relationships/hyperlink" Target="mailto:sdianesteele@aol.com" TargetMode="External"/><Relationship Id="rId804" Type="http://schemas.openxmlformats.org/officeDocument/2006/relationships/hyperlink" Target="mailto:londistout@hotmail.com" TargetMode="External"/><Relationship Id="rId803" Type="http://schemas.openxmlformats.org/officeDocument/2006/relationships/hyperlink" Target="mailto:londistout@hotmail.com" TargetMode="External"/><Relationship Id="rId802" Type="http://schemas.openxmlformats.org/officeDocument/2006/relationships/hyperlink" Target="mailto:hunterrhodes@aol.com" TargetMode="External"/><Relationship Id="rId801" Type="http://schemas.openxmlformats.org/officeDocument/2006/relationships/hyperlink" Target="mailto:sdianesteele@aol.com" TargetMode="External"/><Relationship Id="rId40" Type="http://schemas.openxmlformats.org/officeDocument/2006/relationships/hyperlink" Target="mailto:reiningkenzie@gmail.com" TargetMode="External"/><Relationship Id="rId42" Type="http://schemas.openxmlformats.org/officeDocument/2006/relationships/hyperlink" Target="mailto:jennaclaps2768@gmail.com" TargetMode="External"/><Relationship Id="rId41" Type="http://schemas.openxmlformats.org/officeDocument/2006/relationships/hyperlink" Target="mailto:lynn@haystackacres.com" TargetMode="External"/><Relationship Id="rId44" Type="http://schemas.openxmlformats.org/officeDocument/2006/relationships/hyperlink" Target="mailto:twaspqh@yahoo.com" TargetMode="External"/><Relationship Id="rId43" Type="http://schemas.openxmlformats.org/officeDocument/2006/relationships/hyperlink" Target="mailto:clh_writing@earthlink.net" TargetMode="External"/><Relationship Id="rId46" Type="http://schemas.openxmlformats.org/officeDocument/2006/relationships/hyperlink" Target="mailto:ambsh4horses@gmail.com" TargetMode="External"/><Relationship Id="rId45" Type="http://schemas.openxmlformats.org/officeDocument/2006/relationships/hyperlink" Target="mailto:awenzeld@msn.com" TargetMode="External"/><Relationship Id="rId509" Type="http://schemas.openxmlformats.org/officeDocument/2006/relationships/hyperlink" Target="mailto:sunrisridr@aol.com" TargetMode="External"/><Relationship Id="rId508" Type="http://schemas.openxmlformats.org/officeDocument/2006/relationships/hyperlink" Target="mailto:crowcreekmeat@bresnan.net" TargetMode="External"/><Relationship Id="rId503" Type="http://schemas.openxmlformats.org/officeDocument/2006/relationships/hyperlink" Target="mailto:stacystern2@yahoo.com" TargetMode="External"/><Relationship Id="rId745" Type="http://schemas.openxmlformats.org/officeDocument/2006/relationships/hyperlink" Target="mailto:drjohn01pps@gmail.com" TargetMode="External"/><Relationship Id="rId502" Type="http://schemas.openxmlformats.org/officeDocument/2006/relationships/hyperlink" Target="mailto:kimberlychapin88@gmail.com" TargetMode="External"/><Relationship Id="rId744" Type="http://schemas.openxmlformats.org/officeDocument/2006/relationships/hyperlink" Target="mailto:michelleconkey@gmail.com" TargetMode="External"/><Relationship Id="rId501" Type="http://schemas.openxmlformats.org/officeDocument/2006/relationships/hyperlink" Target="mailto:kimberlychapin88@gmail.com" TargetMode="External"/><Relationship Id="rId743" Type="http://schemas.openxmlformats.org/officeDocument/2006/relationships/hyperlink" Target="mailto:michelleconkey@gmail.com" TargetMode="External"/><Relationship Id="rId500" Type="http://schemas.openxmlformats.org/officeDocument/2006/relationships/hyperlink" Target="mailto:reillydhaliwal@gmail.com" TargetMode="External"/><Relationship Id="rId742" Type="http://schemas.openxmlformats.org/officeDocument/2006/relationships/hyperlink" Target="mailto:makayle.forsythe@gamil.com" TargetMode="External"/><Relationship Id="rId507" Type="http://schemas.openxmlformats.org/officeDocument/2006/relationships/hyperlink" Target="mailto:crowcreekmeat@bresnan.net" TargetMode="External"/><Relationship Id="rId749" Type="http://schemas.openxmlformats.org/officeDocument/2006/relationships/hyperlink" Target="mailto:toadielu@gmail.com" TargetMode="External"/><Relationship Id="rId506" Type="http://schemas.openxmlformats.org/officeDocument/2006/relationships/hyperlink" Target="mailto:hpiaseck@yahoo.com" TargetMode="External"/><Relationship Id="rId748" Type="http://schemas.openxmlformats.org/officeDocument/2006/relationships/hyperlink" Target="mailto:estes143@msn.com" TargetMode="External"/><Relationship Id="rId505" Type="http://schemas.openxmlformats.org/officeDocument/2006/relationships/hyperlink" Target="mailto:hpiaseck@yahoo.com" TargetMode="External"/><Relationship Id="rId747" Type="http://schemas.openxmlformats.org/officeDocument/2006/relationships/hyperlink" Target="mailto:estes143@msn.com" TargetMode="External"/><Relationship Id="rId504" Type="http://schemas.openxmlformats.org/officeDocument/2006/relationships/hyperlink" Target="mailto:stacystern2@yahoo.com" TargetMode="External"/><Relationship Id="rId746" Type="http://schemas.openxmlformats.org/officeDocument/2006/relationships/hyperlink" Target="mailto:drjohn01pps@gmail.com" TargetMode="External"/><Relationship Id="rId48" Type="http://schemas.openxmlformats.org/officeDocument/2006/relationships/hyperlink" Target="mailto:beth@rmh27.com" TargetMode="External"/><Relationship Id="rId47" Type="http://schemas.openxmlformats.org/officeDocument/2006/relationships/hyperlink" Target="mailto:ambsh4horses@gmail.com" TargetMode="External"/><Relationship Id="rId49" Type="http://schemas.openxmlformats.org/officeDocument/2006/relationships/hyperlink" Target="mailto:beth@rmh27.com" TargetMode="External"/><Relationship Id="rId741" Type="http://schemas.openxmlformats.org/officeDocument/2006/relationships/hyperlink" Target="mailto:makayle.forsythe@gamil.com" TargetMode="External"/><Relationship Id="rId740" Type="http://schemas.openxmlformats.org/officeDocument/2006/relationships/hyperlink" Target="mailto:cintiaa@mail.com" TargetMode="External"/><Relationship Id="rId31" Type="http://schemas.openxmlformats.org/officeDocument/2006/relationships/hyperlink" Target="mailto:nelson0514@yahoo.com" TargetMode="External"/><Relationship Id="rId30" Type="http://schemas.openxmlformats.org/officeDocument/2006/relationships/hyperlink" Target="mailto:pplatt.58@gmail.com" TargetMode="External"/><Relationship Id="rId33" Type="http://schemas.openxmlformats.org/officeDocument/2006/relationships/hyperlink" Target="mailto:dlsmoen2@aol.com" TargetMode="External"/><Relationship Id="rId32" Type="http://schemas.openxmlformats.org/officeDocument/2006/relationships/hyperlink" Target="mailto:cowgirlgina@pm.me" TargetMode="External"/><Relationship Id="rId35" Type="http://schemas.openxmlformats.org/officeDocument/2006/relationships/hyperlink" Target="mailto:us@washburn.me" TargetMode="External"/><Relationship Id="rId34" Type="http://schemas.openxmlformats.org/officeDocument/2006/relationships/hyperlink" Target="mailto:goetz.amanda3@gmail.com" TargetMode="External"/><Relationship Id="rId739" Type="http://schemas.openxmlformats.org/officeDocument/2006/relationships/hyperlink" Target="mailto:cintiaa@mail.com" TargetMode="External"/><Relationship Id="rId734" Type="http://schemas.openxmlformats.org/officeDocument/2006/relationships/hyperlink" Target="mailto:laura.bergroth@ucdenver.edu" TargetMode="External"/><Relationship Id="rId733" Type="http://schemas.openxmlformats.org/officeDocument/2006/relationships/hyperlink" Target="mailto:coletteledlow1@gmail.com" TargetMode="External"/><Relationship Id="rId732" Type="http://schemas.openxmlformats.org/officeDocument/2006/relationships/hyperlink" Target="mailto:coletteledlow1@gmail.com" TargetMode="External"/><Relationship Id="rId731" Type="http://schemas.openxmlformats.org/officeDocument/2006/relationships/hyperlink" Target="mailto:marandavomund@comcast.net" TargetMode="External"/><Relationship Id="rId738" Type="http://schemas.openxmlformats.org/officeDocument/2006/relationships/hyperlink" Target="mailto:bellaire007@gmail.com" TargetMode="External"/><Relationship Id="rId737" Type="http://schemas.openxmlformats.org/officeDocument/2006/relationships/hyperlink" Target="mailto:bellaire007@gmail.com" TargetMode="External"/><Relationship Id="rId736" Type="http://schemas.openxmlformats.org/officeDocument/2006/relationships/hyperlink" Target="mailto:cheri.kraft1@gmail.com" TargetMode="External"/><Relationship Id="rId735" Type="http://schemas.openxmlformats.org/officeDocument/2006/relationships/hyperlink" Target="mailto:laura.bergroth@ucdenver.edu" TargetMode="External"/><Relationship Id="rId37" Type="http://schemas.openxmlformats.org/officeDocument/2006/relationships/hyperlink" Target="mailto:us@washburn.me" TargetMode="External"/><Relationship Id="rId36" Type="http://schemas.openxmlformats.org/officeDocument/2006/relationships/hyperlink" Target="mailto:Cael@washburn.me" TargetMode="External"/><Relationship Id="rId39" Type="http://schemas.openxmlformats.org/officeDocument/2006/relationships/hyperlink" Target="mailto:litchford5@gmail.com" TargetMode="External"/><Relationship Id="rId38" Type="http://schemas.openxmlformats.org/officeDocument/2006/relationships/hyperlink" Target="mailto:zhorannagourd@gmail.com" TargetMode="External"/><Relationship Id="rId730" Type="http://schemas.openxmlformats.org/officeDocument/2006/relationships/hyperlink" Target="mailto:marandavomund@comcast.net" TargetMode="External"/><Relationship Id="rId20" Type="http://schemas.openxmlformats.org/officeDocument/2006/relationships/hyperlink" Target="mailto:justin.henderson300@gmail.com" TargetMode="External"/><Relationship Id="rId22" Type="http://schemas.openxmlformats.org/officeDocument/2006/relationships/hyperlink" Target="mailto:qquintana7q@hotmail.com" TargetMode="External"/><Relationship Id="rId21" Type="http://schemas.openxmlformats.org/officeDocument/2006/relationships/hyperlink" Target="mailto:tpdill@gmail.com" TargetMode="External"/><Relationship Id="rId24" Type="http://schemas.openxmlformats.org/officeDocument/2006/relationships/hyperlink" Target="mailto:karen@whiteharvestfarms.com" TargetMode="External"/><Relationship Id="rId23" Type="http://schemas.openxmlformats.org/officeDocument/2006/relationships/hyperlink" Target="mailto:robbin.randall96@gmail.com" TargetMode="External"/><Relationship Id="rId525" Type="http://schemas.openxmlformats.org/officeDocument/2006/relationships/hyperlink" Target="mailto:taniadekruif@msn.com" TargetMode="External"/><Relationship Id="rId767" Type="http://schemas.openxmlformats.org/officeDocument/2006/relationships/hyperlink" Target="mailto:miriam.b.altman@gmail.com" TargetMode="External"/><Relationship Id="rId524" Type="http://schemas.openxmlformats.org/officeDocument/2006/relationships/hyperlink" Target="mailto:rhegan.horsenut@gmail.com" TargetMode="External"/><Relationship Id="rId766" Type="http://schemas.openxmlformats.org/officeDocument/2006/relationships/hyperlink" Target="mailto:cogburnhorses@hotmail.com" TargetMode="External"/><Relationship Id="rId523" Type="http://schemas.openxmlformats.org/officeDocument/2006/relationships/hyperlink" Target="mailto:rhegan.horsenut@gmail.com" TargetMode="External"/><Relationship Id="rId765" Type="http://schemas.openxmlformats.org/officeDocument/2006/relationships/hyperlink" Target="mailto:cogburnhorses@hotmail.com" TargetMode="External"/><Relationship Id="rId522" Type="http://schemas.openxmlformats.org/officeDocument/2006/relationships/hyperlink" Target="mailto:carleestutz@gmail.com" TargetMode="External"/><Relationship Id="rId764" Type="http://schemas.openxmlformats.org/officeDocument/2006/relationships/hyperlink" Target="mailto:cyndicrco@yahoo.com" TargetMode="External"/><Relationship Id="rId529" Type="http://schemas.openxmlformats.org/officeDocument/2006/relationships/hyperlink" Target="mailto:caitlin.wadding@gmail.com" TargetMode="External"/><Relationship Id="rId528" Type="http://schemas.openxmlformats.org/officeDocument/2006/relationships/hyperlink" Target="mailto:caitlin.wadding@gmail.com" TargetMode="External"/><Relationship Id="rId527" Type="http://schemas.openxmlformats.org/officeDocument/2006/relationships/hyperlink" Target="mailto:marlam@foothillsgateway.org" TargetMode="External"/><Relationship Id="rId769" Type="http://schemas.openxmlformats.org/officeDocument/2006/relationships/hyperlink" Target="mailto:jenimerrill@vcn.com" TargetMode="External"/><Relationship Id="rId526" Type="http://schemas.openxmlformats.org/officeDocument/2006/relationships/hyperlink" Target="mailto:taniadekruif@msn.com" TargetMode="External"/><Relationship Id="rId768" Type="http://schemas.openxmlformats.org/officeDocument/2006/relationships/hyperlink" Target="mailto:miriam.b.altman@gmail.com" TargetMode="External"/><Relationship Id="rId26" Type="http://schemas.openxmlformats.org/officeDocument/2006/relationships/hyperlink" Target="mailto:mantzcreekhorses@gmail.com" TargetMode="External"/><Relationship Id="rId25" Type="http://schemas.openxmlformats.org/officeDocument/2006/relationships/hyperlink" Target="mailto:marc@whiteharvestfarms.com" TargetMode="External"/><Relationship Id="rId28" Type="http://schemas.openxmlformats.org/officeDocument/2006/relationships/hyperlink" Target="mailto:mantzcreekhorses@gmail.com" TargetMode="External"/><Relationship Id="rId27" Type="http://schemas.openxmlformats.org/officeDocument/2006/relationships/hyperlink" Target="mailto:mantzcreekhorses@gmail.com" TargetMode="External"/><Relationship Id="rId521" Type="http://schemas.openxmlformats.org/officeDocument/2006/relationships/hyperlink" Target="mailto:carleestutz@gmail.com" TargetMode="External"/><Relationship Id="rId763" Type="http://schemas.openxmlformats.org/officeDocument/2006/relationships/hyperlink" Target="mailto:cyndicrco@yahoo.com" TargetMode="External"/><Relationship Id="rId29" Type="http://schemas.openxmlformats.org/officeDocument/2006/relationships/hyperlink" Target="mailto:tomkrisstreet@hotmail.com" TargetMode="External"/><Relationship Id="rId520" Type="http://schemas.openxmlformats.org/officeDocument/2006/relationships/hyperlink" Target="mailto:kimber.sherrard@gmail.com" TargetMode="External"/><Relationship Id="rId762" Type="http://schemas.openxmlformats.org/officeDocument/2006/relationships/hyperlink" Target="mailto:kylelikes13@gmail.com" TargetMode="External"/><Relationship Id="rId761" Type="http://schemas.openxmlformats.org/officeDocument/2006/relationships/hyperlink" Target="mailto:kylelikes13@gmail.com" TargetMode="External"/><Relationship Id="rId760" Type="http://schemas.openxmlformats.org/officeDocument/2006/relationships/hyperlink" Target="mailto:vickibenson@yahoo.com" TargetMode="External"/><Relationship Id="rId11" Type="http://schemas.openxmlformats.org/officeDocument/2006/relationships/hyperlink" Target="mailto:cogburnhorses@hotmail.com" TargetMode="External"/><Relationship Id="rId10" Type="http://schemas.openxmlformats.org/officeDocument/2006/relationships/hyperlink" Target="mailto:miriam.b.altman@gmail.com" TargetMode="External"/><Relationship Id="rId13" Type="http://schemas.openxmlformats.org/officeDocument/2006/relationships/hyperlink" Target="mailto:debbie@debbietannehillrealestate.com" TargetMode="External"/><Relationship Id="rId12" Type="http://schemas.openxmlformats.org/officeDocument/2006/relationships/hyperlink" Target="mailto:cogburnhorses@hotmail.com" TargetMode="External"/><Relationship Id="rId519" Type="http://schemas.openxmlformats.org/officeDocument/2006/relationships/hyperlink" Target="mailto:kimber.sherrard@gmail.com" TargetMode="External"/><Relationship Id="rId514" Type="http://schemas.openxmlformats.org/officeDocument/2006/relationships/hyperlink" Target="mailto:livelaughlove0648@gmail.com" TargetMode="External"/><Relationship Id="rId756" Type="http://schemas.openxmlformats.org/officeDocument/2006/relationships/hyperlink" Target="mailto:tom.westernsales@gmail.com" TargetMode="External"/><Relationship Id="rId513" Type="http://schemas.openxmlformats.org/officeDocument/2006/relationships/hyperlink" Target="mailto:livelaughlove0648@gmail.com" TargetMode="External"/><Relationship Id="rId755" Type="http://schemas.openxmlformats.org/officeDocument/2006/relationships/hyperlink" Target="mailto:tom.westernsales@gmail.com" TargetMode="External"/><Relationship Id="rId512" Type="http://schemas.openxmlformats.org/officeDocument/2006/relationships/hyperlink" Target="mailto:phil@bitsndspurshorsemanship.com" TargetMode="External"/><Relationship Id="rId754" Type="http://schemas.openxmlformats.org/officeDocument/2006/relationships/hyperlink" Target="mailto:raiders-1_2010@hotmail.com" TargetMode="External"/><Relationship Id="rId511" Type="http://schemas.openxmlformats.org/officeDocument/2006/relationships/hyperlink" Target="mailto:phil@bitsndspurshorsemanship.com" TargetMode="External"/><Relationship Id="rId753" Type="http://schemas.openxmlformats.org/officeDocument/2006/relationships/hyperlink" Target="mailto:raiders-1_2010@hotmail.com" TargetMode="External"/><Relationship Id="rId518" Type="http://schemas.openxmlformats.org/officeDocument/2006/relationships/hyperlink" Target="mailto:Jama.mickler@egging.com" TargetMode="External"/><Relationship Id="rId517" Type="http://schemas.openxmlformats.org/officeDocument/2006/relationships/hyperlink" Target="mailto:Jama.mickler@egging.com" TargetMode="External"/><Relationship Id="rId759" Type="http://schemas.openxmlformats.org/officeDocument/2006/relationships/hyperlink" Target="mailto:vickibenson@yahoo.com" TargetMode="External"/><Relationship Id="rId516" Type="http://schemas.openxmlformats.org/officeDocument/2006/relationships/hyperlink" Target="mailto:kfaye@uwyo.edu" TargetMode="External"/><Relationship Id="rId758" Type="http://schemas.openxmlformats.org/officeDocument/2006/relationships/hyperlink" Target="about:blank" TargetMode="External"/><Relationship Id="rId515" Type="http://schemas.openxmlformats.org/officeDocument/2006/relationships/hyperlink" Target="mailto:kfaye@uwyo.edu" TargetMode="External"/><Relationship Id="rId757" Type="http://schemas.openxmlformats.org/officeDocument/2006/relationships/hyperlink" Target="about:blank" TargetMode="External"/><Relationship Id="rId15" Type="http://schemas.openxmlformats.org/officeDocument/2006/relationships/hyperlink" Target="mailto:mammadufficy@gmail.com" TargetMode="External"/><Relationship Id="rId14" Type="http://schemas.openxmlformats.org/officeDocument/2006/relationships/hyperlink" Target="mailto:debbie@debbietannehillrealestate.com" TargetMode="External"/><Relationship Id="rId17" Type="http://schemas.openxmlformats.org/officeDocument/2006/relationships/hyperlink" Target="mailto:rdolph@protonmail.ch" TargetMode="External"/><Relationship Id="rId16" Type="http://schemas.openxmlformats.org/officeDocument/2006/relationships/hyperlink" Target="mailto:grouchygringotrucking@gmail.com" TargetMode="External"/><Relationship Id="rId19" Type="http://schemas.openxmlformats.org/officeDocument/2006/relationships/hyperlink" Target="mailto:moorerlynn@yahoo.com" TargetMode="External"/><Relationship Id="rId510" Type="http://schemas.openxmlformats.org/officeDocument/2006/relationships/hyperlink" Target="mailto:sunrisridr@aol.com" TargetMode="External"/><Relationship Id="rId752" Type="http://schemas.openxmlformats.org/officeDocument/2006/relationships/hyperlink" Target="mailto:jhergenreder2@unl.edu" TargetMode="External"/><Relationship Id="rId18" Type="http://schemas.openxmlformats.org/officeDocument/2006/relationships/hyperlink" Target="mailto:raptor6@raptor6ranch.com" TargetMode="External"/><Relationship Id="rId751" Type="http://schemas.openxmlformats.org/officeDocument/2006/relationships/hyperlink" Target="mailto:jhergenreder2@unl.edu" TargetMode="External"/><Relationship Id="rId750" Type="http://schemas.openxmlformats.org/officeDocument/2006/relationships/hyperlink" Target="mailto:toadielu@gmail.com" TargetMode="External"/><Relationship Id="rId84" Type="http://schemas.openxmlformats.org/officeDocument/2006/relationships/hyperlink" Target="mailto:margolball@aol.com" TargetMode="External"/><Relationship Id="rId83" Type="http://schemas.openxmlformats.org/officeDocument/2006/relationships/hyperlink" Target="mailto:margolball@aol.com" TargetMode="External"/><Relationship Id="rId86" Type="http://schemas.openxmlformats.org/officeDocument/2006/relationships/hyperlink" Target="mailto:miricrisp7@gmail.com" TargetMode="External"/><Relationship Id="rId85" Type="http://schemas.openxmlformats.org/officeDocument/2006/relationships/hyperlink" Target="mailto:miricrisp7@gmail.com" TargetMode="External"/><Relationship Id="rId88" Type="http://schemas.openxmlformats.org/officeDocument/2006/relationships/hyperlink" Target="mailto:stacey_chope@yahoo.com" TargetMode="External"/><Relationship Id="rId87" Type="http://schemas.openxmlformats.org/officeDocument/2006/relationships/hyperlink" Target="mailto:stacey_chope@yahoo.com" TargetMode="External"/><Relationship Id="rId89" Type="http://schemas.openxmlformats.org/officeDocument/2006/relationships/hyperlink" Target="mailto:horsesetc@springsips.com" TargetMode="External"/><Relationship Id="rId709" Type="http://schemas.openxmlformats.org/officeDocument/2006/relationships/hyperlink" Target="mailto:wseoils307@gmail.com" TargetMode="External"/><Relationship Id="rId708" Type="http://schemas.openxmlformats.org/officeDocument/2006/relationships/hyperlink" Target="mailto:wseoils307@gmail.com" TargetMode="External"/><Relationship Id="rId707" Type="http://schemas.openxmlformats.org/officeDocument/2006/relationships/hyperlink" Target="mailto:kbrass@atcjet.net" TargetMode="External"/><Relationship Id="rId706" Type="http://schemas.openxmlformats.org/officeDocument/2006/relationships/hyperlink" Target="mailto:kbrass@atcjet.net" TargetMode="External"/><Relationship Id="rId80" Type="http://schemas.openxmlformats.org/officeDocument/2006/relationships/hyperlink" Target="mailto:legacyhorsecompany@gmail.com" TargetMode="External"/><Relationship Id="rId82" Type="http://schemas.openxmlformats.org/officeDocument/2006/relationships/hyperlink" Target="mailto:josielea.bunch@gmail.com" TargetMode="External"/><Relationship Id="rId81" Type="http://schemas.openxmlformats.org/officeDocument/2006/relationships/hyperlink" Target="mailto:josielea.bunch@gmail.com" TargetMode="External"/><Relationship Id="rId701" Type="http://schemas.openxmlformats.org/officeDocument/2006/relationships/hyperlink" Target="mailto:helenmse@aol.com" TargetMode="External"/><Relationship Id="rId700" Type="http://schemas.openxmlformats.org/officeDocument/2006/relationships/hyperlink" Target="mailto:kaylynnsheldon@gmail.com" TargetMode="External"/><Relationship Id="rId705" Type="http://schemas.openxmlformats.org/officeDocument/2006/relationships/hyperlink" Target="mailto:christinahaxton@gmail.com" TargetMode="External"/><Relationship Id="rId704" Type="http://schemas.openxmlformats.org/officeDocument/2006/relationships/hyperlink" Target="mailto:christinahaxton@gmail.com" TargetMode="External"/><Relationship Id="rId703" Type="http://schemas.openxmlformats.org/officeDocument/2006/relationships/hyperlink" Target="mailto:cheri.kraft1@gmail.com" TargetMode="External"/><Relationship Id="rId702" Type="http://schemas.openxmlformats.org/officeDocument/2006/relationships/hyperlink" Target="mailto:helenmse@aol.com" TargetMode="External"/><Relationship Id="rId73" Type="http://schemas.openxmlformats.org/officeDocument/2006/relationships/hyperlink" Target="mailto:hermanson2010@gmail.com" TargetMode="External"/><Relationship Id="rId72" Type="http://schemas.openxmlformats.org/officeDocument/2006/relationships/hyperlink" Target="mailto:keen_jill@yahoo.com" TargetMode="External"/><Relationship Id="rId75" Type="http://schemas.openxmlformats.org/officeDocument/2006/relationships/hyperlink" Target="mailto:jazzyherm2016@gmail.com" TargetMode="External"/><Relationship Id="rId74" Type="http://schemas.openxmlformats.org/officeDocument/2006/relationships/hyperlink" Target="mailto:hermanson2010@gmail.com" TargetMode="External"/><Relationship Id="rId77" Type="http://schemas.openxmlformats.org/officeDocument/2006/relationships/hyperlink" Target="mailto:nancy.billingscolton@gmail.com" TargetMode="External"/><Relationship Id="rId76" Type="http://schemas.openxmlformats.org/officeDocument/2006/relationships/hyperlink" Target="mailto:jazzyherm2016@gmail.com" TargetMode="External"/><Relationship Id="rId79" Type="http://schemas.openxmlformats.org/officeDocument/2006/relationships/hyperlink" Target="mailto:legacyhorsecompany@gmail.com" TargetMode="External"/><Relationship Id="rId78" Type="http://schemas.openxmlformats.org/officeDocument/2006/relationships/hyperlink" Target="mailto:nancy.billingscolton@gmail.com" TargetMode="External"/><Relationship Id="rId71" Type="http://schemas.openxmlformats.org/officeDocument/2006/relationships/hyperlink" Target="mailto:keen_jill@yahoo.com" TargetMode="External"/><Relationship Id="rId70" Type="http://schemas.openxmlformats.org/officeDocument/2006/relationships/hyperlink" Target="mailto:haysue07@hotmail.com" TargetMode="External"/><Relationship Id="rId62" Type="http://schemas.openxmlformats.org/officeDocument/2006/relationships/hyperlink" Target="mailto:juliesteil@yahoo.com" TargetMode="External"/><Relationship Id="rId61" Type="http://schemas.openxmlformats.org/officeDocument/2006/relationships/hyperlink" Target="mailto:juliesteil@yahoo.com" TargetMode="External"/><Relationship Id="rId64" Type="http://schemas.openxmlformats.org/officeDocument/2006/relationships/hyperlink" Target="mailto:juliesteil@yahoo.com" TargetMode="External"/><Relationship Id="rId63" Type="http://schemas.openxmlformats.org/officeDocument/2006/relationships/hyperlink" Target="mailto:juliesteil@yahoo.com" TargetMode="External"/><Relationship Id="rId66" Type="http://schemas.openxmlformats.org/officeDocument/2006/relationships/hyperlink" Target="mailto:danaschultz02@gmail.com" TargetMode="External"/><Relationship Id="rId65" Type="http://schemas.openxmlformats.org/officeDocument/2006/relationships/hyperlink" Target="mailto:danaschultz02@gmail.com" TargetMode="External"/><Relationship Id="rId68" Type="http://schemas.openxmlformats.org/officeDocument/2006/relationships/hyperlink" Target="mailto:4mslinz@gmail.com" TargetMode="External"/><Relationship Id="rId67" Type="http://schemas.openxmlformats.org/officeDocument/2006/relationships/hyperlink" Target="mailto:4mslinz@gmail.com" TargetMode="External"/><Relationship Id="rId729" Type="http://schemas.openxmlformats.org/officeDocument/2006/relationships/hyperlink" Target="mailto:edkimbro@gmail.com" TargetMode="External"/><Relationship Id="rId728" Type="http://schemas.openxmlformats.org/officeDocument/2006/relationships/hyperlink" Target="mailto:edkimbro@gmail.com" TargetMode="External"/><Relationship Id="rId60" Type="http://schemas.openxmlformats.org/officeDocument/2006/relationships/hyperlink" Target="mailto:jenifer@tumbleweedstudios.com" TargetMode="External"/><Relationship Id="rId723" Type="http://schemas.openxmlformats.org/officeDocument/2006/relationships/hyperlink" Target="mailto:ksmith426@student.cccs.edu" TargetMode="External"/><Relationship Id="rId722" Type="http://schemas.openxmlformats.org/officeDocument/2006/relationships/hyperlink" Target="mailto:ksmith426@student.cccs.edu" TargetMode="External"/><Relationship Id="rId721" Type="http://schemas.openxmlformats.org/officeDocument/2006/relationships/hyperlink" Target="about:blank" TargetMode="External"/><Relationship Id="rId720" Type="http://schemas.openxmlformats.org/officeDocument/2006/relationships/hyperlink" Target="about:blank" TargetMode="External"/><Relationship Id="rId727" Type="http://schemas.openxmlformats.org/officeDocument/2006/relationships/hyperlink" Target="mailto:beckerbrooklyn1@gmail.com" TargetMode="External"/><Relationship Id="rId726" Type="http://schemas.openxmlformats.org/officeDocument/2006/relationships/hyperlink" Target="mailto:beckerbrooklyn1@gmail.com" TargetMode="External"/><Relationship Id="rId725" Type="http://schemas.openxmlformats.org/officeDocument/2006/relationships/hyperlink" Target="mailto:razz2@msn.com" TargetMode="External"/><Relationship Id="rId724" Type="http://schemas.openxmlformats.org/officeDocument/2006/relationships/hyperlink" Target="mailto:razz2@msn.com" TargetMode="External"/><Relationship Id="rId69" Type="http://schemas.openxmlformats.org/officeDocument/2006/relationships/hyperlink" Target="mailto:haysue07@hotmail.com" TargetMode="External"/><Relationship Id="rId51" Type="http://schemas.openxmlformats.org/officeDocument/2006/relationships/hyperlink" Target="mailto:lglukens@gmail.com" TargetMode="External"/><Relationship Id="rId50" Type="http://schemas.openxmlformats.org/officeDocument/2006/relationships/hyperlink" Target="mailto:kittyp@frii.com" TargetMode="External"/><Relationship Id="rId53" Type="http://schemas.openxmlformats.org/officeDocument/2006/relationships/hyperlink" Target="mailto:cassiet@blackbeltmovers.com" TargetMode="External"/><Relationship Id="rId52" Type="http://schemas.openxmlformats.org/officeDocument/2006/relationships/hyperlink" Target="mailto:lglukens@gmail.com" TargetMode="External"/><Relationship Id="rId55" Type="http://schemas.openxmlformats.org/officeDocument/2006/relationships/hyperlink" Target="mailto:fraserranch@gmail.com" TargetMode="External"/><Relationship Id="rId54" Type="http://schemas.openxmlformats.org/officeDocument/2006/relationships/hyperlink" Target="mailto:cassiet@blackbeltmovers.com" TargetMode="External"/><Relationship Id="rId57" Type="http://schemas.openxmlformats.org/officeDocument/2006/relationships/hyperlink" Target="mailto:aubrey.7672@gmail.com" TargetMode="External"/><Relationship Id="rId56" Type="http://schemas.openxmlformats.org/officeDocument/2006/relationships/hyperlink" Target="mailto:fraserranch@gmail.com" TargetMode="External"/><Relationship Id="rId719" Type="http://schemas.openxmlformats.org/officeDocument/2006/relationships/hyperlink" Target="mailto:janetwilliamsen@aol.com" TargetMode="External"/><Relationship Id="rId718" Type="http://schemas.openxmlformats.org/officeDocument/2006/relationships/hyperlink" Target="mailto:janetwilliamsen@aol.com" TargetMode="External"/><Relationship Id="rId717" Type="http://schemas.openxmlformats.org/officeDocument/2006/relationships/hyperlink" Target="mailto:alyssa.ratzloff@gmail.com" TargetMode="External"/><Relationship Id="rId712" Type="http://schemas.openxmlformats.org/officeDocument/2006/relationships/hyperlink" Target="mailto:Lmhurd33@yahoo.com" TargetMode="External"/><Relationship Id="rId711" Type="http://schemas.openxmlformats.org/officeDocument/2006/relationships/hyperlink" Target="mailto:jdan630@hotmail.com" TargetMode="External"/><Relationship Id="rId710" Type="http://schemas.openxmlformats.org/officeDocument/2006/relationships/hyperlink" Target="mailto:jdan630@hotmail.com" TargetMode="External"/><Relationship Id="rId716" Type="http://schemas.openxmlformats.org/officeDocument/2006/relationships/hyperlink" Target="mailto:alyssa.ratzloff@gmail.com" TargetMode="External"/><Relationship Id="rId715" Type="http://schemas.openxmlformats.org/officeDocument/2006/relationships/hyperlink" Target="mailto:klkmrk@gmail.com" TargetMode="External"/><Relationship Id="rId714" Type="http://schemas.openxmlformats.org/officeDocument/2006/relationships/hyperlink" Target="mailto:klkmrk@gmail.com" TargetMode="External"/><Relationship Id="rId713" Type="http://schemas.openxmlformats.org/officeDocument/2006/relationships/hyperlink" Target="mailto:Lmhurd33@yahoo.com" TargetMode="External"/><Relationship Id="rId59" Type="http://schemas.openxmlformats.org/officeDocument/2006/relationships/hyperlink" Target="mailto:jenifer@tumbleweedstudios.com" TargetMode="External"/><Relationship Id="rId58" Type="http://schemas.openxmlformats.org/officeDocument/2006/relationships/hyperlink" Target="mailto:aubrey.7672@gmail.com" TargetMode="External"/><Relationship Id="rId590" Type="http://schemas.openxmlformats.org/officeDocument/2006/relationships/hyperlink" Target="mailto:brynnheil@hotmail.com" TargetMode="External"/><Relationship Id="rId107" Type="http://schemas.openxmlformats.org/officeDocument/2006/relationships/hyperlink" Target="mailto:rsibley101@gmail.com" TargetMode="External"/><Relationship Id="rId349" Type="http://schemas.openxmlformats.org/officeDocument/2006/relationships/hyperlink" Target="mailto:newmankh2004@msn.com" TargetMode="External"/><Relationship Id="rId106" Type="http://schemas.openxmlformats.org/officeDocument/2006/relationships/hyperlink" Target="mailto:juliesteil@yahoo.com" TargetMode="External"/><Relationship Id="rId348" Type="http://schemas.openxmlformats.org/officeDocument/2006/relationships/hyperlink" Target="mailto:newmankh2004@msn.com" TargetMode="External"/><Relationship Id="rId105" Type="http://schemas.openxmlformats.org/officeDocument/2006/relationships/hyperlink" Target="mailto:juliesteil@yahoo.com" TargetMode="External"/><Relationship Id="rId347" Type="http://schemas.openxmlformats.org/officeDocument/2006/relationships/hyperlink" Target="mailto:drakejjohnson@gmail.com" TargetMode="External"/><Relationship Id="rId589" Type="http://schemas.openxmlformats.org/officeDocument/2006/relationships/hyperlink" Target="mailto:brynnheil@hotmail.com" TargetMode="External"/><Relationship Id="rId104" Type="http://schemas.openxmlformats.org/officeDocument/2006/relationships/hyperlink" Target="mailto:lorastuehm@outlook.com" TargetMode="External"/><Relationship Id="rId346" Type="http://schemas.openxmlformats.org/officeDocument/2006/relationships/hyperlink" Target="mailto:drakejjohnson@gmail.com" TargetMode="External"/><Relationship Id="rId588" Type="http://schemas.openxmlformats.org/officeDocument/2006/relationships/hyperlink" Target="mailto:karintroendle@yahoo.com" TargetMode="External"/><Relationship Id="rId109" Type="http://schemas.openxmlformats.org/officeDocument/2006/relationships/hyperlink" Target="mailto:arey024@gmail.com" TargetMode="External"/><Relationship Id="rId108" Type="http://schemas.openxmlformats.org/officeDocument/2006/relationships/hyperlink" Target="mailto:rsibley101@gmail.com" TargetMode="External"/><Relationship Id="rId341" Type="http://schemas.openxmlformats.org/officeDocument/2006/relationships/hyperlink" Target="mailto:melanie.newkirk@yahoo.com" TargetMode="External"/><Relationship Id="rId583" Type="http://schemas.openxmlformats.org/officeDocument/2006/relationships/hyperlink" Target="mailto:devin.conley@hotmail.com" TargetMode="External"/><Relationship Id="rId340" Type="http://schemas.openxmlformats.org/officeDocument/2006/relationships/hyperlink" Target="mailto:bob@frontrange-pc.com" TargetMode="External"/><Relationship Id="rId582" Type="http://schemas.openxmlformats.org/officeDocument/2006/relationships/hyperlink" Target="mailto:devin.conley@hotmail.com" TargetMode="External"/><Relationship Id="rId581" Type="http://schemas.openxmlformats.org/officeDocument/2006/relationships/hyperlink" Target="mailto:s.r.ostrand@gmail.com" TargetMode="External"/><Relationship Id="rId580" Type="http://schemas.openxmlformats.org/officeDocument/2006/relationships/hyperlink" Target="mailto:s.r.ostrand@gmail.com" TargetMode="External"/><Relationship Id="rId103" Type="http://schemas.openxmlformats.org/officeDocument/2006/relationships/hyperlink" Target="mailto:lorastuehm@outlook.com" TargetMode="External"/><Relationship Id="rId345" Type="http://schemas.openxmlformats.org/officeDocument/2006/relationships/hyperlink" Target="mailto:cheri.kraft1@gmail.com" TargetMode="External"/><Relationship Id="rId587" Type="http://schemas.openxmlformats.org/officeDocument/2006/relationships/hyperlink" Target="mailto:karintroendle@yahoo.com" TargetMode="External"/><Relationship Id="rId102" Type="http://schemas.openxmlformats.org/officeDocument/2006/relationships/hyperlink" Target="mailto:thegermancowgirl@gmail.com" TargetMode="External"/><Relationship Id="rId344" Type="http://schemas.openxmlformats.org/officeDocument/2006/relationships/hyperlink" Target="mailto:cheri.kraft1@gmail.com" TargetMode="External"/><Relationship Id="rId586" Type="http://schemas.openxmlformats.org/officeDocument/2006/relationships/hyperlink" Target="mailto:teamvial@msn.com" TargetMode="External"/><Relationship Id="rId101" Type="http://schemas.openxmlformats.org/officeDocument/2006/relationships/hyperlink" Target="mailto:legacyhorsecompany@gmail.com" TargetMode="External"/><Relationship Id="rId343" Type="http://schemas.openxmlformats.org/officeDocument/2006/relationships/hyperlink" Target="mailto:reiterhauswd@gmail.com" TargetMode="External"/><Relationship Id="rId585" Type="http://schemas.openxmlformats.org/officeDocument/2006/relationships/hyperlink" Target="mailto:graceromo01@gmail.com" TargetMode="External"/><Relationship Id="rId100" Type="http://schemas.openxmlformats.org/officeDocument/2006/relationships/hyperlink" Target="mailto:legacyhorsecompany@gmail.com" TargetMode="External"/><Relationship Id="rId342" Type="http://schemas.openxmlformats.org/officeDocument/2006/relationships/hyperlink" Target="mailto:reiterhauswd@gmail.com" TargetMode="External"/><Relationship Id="rId584" Type="http://schemas.openxmlformats.org/officeDocument/2006/relationships/hyperlink" Target="mailto:graceromo01@gmail.com" TargetMode="External"/><Relationship Id="rId338" Type="http://schemas.openxmlformats.org/officeDocument/2006/relationships/hyperlink" Target="mailto:evelyn.pont8@gmail.com" TargetMode="External"/><Relationship Id="rId337" Type="http://schemas.openxmlformats.org/officeDocument/2006/relationships/hyperlink" Target="about:blank" TargetMode="External"/><Relationship Id="rId579" Type="http://schemas.openxmlformats.org/officeDocument/2006/relationships/hyperlink" Target="mailto:hannahlooman@gmail.com" TargetMode="External"/><Relationship Id="rId336" Type="http://schemas.openxmlformats.org/officeDocument/2006/relationships/hyperlink" Target="about:blank" TargetMode="External"/><Relationship Id="rId578" Type="http://schemas.openxmlformats.org/officeDocument/2006/relationships/hyperlink" Target="mailto:hannahlooman@gmail.com" TargetMode="External"/><Relationship Id="rId335" Type="http://schemas.openxmlformats.org/officeDocument/2006/relationships/hyperlink" Target="mailto:awenzeld@msn.com" TargetMode="External"/><Relationship Id="rId577" Type="http://schemas.openxmlformats.org/officeDocument/2006/relationships/hyperlink" Target="mailto:douglasride19@gmail.com" TargetMode="External"/><Relationship Id="rId339" Type="http://schemas.openxmlformats.org/officeDocument/2006/relationships/hyperlink" Target="mailto:bob@frontrange-pc.com" TargetMode="External"/><Relationship Id="rId330" Type="http://schemas.openxmlformats.org/officeDocument/2006/relationships/hyperlink" Target="mailto:j.barhite@icloud.com" TargetMode="External"/><Relationship Id="rId572" Type="http://schemas.openxmlformats.org/officeDocument/2006/relationships/hyperlink" Target="mailto:nweaber@yahoo.com" TargetMode="External"/><Relationship Id="rId571" Type="http://schemas.openxmlformats.org/officeDocument/2006/relationships/hyperlink" Target="mailto:cjleathershop@gmail.com" TargetMode="External"/><Relationship Id="rId570" Type="http://schemas.openxmlformats.org/officeDocument/2006/relationships/hyperlink" Target="mailto:cjleathershop@gmail.com" TargetMode="External"/><Relationship Id="rId334" Type="http://schemas.openxmlformats.org/officeDocument/2006/relationships/hyperlink" Target="mailto:awenzeld@msn.com" TargetMode="External"/><Relationship Id="rId576" Type="http://schemas.openxmlformats.org/officeDocument/2006/relationships/hyperlink" Target="mailto:douglasride19@gmail.com" TargetMode="External"/><Relationship Id="rId333" Type="http://schemas.openxmlformats.org/officeDocument/2006/relationships/hyperlink" Target="mailto:treaallen14@gmail.com" TargetMode="External"/><Relationship Id="rId575" Type="http://schemas.openxmlformats.org/officeDocument/2006/relationships/hyperlink" Target="mailto:gingermatney@gmail.com" TargetMode="External"/><Relationship Id="rId332" Type="http://schemas.openxmlformats.org/officeDocument/2006/relationships/hyperlink" Target="mailto:treaallen14@gmail.com" TargetMode="External"/><Relationship Id="rId574" Type="http://schemas.openxmlformats.org/officeDocument/2006/relationships/hyperlink" Target="mailto:gingermatney@gmail.com" TargetMode="External"/><Relationship Id="rId331" Type="http://schemas.openxmlformats.org/officeDocument/2006/relationships/hyperlink" Target="mailto:j.barhite@icloud.com" TargetMode="External"/><Relationship Id="rId573" Type="http://schemas.openxmlformats.org/officeDocument/2006/relationships/hyperlink" Target="mailto:nweaber@yahoo.com" TargetMode="External"/><Relationship Id="rId370" Type="http://schemas.openxmlformats.org/officeDocument/2006/relationships/hyperlink" Target="mailto:sissikg@gmail.com" TargetMode="External"/><Relationship Id="rId129" Type="http://schemas.openxmlformats.org/officeDocument/2006/relationships/hyperlink" Target="mailto:cowgirlfaye@gmail.com" TargetMode="External"/><Relationship Id="rId128" Type="http://schemas.openxmlformats.org/officeDocument/2006/relationships/hyperlink" Target="mailto:taniadekruif@msn.com" TargetMode="External"/><Relationship Id="rId127" Type="http://schemas.openxmlformats.org/officeDocument/2006/relationships/hyperlink" Target="mailto:taniadekruif@msn.com" TargetMode="External"/><Relationship Id="rId369" Type="http://schemas.openxmlformats.org/officeDocument/2006/relationships/hyperlink" Target="mailto:michaellkitten@gmail.com" TargetMode="External"/><Relationship Id="rId126" Type="http://schemas.openxmlformats.org/officeDocument/2006/relationships/hyperlink" Target="mailto:kelseyreneeberglund@gmail.com" TargetMode="External"/><Relationship Id="rId368" Type="http://schemas.openxmlformats.org/officeDocument/2006/relationships/hyperlink" Target="mailto:michaellkitten@gmail.com" TargetMode="External"/><Relationship Id="rId121" Type="http://schemas.openxmlformats.org/officeDocument/2006/relationships/hyperlink" Target="mailto:jgalleqos63@yahoo.com" TargetMode="External"/><Relationship Id="rId363" Type="http://schemas.openxmlformats.org/officeDocument/2006/relationships/hyperlink" Target="mailto:phroggunr@hotmail.com" TargetMode="External"/><Relationship Id="rId120" Type="http://schemas.openxmlformats.org/officeDocument/2006/relationships/hyperlink" Target="mailto:amanda@rockyscompletepainting.com" TargetMode="External"/><Relationship Id="rId362" Type="http://schemas.openxmlformats.org/officeDocument/2006/relationships/hyperlink" Target="mailto:phroggunr@hotmail.com" TargetMode="External"/><Relationship Id="rId361" Type="http://schemas.openxmlformats.org/officeDocument/2006/relationships/hyperlink" Target="mailto:kpricefoster@gmail.com" TargetMode="External"/><Relationship Id="rId360" Type="http://schemas.openxmlformats.org/officeDocument/2006/relationships/hyperlink" Target="mailto:kpricefoster@gmail.com" TargetMode="External"/><Relationship Id="rId125" Type="http://schemas.openxmlformats.org/officeDocument/2006/relationships/hyperlink" Target="mailto:kelseyreneeberglund@gmail.com" TargetMode="External"/><Relationship Id="rId367" Type="http://schemas.openxmlformats.org/officeDocument/2006/relationships/hyperlink" Target="mailto:phroggunr@hotmail.com" TargetMode="External"/><Relationship Id="rId124" Type="http://schemas.openxmlformats.org/officeDocument/2006/relationships/hyperlink" Target="mailto:tay307@aol.com" TargetMode="External"/><Relationship Id="rId366" Type="http://schemas.openxmlformats.org/officeDocument/2006/relationships/hyperlink" Target="mailto:phroggunr@hotmail.com" TargetMode="External"/><Relationship Id="rId123" Type="http://schemas.openxmlformats.org/officeDocument/2006/relationships/hyperlink" Target="mailto:tay307@aol.com" TargetMode="External"/><Relationship Id="rId365" Type="http://schemas.openxmlformats.org/officeDocument/2006/relationships/hyperlink" Target="mailto:phroggunr@hotmail.com" TargetMode="External"/><Relationship Id="rId122" Type="http://schemas.openxmlformats.org/officeDocument/2006/relationships/hyperlink" Target="mailto:jgalleqos63@yahoo.com" TargetMode="External"/><Relationship Id="rId364" Type="http://schemas.openxmlformats.org/officeDocument/2006/relationships/hyperlink" Target="mailto:phroggunr@hotmail.com" TargetMode="External"/><Relationship Id="rId95" Type="http://schemas.openxmlformats.org/officeDocument/2006/relationships/hyperlink" Target="mailto:greenfam218@gmail.com" TargetMode="External"/><Relationship Id="rId94" Type="http://schemas.openxmlformats.org/officeDocument/2006/relationships/hyperlink" Target="mailto:greenfam218@gmail.com" TargetMode="External"/><Relationship Id="rId97" Type="http://schemas.openxmlformats.org/officeDocument/2006/relationships/hyperlink" Target="mailto:gwen.olberding@gmail.com" TargetMode="External"/><Relationship Id="rId96" Type="http://schemas.openxmlformats.org/officeDocument/2006/relationships/hyperlink" Target="mailto:gwen.olberding@gmail.com" TargetMode="External"/><Relationship Id="rId99" Type="http://schemas.openxmlformats.org/officeDocument/2006/relationships/hyperlink" Target="mailto:dcgidney@gmail.com" TargetMode="External"/><Relationship Id="rId98" Type="http://schemas.openxmlformats.org/officeDocument/2006/relationships/hyperlink" Target="mailto:dcgidney@gmail.com" TargetMode="External"/><Relationship Id="rId91" Type="http://schemas.openxmlformats.org/officeDocument/2006/relationships/hyperlink" Target="mailto:kelcey.swyers@gmail.com" TargetMode="External"/><Relationship Id="rId90" Type="http://schemas.openxmlformats.org/officeDocument/2006/relationships/hyperlink" Target="mailto:kelcey.swyers@gmail.com" TargetMode="External"/><Relationship Id="rId93" Type="http://schemas.openxmlformats.org/officeDocument/2006/relationships/hyperlink" Target="mailto:kelcey.swyers@gmail.com" TargetMode="External"/><Relationship Id="rId92" Type="http://schemas.openxmlformats.org/officeDocument/2006/relationships/hyperlink" Target="mailto:kelcey.swyers@gmail.com" TargetMode="External"/><Relationship Id="rId118" Type="http://schemas.openxmlformats.org/officeDocument/2006/relationships/hyperlink" Target="mailto:ahogan101@gmail.com" TargetMode="External"/><Relationship Id="rId117" Type="http://schemas.openxmlformats.org/officeDocument/2006/relationships/hyperlink" Target="mailto:ahogan101@gmail.com" TargetMode="External"/><Relationship Id="rId359" Type="http://schemas.openxmlformats.org/officeDocument/2006/relationships/hyperlink" Target="mailto:caijwaite@hotmail.com" TargetMode="External"/><Relationship Id="rId116" Type="http://schemas.openxmlformats.org/officeDocument/2006/relationships/hyperlink" Target="mailto:hcjustus77@gmail.com" TargetMode="External"/><Relationship Id="rId358" Type="http://schemas.openxmlformats.org/officeDocument/2006/relationships/hyperlink" Target="mailto:caijwaite@hotmail.com" TargetMode="External"/><Relationship Id="rId115" Type="http://schemas.openxmlformats.org/officeDocument/2006/relationships/hyperlink" Target="mailto:hcjustus77@gmail.com" TargetMode="External"/><Relationship Id="rId357" Type="http://schemas.openxmlformats.org/officeDocument/2006/relationships/hyperlink" Target="mailto:b.g.brazelton@gmail.com" TargetMode="External"/><Relationship Id="rId599" Type="http://schemas.openxmlformats.org/officeDocument/2006/relationships/hyperlink" Target="mailto:rosnera22@gmail.com" TargetMode="External"/><Relationship Id="rId119" Type="http://schemas.openxmlformats.org/officeDocument/2006/relationships/hyperlink" Target="mailto:amanda@rockyscompletepainting.com" TargetMode="External"/><Relationship Id="rId110" Type="http://schemas.openxmlformats.org/officeDocument/2006/relationships/hyperlink" Target="mailto:arey024@gmail.com" TargetMode="External"/><Relationship Id="rId352" Type="http://schemas.openxmlformats.org/officeDocument/2006/relationships/hyperlink" Target="mailto:shelbieburke17@gmail.com" TargetMode="External"/><Relationship Id="rId594" Type="http://schemas.openxmlformats.org/officeDocument/2006/relationships/hyperlink" Target="mailto:rachael.motzkus@yahoo.com" TargetMode="External"/><Relationship Id="rId351" Type="http://schemas.openxmlformats.org/officeDocument/2006/relationships/hyperlink" Target="mailto:debidec@gmail.com" TargetMode="External"/><Relationship Id="rId593" Type="http://schemas.openxmlformats.org/officeDocument/2006/relationships/hyperlink" Target="mailto:rachael.motzkus@yahoo.com" TargetMode="External"/><Relationship Id="rId350" Type="http://schemas.openxmlformats.org/officeDocument/2006/relationships/hyperlink" Target="mailto:debidec@gmail.com" TargetMode="External"/><Relationship Id="rId592" Type="http://schemas.openxmlformats.org/officeDocument/2006/relationships/hyperlink" Target="mailto:alli.morrison123@gmail.com" TargetMode="External"/><Relationship Id="rId591" Type="http://schemas.openxmlformats.org/officeDocument/2006/relationships/hyperlink" Target="mailto:alli.morrison123@gmail.com" TargetMode="External"/><Relationship Id="rId114" Type="http://schemas.openxmlformats.org/officeDocument/2006/relationships/hyperlink" Target="mailto:lislpearson@msn.com" TargetMode="External"/><Relationship Id="rId356" Type="http://schemas.openxmlformats.org/officeDocument/2006/relationships/hyperlink" Target="mailto:b.g.brazelton@gmail.com" TargetMode="External"/><Relationship Id="rId598" Type="http://schemas.openxmlformats.org/officeDocument/2006/relationships/hyperlink" Target="mailto:caitlinrenee714@gamil.com" TargetMode="External"/><Relationship Id="rId113" Type="http://schemas.openxmlformats.org/officeDocument/2006/relationships/hyperlink" Target="mailto:lislpearson@msn.com" TargetMode="External"/><Relationship Id="rId355" Type="http://schemas.openxmlformats.org/officeDocument/2006/relationships/hyperlink" Target="mailto:madisyn175@gmail.com" TargetMode="External"/><Relationship Id="rId597" Type="http://schemas.openxmlformats.org/officeDocument/2006/relationships/hyperlink" Target="mailto:caitlinrenee714@gamil.com" TargetMode="External"/><Relationship Id="rId112" Type="http://schemas.openxmlformats.org/officeDocument/2006/relationships/hyperlink" Target="mailto:rura222@msn.com" TargetMode="External"/><Relationship Id="rId354" Type="http://schemas.openxmlformats.org/officeDocument/2006/relationships/hyperlink" Target="mailto:madisyn175@gmail.com" TargetMode="External"/><Relationship Id="rId596" Type="http://schemas.openxmlformats.org/officeDocument/2006/relationships/hyperlink" Target="mailto:abslarson99@yahoo.com" TargetMode="External"/><Relationship Id="rId111" Type="http://schemas.openxmlformats.org/officeDocument/2006/relationships/hyperlink" Target="mailto:rura222@msn.com" TargetMode="External"/><Relationship Id="rId353" Type="http://schemas.openxmlformats.org/officeDocument/2006/relationships/hyperlink" Target="mailto:shelbieburke17@gmail.com" TargetMode="External"/><Relationship Id="rId595" Type="http://schemas.openxmlformats.org/officeDocument/2006/relationships/hyperlink" Target="mailto:abslarson99@yahoo.com" TargetMode="External"/><Relationship Id="rId305" Type="http://schemas.openxmlformats.org/officeDocument/2006/relationships/hyperlink" Target="mailto:lovercheck1@gmail.com" TargetMode="External"/><Relationship Id="rId547" Type="http://schemas.openxmlformats.org/officeDocument/2006/relationships/hyperlink" Target="mailto:keridavis77@gmail.com" TargetMode="External"/><Relationship Id="rId789" Type="http://schemas.openxmlformats.org/officeDocument/2006/relationships/hyperlink" Target="mailto:sterkel_livestock@hotmail.com" TargetMode="External"/><Relationship Id="rId304" Type="http://schemas.openxmlformats.org/officeDocument/2006/relationships/hyperlink" Target="mailto:sarah.mcginniss@live.com" TargetMode="External"/><Relationship Id="rId546" Type="http://schemas.openxmlformats.org/officeDocument/2006/relationships/hyperlink" Target="mailto:keridavis77@gmail.com" TargetMode="External"/><Relationship Id="rId788" Type="http://schemas.openxmlformats.org/officeDocument/2006/relationships/hyperlink" Target="mailto:sterkel_livestock@hotmail.com" TargetMode="External"/><Relationship Id="rId303" Type="http://schemas.openxmlformats.org/officeDocument/2006/relationships/hyperlink" Target="mailto:sarah.mcginniss@live.com" TargetMode="External"/><Relationship Id="rId545" Type="http://schemas.openxmlformats.org/officeDocument/2006/relationships/hyperlink" Target="mailto:jordyntroglin@gmail.com" TargetMode="External"/><Relationship Id="rId787" Type="http://schemas.openxmlformats.org/officeDocument/2006/relationships/hyperlink" Target="mailto:ksterkel42@gmail.com" TargetMode="External"/><Relationship Id="rId302" Type="http://schemas.openxmlformats.org/officeDocument/2006/relationships/hyperlink" Target="mailto:morethanluck.08@gmail.com" TargetMode="External"/><Relationship Id="rId544" Type="http://schemas.openxmlformats.org/officeDocument/2006/relationships/hyperlink" Target="mailto:jordyntroglin@gmail.com" TargetMode="External"/><Relationship Id="rId786" Type="http://schemas.openxmlformats.org/officeDocument/2006/relationships/hyperlink" Target="mailto:ksterkel42@gmail.com" TargetMode="External"/><Relationship Id="rId309" Type="http://schemas.openxmlformats.org/officeDocument/2006/relationships/hyperlink" Target="mailto:sands6599@live.com" TargetMode="External"/><Relationship Id="rId308" Type="http://schemas.openxmlformats.org/officeDocument/2006/relationships/hyperlink" Target="mailto:k1horseresource@gmail.com" TargetMode="External"/><Relationship Id="rId307" Type="http://schemas.openxmlformats.org/officeDocument/2006/relationships/hyperlink" Target="mailto:k1horseresource@gmail.com" TargetMode="External"/><Relationship Id="rId549" Type="http://schemas.openxmlformats.org/officeDocument/2006/relationships/hyperlink" Target="mailto:wal7603@theacademyk12.org" TargetMode="External"/><Relationship Id="rId306" Type="http://schemas.openxmlformats.org/officeDocument/2006/relationships/hyperlink" Target="mailto:lovercheck1@gmail.com" TargetMode="External"/><Relationship Id="rId548" Type="http://schemas.openxmlformats.org/officeDocument/2006/relationships/hyperlink" Target="mailto:wal7603@theacademyk12.org" TargetMode="External"/><Relationship Id="rId781" Type="http://schemas.openxmlformats.org/officeDocument/2006/relationships/hyperlink" Target="mailto:sooners2@hughes.net" TargetMode="External"/><Relationship Id="rId780" Type="http://schemas.openxmlformats.org/officeDocument/2006/relationships/hyperlink" Target="mailto:sooners2@hughes.net" TargetMode="External"/><Relationship Id="rId301" Type="http://schemas.openxmlformats.org/officeDocument/2006/relationships/hyperlink" Target="mailto:morethanluck.08@gmail.com" TargetMode="External"/><Relationship Id="rId543" Type="http://schemas.openxmlformats.org/officeDocument/2006/relationships/hyperlink" Target="mailto:awenzeld@msn.com" TargetMode="External"/><Relationship Id="rId785" Type="http://schemas.openxmlformats.org/officeDocument/2006/relationships/hyperlink" Target="mailto:deb@debtannehill.com" TargetMode="External"/><Relationship Id="rId300" Type="http://schemas.openxmlformats.org/officeDocument/2006/relationships/hyperlink" Target="mailto:alaina.mikesell@yahoo.com" TargetMode="External"/><Relationship Id="rId542" Type="http://schemas.openxmlformats.org/officeDocument/2006/relationships/hyperlink" Target="mailto:awenzeld@msn.com" TargetMode="External"/><Relationship Id="rId784" Type="http://schemas.openxmlformats.org/officeDocument/2006/relationships/hyperlink" Target="mailto:deb@debtannehill.com" TargetMode="External"/><Relationship Id="rId541" Type="http://schemas.openxmlformats.org/officeDocument/2006/relationships/hyperlink" Target="mailto:batesandbates@man.com" TargetMode="External"/><Relationship Id="rId783" Type="http://schemas.openxmlformats.org/officeDocument/2006/relationships/hyperlink" Target="mailto:sbgentle@hotmail.com" TargetMode="External"/><Relationship Id="rId540" Type="http://schemas.openxmlformats.org/officeDocument/2006/relationships/hyperlink" Target="mailto:batesandbates@man.com" TargetMode="External"/><Relationship Id="rId782" Type="http://schemas.openxmlformats.org/officeDocument/2006/relationships/hyperlink" Target="mailto:sbgentle@hotmail.com" TargetMode="External"/><Relationship Id="rId536" Type="http://schemas.openxmlformats.org/officeDocument/2006/relationships/hyperlink" Target="mailto:johannasabados@gmail.com" TargetMode="External"/><Relationship Id="rId778" Type="http://schemas.openxmlformats.org/officeDocument/2006/relationships/hyperlink" Target="mailto:norrishorses@hotmail.com" TargetMode="External"/><Relationship Id="rId535" Type="http://schemas.openxmlformats.org/officeDocument/2006/relationships/hyperlink" Target="mailto:1.tough.kiwi@gmail.com" TargetMode="External"/><Relationship Id="rId777" Type="http://schemas.openxmlformats.org/officeDocument/2006/relationships/hyperlink" Target="mailto:norrishorses@hotmail.com" TargetMode="External"/><Relationship Id="rId534" Type="http://schemas.openxmlformats.org/officeDocument/2006/relationships/hyperlink" Target="mailto:1.tough.kiwi@gmail.com" TargetMode="External"/><Relationship Id="rId776" Type="http://schemas.openxmlformats.org/officeDocument/2006/relationships/hyperlink" Target="mailto:kdwood96@gmail.com" TargetMode="External"/><Relationship Id="rId533" Type="http://schemas.openxmlformats.org/officeDocument/2006/relationships/hyperlink" Target="mailto:Capturedspiritranch@gmail.com" TargetMode="External"/><Relationship Id="rId775" Type="http://schemas.openxmlformats.org/officeDocument/2006/relationships/hyperlink" Target="mailto:kdwood96@gmail.com" TargetMode="External"/><Relationship Id="rId539" Type="http://schemas.openxmlformats.org/officeDocument/2006/relationships/hyperlink" Target="mailto:rebecca_moore99@yahoo.com" TargetMode="External"/><Relationship Id="rId538" Type="http://schemas.openxmlformats.org/officeDocument/2006/relationships/hyperlink" Target="mailto:rebecca_moore99@yahoo.com" TargetMode="External"/><Relationship Id="rId537" Type="http://schemas.openxmlformats.org/officeDocument/2006/relationships/hyperlink" Target="mailto:johannasabados@gmail.com" TargetMode="External"/><Relationship Id="rId779" Type="http://schemas.openxmlformats.org/officeDocument/2006/relationships/hyperlink" Target="mailto:lcope2@uwyo.edu" TargetMode="External"/><Relationship Id="rId770" Type="http://schemas.openxmlformats.org/officeDocument/2006/relationships/hyperlink" Target="mailto:jenimerrill@vcn.com" TargetMode="External"/><Relationship Id="rId532" Type="http://schemas.openxmlformats.org/officeDocument/2006/relationships/hyperlink" Target="mailto:Capturedspiritranch@gmail.com" TargetMode="External"/><Relationship Id="rId774" Type="http://schemas.openxmlformats.org/officeDocument/2006/relationships/hyperlink" Target="mailto:emilyanne.dahle@gmail.com" TargetMode="External"/><Relationship Id="rId531" Type="http://schemas.openxmlformats.org/officeDocument/2006/relationships/hyperlink" Target="mailto:imbull53@aol.com" TargetMode="External"/><Relationship Id="rId773" Type="http://schemas.openxmlformats.org/officeDocument/2006/relationships/hyperlink" Target="mailto:emilyanne.dahle@gmail.com" TargetMode="External"/><Relationship Id="rId530" Type="http://schemas.openxmlformats.org/officeDocument/2006/relationships/hyperlink" Target="mailto:imbull53@aol.com" TargetMode="External"/><Relationship Id="rId772" Type="http://schemas.openxmlformats.org/officeDocument/2006/relationships/hyperlink" Target="mailto:ljcgriggith@gmail.com" TargetMode="External"/><Relationship Id="rId771" Type="http://schemas.openxmlformats.org/officeDocument/2006/relationships/hyperlink" Target="mailto:ljcgriggith@gmail.com" TargetMode="External"/><Relationship Id="rId327" Type="http://schemas.openxmlformats.org/officeDocument/2006/relationships/hyperlink" Target="mailto:carneseccabonnie@gmail.com" TargetMode="External"/><Relationship Id="rId569" Type="http://schemas.openxmlformats.org/officeDocument/2006/relationships/hyperlink" Target="mailto:pitagg30@gmail.com" TargetMode="External"/><Relationship Id="rId326" Type="http://schemas.openxmlformats.org/officeDocument/2006/relationships/hyperlink" Target="mailto:carneseccabonnie@gmail.com" TargetMode="External"/><Relationship Id="rId568" Type="http://schemas.openxmlformats.org/officeDocument/2006/relationships/hyperlink" Target="mailto:pitagg30@gmail.com" TargetMode="External"/><Relationship Id="rId325" Type="http://schemas.openxmlformats.org/officeDocument/2006/relationships/hyperlink" Target="mailto:linda.cope@wyo.gov" TargetMode="External"/><Relationship Id="rId567" Type="http://schemas.openxmlformats.org/officeDocument/2006/relationships/hyperlink" Target="mailto:amberelliott@mindspring.com" TargetMode="External"/><Relationship Id="rId324" Type="http://schemas.openxmlformats.org/officeDocument/2006/relationships/hyperlink" Target="mailto:larrykeppler@gmail.com" TargetMode="External"/><Relationship Id="rId566" Type="http://schemas.openxmlformats.org/officeDocument/2006/relationships/hyperlink" Target="mailto:amberelliott@mindspring.com" TargetMode="External"/><Relationship Id="rId329" Type="http://schemas.openxmlformats.org/officeDocument/2006/relationships/hyperlink" Target="mailto:ajheller93@yahoo.com" TargetMode="External"/><Relationship Id="rId328" Type="http://schemas.openxmlformats.org/officeDocument/2006/relationships/hyperlink" Target="mailto:ajheller93@yahoo.com" TargetMode="External"/><Relationship Id="rId561" Type="http://schemas.openxmlformats.org/officeDocument/2006/relationships/hyperlink" Target="mailto:edhelgans@hotmail.com" TargetMode="External"/><Relationship Id="rId560" Type="http://schemas.openxmlformats.org/officeDocument/2006/relationships/hyperlink" Target="mailto:edhelgans@hotmail.com" TargetMode="External"/><Relationship Id="rId323" Type="http://schemas.openxmlformats.org/officeDocument/2006/relationships/hyperlink" Target="mailto:larrykeppler@gmail.com" TargetMode="External"/><Relationship Id="rId565" Type="http://schemas.openxmlformats.org/officeDocument/2006/relationships/hyperlink" Target="mailto:equinefeline53@gmail.com" TargetMode="External"/><Relationship Id="rId322" Type="http://schemas.openxmlformats.org/officeDocument/2006/relationships/hyperlink" Target="mailto:egibson@aol.com" TargetMode="External"/><Relationship Id="rId564" Type="http://schemas.openxmlformats.org/officeDocument/2006/relationships/hyperlink" Target="mailto:equinefeline53@gmail.com" TargetMode="External"/><Relationship Id="rId321" Type="http://schemas.openxmlformats.org/officeDocument/2006/relationships/hyperlink" Target="mailto:egibson@aol.com" TargetMode="External"/><Relationship Id="rId563" Type="http://schemas.openxmlformats.org/officeDocument/2006/relationships/hyperlink" Target="mailto:ryan.erickson45@gmail.com" TargetMode="External"/><Relationship Id="rId320" Type="http://schemas.openxmlformats.org/officeDocument/2006/relationships/hyperlink" Target="mailto:kgibson0784@hotmail.com" TargetMode="External"/><Relationship Id="rId562" Type="http://schemas.openxmlformats.org/officeDocument/2006/relationships/hyperlink" Target="mailto:ryan.erickson45@gmail.com" TargetMode="External"/><Relationship Id="rId316" Type="http://schemas.openxmlformats.org/officeDocument/2006/relationships/hyperlink" Target="mailto:luckyhammer@wildblue.net" TargetMode="External"/><Relationship Id="rId558" Type="http://schemas.openxmlformats.org/officeDocument/2006/relationships/hyperlink" Target="mailto:pamela.klement@gmail.com" TargetMode="External"/><Relationship Id="rId315" Type="http://schemas.openxmlformats.org/officeDocument/2006/relationships/hyperlink" Target="mailto:luckyhammer@wildblue.net" TargetMode="External"/><Relationship Id="rId557" Type="http://schemas.openxmlformats.org/officeDocument/2006/relationships/hyperlink" Target="mailto:adiamond2242@gmail.com" TargetMode="External"/><Relationship Id="rId799" Type="http://schemas.openxmlformats.org/officeDocument/2006/relationships/hyperlink" Target="mailto:wyodcc@gmail.com" TargetMode="External"/><Relationship Id="rId314" Type="http://schemas.openxmlformats.org/officeDocument/2006/relationships/hyperlink" Target="mailto:ajc_dolly@yahoo.com" TargetMode="External"/><Relationship Id="rId556" Type="http://schemas.openxmlformats.org/officeDocument/2006/relationships/hyperlink" Target="mailto:adiamond2242@gmail.com" TargetMode="External"/><Relationship Id="rId798" Type="http://schemas.openxmlformats.org/officeDocument/2006/relationships/hyperlink" Target="mailto:wyodcc@gmail.com" TargetMode="External"/><Relationship Id="rId313" Type="http://schemas.openxmlformats.org/officeDocument/2006/relationships/hyperlink" Target="mailto:ajc_dolly@yahoo.com" TargetMode="External"/><Relationship Id="rId555" Type="http://schemas.openxmlformats.org/officeDocument/2006/relationships/hyperlink" Target="mailto:laperformancehorses@yahoo.com" TargetMode="External"/><Relationship Id="rId797" Type="http://schemas.openxmlformats.org/officeDocument/2006/relationships/hyperlink" Target="mailto:debbie@debbietannehillrealestate.com" TargetMode="External"/><Relationship Id="rId319" Type="http://schemas.openxmlformats.org/officeDocument/2006/relationships/hyperlink" Target="mailto:kgibson0784@hotmail.com" TargetMode="External"/><Relationship Id="rId318" Type="http://schemas.openxmlformats.org/officeDocument/2006/relationships/hyperlink" Target="mailto:bracygroshko@gmail.com" TargetMode="External"/><Relationship Id="rId317" Type="http://schemas.openxmlformats.org/officeDocument/2006/relationships/hyperlink" Target="mailto:bracygroshko@gmail.com" TargetMode="External"/><Relationship Id="rId559" Type="http://schemas.openxmlformats.org/officeDocument/2006/relationships/hyperlink" Target="mailto:pamela.klement@gmail.com" TargetMode="External"/><Relationship Id="rId550" Type="http://schemas.openxmlformats.org/officeDocument/2006/relationships/hyperlink" Target="mailto:kasydivalentine@gmail.com" TargetMode="External"/><Relationship Id="rId792" Type="http://schemas.openxmlformats.org/officeDocument/2006/relationships/hyperlink" Target="mailto:steve@langerealty.net" TargetMode="External"/><Relationship Id="rId791" Type="http://schemas.openxmlformats.org/officeDocument/2006/relationships/hyperlink" Target="mailto:wrgentle@gmail.com" TargetMode="External"/><Relationship Id="rId790" Type="http://schemas.openxmlformats.org/officeDocument/2006/relationships/hyperlink" Target="mailto:wrgentle@gmail.com" TargetMode="External"/><Relationship Id="rId312" Type="http://schemas.openxmlformats.org/officeDocument/2006/relationships/hyperlink" Target="mailto:paigelultorse@gmail.com" TargetMode="External"/><Relationship Id="rId554" Type="http://schemas.openxmlformats.org/officeDocument/2006/relationships/hyperlink" Target="mailto:laperformancehorses@yahoo.com" TargetMode="External"/><Relationship Id="rId796" Type="http://schemas.openxmlformats.org/officeDocument/2006/relationships/hyperlink" Target="mailto:debbie@debbietannehillrealestate.com" TargetMode="External"/><Relationship Id="rId311" Type="http://schemas.openxmlformats.org/officeDocument/2006/relationships/hyperlink" Target="mailto:paigelultorse@gmail.com" TargetMode="External"/><Relationship Id="rId553" Type="http://schemas.openxmlformats.org/officeDocument/2006/relationships/hyperlink" Target="mailto:shannon.914@hotmail.com" TargetMode="External"/><Relationship Id="rId795" Type="http://schemas.openxmlformats.org/officeDocument/2006/relationships/hyperlink" Target="mailto:cintiaa@mail.com" TargetMode="External"/><Relationship Id="rId310" Type="http://schemas.openxmlformats.org/officeDocument/2006/relationships/hyperlink" Target="mailto:sands6599@live.com" TargetMode="External"/><Relationship Id="rId552" Type="http://schemas.openxmlformats.org/officeDocument/2006/relationships/hyperlink" Target="mailto:shannon.914@hotmail.com" TargetMode="External"/><Relationship Id="rId794" Type="http://schemas.openxmlformats.org/officeDocument/2006/relationships/hyperlink" Target="mailto:cintiaa@mail.com" TargetMode="External"/><Relationship Id="rId551" Type="http://schemas.openxmlformats.org/officeDocument/2006/relationships/hyperlink" Target="mailto:kasydivalentine@gmail.com" TargetMode="External"/><Relationship Id="rId793" Type="http://schemas.openxmlformats.org/officeDocument/2006/relationships/hyperlink" Target="mailto:steve@langerealty.net" TargetMode="External"/><Relationship Id="rId297" Type="http://schemas.openxmlformats.org/officeDocument/2006/relationships/hyperlink" Target="mailto:collinkochsner@gmail.com" TargetMode="External"/><Relationship Id="rId296" Type="http://schemas.openxmlformats.org/officeDocument/2006/relationships/hyperlink" Target="mailto:goldolson@msn.com" TargetMode="External"/><Relationship Id="rId295" Type="http://schemas.openxmlformats.org/officeDocument/2006/relationships/hyperlink" Target="mailto:goldolson@msn.com" TargetMode="External"/><Relationship Id="rId294" Type="http://schemas.openxmlformats.org/officeDocument/2006/relationships/hyperlink" Target="mailto:lynda@frontrangepc.com" TargetMode="External"/><Relationship Id="rId299" Type="http://schemas.openxmlformats.org/officeDocument/2006/relationships/hyperlink" Target="mailto:alaina.mikesell@yahoo.com" TargetMode="External"/><Relationship Id="rId298" Type="http://schemas.openxmlformats.org/officeDocument/2006/relationships/hyperlink" Target="mailto:collinkochsner@gmail.com" TargetMode="External"/><Relationship Id="rId271" Type="http://schemas.openxmlformats.org/officeDocument/2006/relationships/hyperlink" Target="mailto:mike@perrofeo.com" TargetMode="External"/><Relationship Id="rId270" Type="http://schemas.openxmlformats.org/officeDocument/2006/relationships/hyperlink" Target="mailto:kimcarlisle@mac.com" TargetMode="External"/><Relationship Id="rId269" Type="http://schemas.openxmlformats.org/officeDocument/2006/relationships/hyperlink" Target="mailto:kimcarlisle@mac.com" TargetMode="External"/><Relationship Id="rId264" Type="http://schemas.openxmlformats.org/officeDocument/2006/relationships/hyperlink" Target="mailto:doubleheartperformancehorses@yahoo.com" TargetMode="External"/><Relationship Id="rId263" Type="http://schemas.openxmlformats.org/officeDocument/2006/relationships/hyperlink" Target="mailto:doubleheartperformancehorses@yahoo.com" TargetMode="External"/><Relationship Id="rId262" Type="http://schemas.openxmlformats.org/officeDocument/2006/relationships/hyperlink" Target="mailto:edieholmes2018@gmail.com" TargetMode="External"/><Relationship Id="rId261" Type="http://schemas.openxmlformats.org/officeDocument/2006/relationships/hyperlink" Target="mailto:edieholmes2018@gmail.com" TargetMode="External"/><Relationship Id="rId268" Type="http://schemas.openxmlformats.org/officeDocument/2006/relationships/hyperlink" Target="mailto:brigirl11@gmail.com" TargetMode="External"/><Relationship Id="rId267" Type="http://schemas.openxmlformats.org/officeDocument/2006/relationships/hyperlink" Target="mailto:brigirl11@gmail.com" TargetMode="External"/><Relationship Id="rId266" Type="http://schemas.openxmlformats.org/officeDocument/2006/relationships/hyperlink" Target="mailto:mckensiekharris@gmail.com" TargetMode="External"/><Relationship Id="rId265" Type="http://schemas.openxmlformats.org/officeDocument/2006/relationships/hyperlink" Target="mailto:mckensiekharris@gmail.com" TargetMode="External"/><Relationship Id="rId260" Type="http://schemas.openxmlformats.org/officeDocument/2006/relationships/hyperlink" Target="mailto:mkelly@wagonhound.com" TargetMode="External"/><Relationship Id="rId259" Type="http://schemas.openxmlformats.org/officeDocument/2006/relationships/hyperlink" Target="mailto:mkelly@wagonhound.com" TargetMode="External"/><Relationship Id="rId258" Type="http://schemas.openxmlformats.org/officeDocument/2006/relationships/hyperlink" Target="mailto:cowgirljosey@gmail.com" TargetMode="External"/><Relationship Id="rId253" Type="http://schemas.openxmlformats.org/officeDocument/2006/relationships/hyperlink" Target="mailto:countrygirlra@gmail.com" TargetMode="External"/><Relationship Id="rId495" Type="http://schemas.openxmlformats.org/officeDocument/2006/relationships/hyperlink" Target="mailto:Juliekarp67@gmail.com" TargetMode="External"/><Relationship Id="rId252" Type="http://schemas.openxmlformats.org/officeDocument/2006/relationships/hyperlink" Target="mailto:lanterifam@gmail.com" TargetMode="External"/><Relationship Id="rId494" Type="http://schemas.openxmlformats.org/officeDocument/2006/relationships/hyperlink" Target="mailto:diana7749@gmail.com" TargetMode="External"/><Relationship Id="rId251" Type="http://schemas.openxmlformats.org/officeDocument/2006/relationships/hyperlink" Target="mailto:lanterifam@gmail.com" TargetMode="External"/><Relationship Id="rId493" Type="http://schemas.openxmlformats.org/officeDocument/2006/relationships/hyperlink" Target="mailto:diana7749@gmail.com" TargetMode="External"/><Relationship Id="rId250" Type="http://schemas.openxmlformats.org/officeDocument/2006/relationships/hyperlink" Target="mailto:mantzcreekhorses@gmail.com" TargetMode="External"/><Relationship Id="rId492" Type="http://schemas.openxmlformats.org/officeDocument/2006/relationships/hyperlink" Target="mailto:86chelle@gmail.com" TargetMode="External"/><Relationship Id="rId257" Type="http://schemas.openxmlformats.org/officeDocument/2006/relationships/hyperlink" Target="mailto:cowgirljosey@gmail.com" TargetMode="External"/><Relationship Id="rId499" Type="http://schemas.openxmlformats.org/officeDocument/2006/relationships/hyperlink" Target="mailto:reillydhaliwal@gmail.com" TargetMode="External"/><Relationship Id="rId256" Type="http://schemas.openxmlformats.org/officeDocument/2006/relationships/hyperlink" Target="mailto:ranchwife@gmail.com" TargetMode="External"/><Relationship Id="rId498" Type="http://schemas.openxmlformats.org/officeDocument/2006/relationships/hyperlink" Target="mailto:kphanes10@hotmail.com" TargetMode="External"/><Relationship Id="rId255" Type="http://schemas.openxmlformats.org/officeDocument/2006/relationships/hyperlink" Target="mailto:ranchwife@gmail.com" TargetMode="External"/><Relationship Id="rId497" Type="http://schemas.openxmlformats.org/officeDocument/2006/relationships/hyperlink" Target="mailto:kphanes10@hotmail.com" TargetMode="External"/><Relationship Id="rId254" Type="http://schemas.openxmlformats.org/officeDocument/2006/relationships/hyperlink" Target="mailto:countrygirlra@gmail.com" TargetMode="External"/><Relationship Id="rId496" Type="http://schemas.openxmlformats.org/officeDocument/2006/relationships/hyperlink" Target="mailto:Juliekarp67@gmail.com" TargetMode="External"/><Relationship Id="rId293" Type="http://schemas.openxmlformats.org/officeDocument/2006/relationships/hyperlink" Target="mailto:lynda@frontrangepc.com" TargetMode="External"/><Relationship Id="rId292" Type="http://schemas.openxmlformats.org/officeDocument/2006/relationships/hyperlink" Target="mailto:daphne.potter66@gmail.com" TargetMode="External"/><Relationship Id="rId291" Type="http://schemas.openxmlformats.org/officeDocument/2006/relationships/hyperlink" Target="mailto:daphne.potter66@gmail.com" TargetMode="External"/><Relationship Id="rId290" Type="http://schemas.openxmlformats.org/officeDocument/2006/relationships/hyperlink" Target="mailto:mywilbwcreds@gmail.com" TargetMode="External"/><Relationship Id="rId286" Type="http://schemas.openxmlformats.org/officeDocument/2006/relationships/hyperlink" Target="mailto:skompcattle@hotmail.com" TargetMode="External"/><Relationship Id="rId285" Type="http://schemas.openxmlformats.org/officeDocument/2006/relationships/hyperlink" Target="mailto:skompcattle@hotmail.com" TargetMode="External"/><Relationship Id="rId284" Type="http://schemas.openxmlformats.org/officeDocument/2006/relationships/hyperlink" Target="mailto:kelly0515@aol.com" TargetMode="External"/><Relationship Id="rId283" Type="http://schemas.openxmlformats.org/officeDocument/2006/relationships/hyperlink" Target="mailto:kelly0515@aol.com" TargetMode="External"/><Relationship Id="rId289" Type="http://schemas.openxmlformats.org/officeDocument/2006/relationships/hyperlink" Target="mailto:mywilbwcreds@gmail.com" TargetMode="External"/><Relationship Id="rId288" Type="http://schemas.openxmlformats.org/officeDocument/2006/relationships/hyperlink" Target="mailto:kriedlinger@yahoo.com" TargetMode="External"/><Relationship Id="rId287" Type="http://schemas.openxmlformats.org/officeDocument/2006/relationships/hyperlink" Target="mailto:kriedlinger@yahoo.com" TargetMode="External"/><Relationship Id="rId282" Type="http://schemas.openxmlformats.org/officeDocument/2006/relationships/hyperlink" Target="mailto:walden.kate11@gmail.com" TargetMode="External"/><Relationship Id="rId281" Type="http://schemas.openxmlformats.org/officeDocument/2006/relationships/hyperlink" Target="mailto:walden.kate11@gmail.com" TargetMode="External"/><Relationship Id="rId280" Type="http://schemas.openxmlformats.org/officeDocument/2006/relationships/hyperlink" Target="mailto:jadinvogler@gmail.com" TargetMode="External"/><Relationship Id="rId275" Type="http://schemas.openxmlformats.org/officeDocument/2006/relationships/hyperlink" Target="mailto:marc@whiteharvestfarms.com" TargetMode="External"/><Relationship Id="rId274" Type="http://schemas.openxmlformats.org/officeDocument/2006/relationships/hyperlink" Target="mailto:diamondbranch72@hotmail.com" TargetMode="External"/><Relationship Id="rId273" Type="http://schemas.openxmlformats.org/officeDocument/2006/relationships/hyperlink" Target="mailto:diamondbranch72@hotmail.com" TargetMode="External"/><Relationship Id="rId272" Type="http://schemas.openxmlformats.org/officeDocument/2006/relationships/hyperlink" Target="mailto:mike@perrofeo.com" TargetMode="External"/><Relationship Id="rId279" Type="http://schemas.openxmlformats.org/officeDocument/2006/relationships/hyperlink" Target="mailto:jadinvogler@gmail.com" TargetMode="External"/><Relationship Id="rId278" Type="http://schemas.openxmlformats.org/officeDocument/2006/relationships/hyperlink" Target="mailto:dsmride@live.com" TargetMode="External"/><Relationship Id="rId277" Type="http://schemas.openxmlformats.org/officeDocument/2006/relationships/hyperlink" Target="mailto:dsmride@live.com" TargetMode="External"/><Relationship Id="rId276" Type="http://schemas.openxmlformats.org/officeDocument/2006/relationships/hyperlink" Target="mailto:marc@whiteharvestfarms.com" TargetMode="External"/><Relationship Id="rId629" Type="http://schemas.openxmlformats.org/officeDocument/2006/relationships/hyperlink" Target="mailto:misssunbar@gmail.com" TargetMode="External"/><Relationship Id="rId624" Type="http://schemas.openxmlformats.org/officeDocument/2006/relationships/hyperlink" Target="mailto:regin.fletcher@gmail.com" TargetMode="External"/><Relationship Id="rId623" Type="http://schemas.openxmlformats.org/officeDocument/2006/relationships/hyperlink" Target="mailto:regin.fletcher@gmail.com" TargetMode="External"/><Relationship Id="rId622" Type="http://schemas.openxmlformats.org/officeDocument/2006/relationships/hyperlink" Target="mailto:sinclairem@gmail.com" TargetMode="External"/><Relationship Id="rId621" Type="http://schemas.openxmlformats.org/officeDocument/2006/relationships/hyperlink" Target="mailto:sinclairem@gmail.com" TargetMode="External"/><Relationship Id="rId628" Type="http://schemas.openxmlformats.org/officeDocument/2006/relationships/hyperlink" Target="mailto:george.logan@mac.com" TargetMode="External"/><Relationship Id="rId627" Type="http://schemas.openxmlformats.org/officeDocument/2006/relationships/hyperlink" Target="mailto:george.logan@mac.com" TargetMode="External"/><Relationship Id="rId626" Type="http://schemas.openxmlformats.org/officeDocument/2006/relationships/hyperlink" Target="mailto:cindyngeorge9@gmail.com" TargetMode="External"/><Relationship Id="rId625" Type="http://schemas.openxmlformats.org/officeDocument/2006/relationships/hyperlink" Target="mailto:cindyngeorge9@gmail.com" TargetMode="External"/><Relationship Id="rId620" Type="http://schemas.openxmlformats.org/officeDocument/2006/relationships/hyperlink" Target="mailto:mraemotzkus@gmail.com" TargetMode="External"/><Relationship Id="rId619" Type="http://schemas.openxmlformats.org/officeDocument/2006/relationships/hyperlink" Target="mailto:mraemotzkus@gmail.com" TargetMode="External"/><Relationship Id="rId618" Type="http://schemas.openxmlformats.org/officeDocument/2006/relationships/hyperlink" Target="mailto:amber.nusser15@gmail.com" TargetMode="External"/><Relationship Id="rId613" Type="http://schemas.openxmlformats.org/officeDocument/2006/relationships/hyperlink" Target="mailto:smith3445@aol.com" TargetMode="External"/><Relationship Id="rId612" Type="http://schemas.openxmlformats.org/officeDocument/2006/relationships/hyperlink" Target="mailto:lairdleslie@hotmail.com" TargetMode="External"/><Relationship Id="rId611" Type="http://schemas.openxmlformats.org/officeDocument/2006/relationships/hyperlink" Target="mailto:lairdleslie@hotmail.com" TargetMode="External"/><Relationship Id="rId610" Type="http://schemas.openxmlformats.org/officeDocument/2006/relationships/hyperlink" Target="mailto:dglpd@yahoo.com" TargetMode="External"/><Relationship Id="rId617" Type="http://schemas.openxmlformats.org/officeDocument/2006/relationships/hyperlink" Target="mailto:amber.nusser15@gmail.com" TargetMode="External"/><Relationship Id="rId616" Type="http://schemas.openxmlformats.org/officeDocument/2006/relationships/hyperlink" Target="mailto:dndsailer@gmail.com" TargetMode="External"/><Relationship Id="rId615" Type="http://schemas.openxmlformats.org/officeDocument/2006/relationships/hyperlink" Target="mailto:dndsailer@gmail.com" TargetMode="External"/><Relationship Id="rId614" Type="http://schemas.openxmlformats.org/officeDocument/2006/relationships/hyperlink" Target="mailto:smith3445@aol.com" TargetMode="External"/><Relationship Id="rId409" Type="http://schemas.openxmlformats.org/officeDocument/2006/relationships/hyperlink" Target="mailto:amanda@dhaun.com" TargetMode="External"/><Relationship Id="rId404" Type="http://schemas.openxmlformats.org/officeDocument/2006/relationships/hyperlink" Target="mailto:paula2060@rocketmail.com" TargetMode="External"/><Relationship Id="rId646" Type="http://schemas.openxmlformats.org/officeDocument/2006/relationships/hyperlink" Target="mailto:brigitte.101@gmail.com" TargetMode="External"/><Relationship Id="rId403" Type="http://schemas.openxmlformats.org/officeDocument/2006/relationships/hyperlink" Target="mailto:paula2060@rocketmail.com" TargetMode="External"/><Relationship Id="rId645" Type="http://schemas.openxmlformats.org/officeDocument/2006/relationships/hyperlink" Target="mailto:brigitte.101@gmail.com" TargetMode="External"/><Relationship Id="rId402" Type="http://schemas.openxmlformats.org/officeDocument/2006/relationships/hyperlink" Target="mailto:alishab17@gmail.com" TargetMode="External"/><Relationship Id="rId644" Type="http://schemas.openxmlformats.org/officeDocument/2006/relationships/hyperlink" Target="mailto:trialaska@yahoo.com" TargetMode="External"/><Relationship Id="rId401" Type="http://schemas.openxmlformats.org/officeDocument/2006/relationships/hyperlink" Target="mailto:alishab17@gmail.com" TargetMode="External"/><Relationship Id="rId643" Type="http://schemas.openxmlformats.org/officeDocument/2006/relationships/hyperlink" Target="mailto:trialaska@yahoo.com" TargetMode="External"/><Relationship Id="rId408" Type="http://schemas.openxmlformats.org/officeDocument/2006/relationships/hyperlink" Target="mailto:susanspointer@gmail.com" TargetMode="External"/><Relationship Id="rId407" Type="http://schemas.openxmlformats.org/officeDocument/2006/relationships/hyperlink" Target="mailto:susanspointer@gmail.com" TargetMode="External"/><Relationship Id="rId649" Type="http://schemas.openxmlformats.org/officeDocument/2006/relationships/hyperlink" Target="mailto:larryvickie@aol.com" TargetMode="External"/><Relationship Id="rId406" Type="http://schemas.openxmlformats.org/officeDocument/2006/relationships/hyperlink" Target="mailto:alexschoen030@gmail.com" TargetMode="External"/><Relationship Id="rId648" Type="http://schemas.openxmlformats.org/officeDocument/2006/relationships/hyperlink" Target="mailto:mannerspro@gmail.com" TargetMode="External"/><Relationship Id="rId405" Type="http://schemas.openxmlformats.org/officeDocument/2006/relationships/hyperlink" Target="mailto:alexschoen030@gmail.com" TargetMode="External"/><Relationship Id="rId647" Type="http://schemas.openxmlformats.org/officeDocument/2006/relationships/hyperlink" Target="mailto:mannerspro@gmail.com" TargetMode="External"/><Relationship Id="rId400" Type="http://schemas.openxmlformats.org/officeDocument/2006/relationships/hyperlink" Target="mailto:miranda.simpson2021@gmail.com" TargetMode="External"/><Relationship Id="rId642" Type="http://schemas.openxmlformats.org/officeDocument/2006/relationships/hyperlink" Target="mailto:sortinggal@live.com" TargetMode="External"/><Relationship Id="rId641" Type="http://schemas.openxmlformats.org/officeDocument/2006/relationships/hyperlink" Target="mailto:sortinggal@live.com" TargetMode="External"/><Relationship Id="rId640" Type="http://schemas.openxmlformats.org/officeDocument/2006/relationships/hyperlink" Target="mailto:lilsdriften@gmail.com" TargetMode="External"/><Relationship Id="rId635" Type="http://schemas.openxmlformats.org/officeDocument/2006/relationships/hyperlink" Target="mailto:paigelcfrodeoqueen@gmail.com" TargetMode="External"/><Relationship Id="rId634" Type="http://schemas.openxmlformats.org/officeDocument/2006/relationships/hyperlink" Target="mailto:pntdhrslady@gmail.com" TargetMode="External"/><Relationship Id="rId633" Type="http://schemas.openxmlformats.org/officeDocument/2006/relationships/hyperlink" Target="mailto:pntdhrslady@gmail.com" TargetMode="External"/><Relationship Id="rId632" Type="http://schemas.openxmlformats.org/officeDocument/2006/relationships/hyperlink" Target="mailto:ash@kluza.net" TargetMode="External"/><Relationship Id="rId639" Type="http://schemas.openxmlformats.org/officeDocument/2006/relationships/hyperlink" Target="mailto:lilsdriften@gmail.com" TargetMode="External"/><Relationship Id="rId638" Type="http://schemas.openxmlformats.org/officeDocument/2006/relationships/hyperlink" Target="mailto:brendaberlin21@gmail.com" TargetMode="External"/><Relationship Id="rId637" Type="http://schemas.openxmlformats.org/officeDocument/2006/relationships/hyperlink" Target="mailto:brendaberlin21@gmail.com" TargetMode="External"/><Relationship Id="rId636" Type="http://schemas.openxmlformats.org/officeDocument/2006/relationships/hyperlink" Target="mailto:paigelcfrodeoqueen@gmail.com" TargetMode="External"/><Relationship Id="rId631" Type="http://schemas.openxmlformats.org/officeDocument/2006/relationships/hyperlink" Target="mailto:ash@kluza.net" TargetMode="External"/><Relationship Id="rId630" Type="http://schemas.openxmlformats.org/officeDocument/2006/relationships/hyperlink" Target="mailto:misssunbar@gmail.com" TargetMode="External"/><Relationship Id="rId822" Type="http://schemas.openxmlformats.org/officeDocument/2006/relationships/hyperlink" Target="mailto:wayne.miller@colostate.edu" TargetMode="External"/><Relationship Id="rId821" Type="http://schemas.openxmlformats.org/officeDocument/2006/relationships/hyperlink" Target="mailto:wayne.miller@colostate.edu" TargetMode="External"/><Relationship Id="rId820" Type="http://schemas.openxmlformats.org/officeDocument/2006/relationships/hyperlink" Target="mailto:troy@kaiserwyo.com" TargetMode="External"/><Relationship Id="rId824" Type="http://schemas.openxmlformats.org/officeDocument/2006/relationships/vmlDrawing" Target="../drawings/vmlDrawing1.vml"/><Relationship Id="rId823" Type="http://schemas.openxmlformats.org/officeDocument/2006/relationships/drawing" Target="../drawings/drawing1.xml"/><Relationship Id="rId819" Type="http://schemas.openxmlformats.org/officeDocument/2006/relationships/hyperlink" Target="mailto:troy@kaiserwyo.com" TargetMode="External"/><Relationship Id="rId818" Type="http://schemas.openxmlformats.org/officeDocument/2006/relationships/hyperlink" Target="mailto:nowherebutup@live.com" TargetMode="External"/><Relationship Id="rId817" Type="http://schemas.openxmlformats.org/officeDocument/2006/relationships/hyperlink" Target="mailto:nowherebutup@live.com" TargetMode="External"/><Relationship Id="rId816" Type="http://schemas.openxmlformats.org/officeDocument/2006/relationships/hyperlink" Target="mailto:delding@gmail.com" TargetMode="External"/><Relationship Id="rId811" Type="http://schemas.openxmlformats.org/officeDocument/2006/relationships/hyperlink" Target="mailto:emilydayparry@aol.com" TargetMode="External"/><Relationship Id="rId810" Type="http://schemas.openxmlformats.org/officeDocument/2006/relationships/hyperlink" Target="mailto:melindagrendell@hotmail.com" TargetMode="External"/><Relationship Id="rId815" Type="http://schemas.openxmlformats.org/officeDocument/2006/relationships/hyperlink" Target="mailto:delding@gmail.com" TargetMode="External"/><Relationship Id="rId814" Type="http://schemas.openxmlformats.org/officeDocument/2006/relationships/hyperlink" Target="mailto:equusapple@gmail.com" TargetMode="External"/><Relationship Id="rId813" Type="http://schemas.openxmlformats.org/officeDocument/2006/relationships/hyperlink" Target="mailto:equusapple@gmail.com" TargetMode="External"/><Relationship Id="rId812" Type="http://schemas.openxmlformats.org/officeDocument/2006/relationships/hyperlink" Target="mailto:emilydayparry@aol.com" TargetMode="External"/><Relationship Id="rId609" Type="http://schemas.openxmlformats.org/officeDocument/2006/relationships/hyperlink" Target="mailto:dglpd@yahoo.com" TargetMode="External"/><Relationship Id="rId608" Type="http://schemas.openxmlformats.org/officeDocument/2006/relationships/hyperlink" Target="mailto:jonelle.castleberry@gmail.com" TargetMode="External"/><Relationship Id="rId607" Type="http://schemas.openxmlformats.org/officeDocument/2006/relationships/hyperlink" Target="mailto:jonelle.castleberry@gmail.com" TargetMode="External"/><Relationship Id="rId602" Type="http://schemas.openxmlformats.org/officeDocument/2006/relationships/hyperlink" Target="mailto:wayne.schill@yahoo.com" TargetMode="External"/><Relationship Id="rId601" Type="http://schemas.openxmlformats.org/officeDocument/2006/relationships/hyperlink" Target="mailto:wayne.schill@yahoo.com" TargetMode="External"/><Relationship Id="rId600" Type="http://schemas.openxmlformats.org/officeDocument/2006/relationships/hyperlink" Target="mailto:rosnera22@gmail.com" TargetMode="External"/><Relationship Id="rId606" Type="http://schemas.openxmlformats.org/officeDocument/2006/relationships/hyperlink" Target="mailto:rocknsperformancehorses@outlook.com" TargetMode="External"/><Relationship Id="rId605" Type="http://schemas.openxmlformats.org/officeDocument/2006/relationships/hyperlink" Target="mailto:rocknsperformancehorses@outlook.com" TargetMode="External"/><Relationship Id="rId604" Type="http://schemas.openxmlformats.org/officeDocument/2006/relationships/hyperlink" Target="mailto:aroseee63@gmail.com" TargetMode="External"/><Relationship Id="rId603" Type="http://schemas.openxmlformats.org/officeDocument/2006/relationships/hyperlink" Target="mailto:aroseee63@gmail.com" TargetMode="External"/><Relationship Id="rId228" Type="http://schemas.openxmlformats.org/officeDocument/2006/relationships/hyperlink" Target="mailto:lanterifam@gmail.com" TargetMode="External"/><Relationship Id="rId227" Type="http://schemas.openxmlformats.org/officeDocument/2006/relationships/hyperlink" Target="mailto:lanterifam@gmail.com" TargetMode="External"/><Relationship Id="rId469" Type="http://schemas.openxmlformats.org/officeDocument/2006/relationships/hyperlink" Target="mailto:mecorgan@gmail.com" TargetMode="External"/><Relationship Id="rId226" Type="http://schemas.openxmlformats.org/officeDocument/2006/relationships/hyperlink" Target="mailto:flying_510@yahoo.com" TargetMode="External"/><Relationship Id="rId468" Type="http://schemas.openxmlformats.org/officeDocument/2006/relationships/hyperlink" Target="mailto:ikia1818@yahoo.com" TargetMode="External"/><Relationship Id="rId225" Type="http://schemas.openxmlformats.org/officeDocument/2006/relationships/hyperlink" Target="mailto:flying_510@yahoo.com" TargetMode="External"/><Relationship Id="rId467" Type="http://schemas.openxmlformats.org/officeDocument/2006/relationships/hyperlink" Target="mailto:ikia1818@yahoo.com" TargetMode="External"/><Relationship Id="rId229" Type="http://schemas.openxmlformats.org/officeDocument/2006/relationships/hyperlink" Target="mailto:kathy@landmarkmonuments.com" TargetMode="External"/><Relationship Id="rId220" Type="http://schemas.openxmlformats.org/officeDocument/2006/relationships/hyperlink" Target="mailto:bugrn64@msn.com" TargetMode="External"/><Relationship Id="rId462" Type="http://schemas.openxmlformats.org/officeDocument/2006/relationships/hyperlink" Target="mailto:nancyddowd@gmail.com" TargetMode="External"/><Relationship Id="rId461" Type="http://schemas.openxmlformats.org/officeDocument/2006/relationships/hyperlink" Target="mailto:nancyddowd@gmail.com" TargetMode="External"/><Relationship Id="rId460" Type="http://schemas.openxmlformats.org/officeDocument/2006/relationships/hyperlink" Target="mailto:twb239@msn.com" TargetMode="External"/><Relationship Id="rId224" Type="http://schemas.openxmlformats.org/officeDocument/2006/relationships/hyperlink" Target="mailto:karen.taylor@colostate.edu" TargetMode="External"/><Relationship Id="rId466" Type="http://schemas.openxmlformats.org/officeDocument/2006/relationships/hyperlink" Target="mailto:rzn@mesanetworks.net" TargetMode="External"/><Relationship Id="rId223" Type="http://schemas.openxmlformats.org/officeDocument/2006/relationships/hyperlink" Target="mailto:karen.taylor@colostate.edu" TargetMode="External"/><Relationship Id="rId465" Type="http://schemas.openxmlformats.org/officeDocument/2006/relationships/hyperlink" Target="mailto:rzn@mesanetworks.net" TargetMode="External"/><Relationship Id="rId222" Type="http://schemas.openxmlformats.org/officeDocument/2006/relationships/hyperlink" Target="mailto:lambogirl0072@gmail.com" TargetMode="External"/><Relationship Id="rId464" Type="http://schemas.openxmlformats.org/officeDocument/2006/relationships/hyperlink" Target="mailto:dmbnny1@yahoo.com" TargetMode="External"/><Relationship Id="rId221" Type="http://schemas.openxmlformats.org/officeDocument/2006/relationships/hyperlink" Target="mailto:lambogirl0072@gmail.com" TargetMode="External"/><Relationship Id="rId463" Type="http://schemas.openxmlformats.org/officeDocument/2006/relationships/hyperlink" Target="mailto:dmbnny1@yahoo.com" TargetMode="External"/><Relationship Id="rId217" Type="http://schemas.openxmlformats.org/officeDocument/2006/relationships/hyperlink" Target="mailto:bwam82@gmail.com" TargetMode="External"/><Relationship Id="rId459" Type="http://schemas.openxmlformats.org/officeDocument/2006/relationships/hyperlink" Target="mailto:twb239@msn.com" TargetMode="External"/><Relationship Id="rId216" Type="http://schemas.openxmlformats.org/officeDocument/2006/relationships/hyperlink" Target="mailto:laurenashkeym@gmail.com" TargetMode="External"/><Relationship Id="rId458" Type="http://schemas.openxmlformats.org/officeDocument/2006/relationships/hyperlink" Target="mailto:khperformancehorses@yahoo.com" TargetMode="External"/><Relationship Id="rId215" Type="http://schemas.openxmlformats.org/officeDocument/2006/relationships/hyperlink" Target="mailto:laurenashkeym@gmail.com" TargetMode="External"/><Relationship Id="rId457" Type="http://schemas.openxmlformats.org/officeDocument/2006/relationships/hyperlink" Target="mailto:khperformancehorses@yahoo.com" TargetMode="External"/><Relationship Id="rId699" Type="http://schemas.openxmlformats.org/officeDocument/2006/relationships/hyperlink" Target="mailto:kaylynnsheldon@gmail.com" TargetMode="External"/><Relationship Id="rId214" Type="http://schemas.openxmlformats.org/officeDocument/2006/relationships/hyperlink" Target="mailto:rise.horses@gmail.com" TargetMode="External"/><Relationship Id="rId456" Type="http://schemas.openxmlformats.org/officeDocument/2006/relationships/hyperlink" Target="mailto:kkdahle2000@aol.com" TargetMode="External"/><Relationship Id="rId698" Type="http://schemas.openxmlformats.org/officeDocument/2006/relationships/hyperlink" Target="mailto:mariah@intrepidkarma.com" TargetMode="External"/><Relationship Id="rId219" Type="http://schemas.openxmlformats.org/officeDocument/2006/relationships/hyperlink" Target="mailto:bugrn64@msn.com" TargetMode="External"/><Relationship Id="rId218" Type="http://schemas.openxmlformats.org/officeDocument/2006/relationships/hyperlink" Target="mailto:bwam82@gmail.com" TargetMode="External"/><Relationship Id="rId451" Type="http://schemas.openxmlformats.org/officeDocument/2006/relationships/hyperlink" Target="mailto:acminusten@gmail.com" TargetMode="External"/><Relationship Id="rId693" Type="http://schemas.openxmlformats.org/officeDocument/2006/relationships/hyperlink" Target="mailto:jennayt0024@gmail.com" TargetMode="External"/><Relationship Id="rId450" Type="http://schemas.openxmlformats.org/officeDocument/2006/relationships/hyperlink" Target="mailto:ikiespikie@hotmail.com" TargetMode="External"/><Relationship Id="rId692" Type="http://schemas.openxmlformats.org/officeDocument/2006/relationships/hyperlink" Target="mailto:jodie.witt@outlook.com" TargetMode="External"/><Relationship Id="rId691" Type="http://schemas.openxmlformats.org/officeDocument/2006/relationships/hyperlink" Target="mailto:jodie.witt@outlook.com" TargetMode="External"/><Relationship Id="rId690" Type="http://schemas.openxmlformats.org/officeDocument/2006/relationships/hyperlink" Target="mailto:codycurtisace@gmail.com" TargetMode="External"/><Relationship Id="rId213" Type="http://schemas.openxmlformats.org/officeDocument/2006/relationships/hyperlink" Target="mailto:rise.horses@gmail.com" TargetMode="External"/><Relationship Id="rId455" Type="http://schemas.openxmlformats.org/officeDocument/2006/relationships/hyperlink" Target="mailto:kkdahle2000@aol.com" TargetMode="External"/><Relationship Id="rId697" Type="http://schemas.openxmlformats.org/officeDocument/2006/relationships/hyperlink" Target="mailto:mariah@intrepidkarma.com" TargetMode="External"/><Relationship Id="rId212" Type="http://schemas.openxmlformats.org/officeDocument/2006/relationships/hyperlink" Target="mailto:rjensen1655@gmail.com" TargetMode="External"/><Relationship Id="rId454" Type="http://schemas.openxmlformats.org/officeDocument/2006/relationships/hyperlink" Target="mailto:jen13cole@gmail.com" TargetMode="External"/><Relationship Id="rId696" Type="http://schemas.openxmlformats.org/officeDocument/2006/relationships/hyperlink" Target="mailto:anisha.kumar06@gmail.com" TargetMode="External"/><Relationship Id="rId211" Type="http://schemas.openxmlformats.org/officeDocument/2006/relationships/hyperlink" Target="mailto:rjensen1655@gmail.com" TargetMode="External"/><Relationship Id="rId453" Type="http://schemas.openxmlformats.org/officeDocument/2006/relationships/hyperlink" Target="mailto:jen13cole@gmail.com" TargetMode="External"/><Relationship Id="rId695" Type="http://schemas.openxmlformats.org/officeDocument/2006/relationships/hyperlink" Target="mailto:anisha.kumar06@gmail.com" TargetMode="External"/><Relationship Id="rId210" Type="http://schemas.openxmlformats.org/officeDocument/2006/relationships/hyperlink" Target="mailto:treaallen14@gmail.com" TargetMode="External"/><Relationship Id="rId452" Type="http://schemas.openxmlformats.org/officeDocument/2006/relationships/hyperlink" Target="mailto:acminusten@gmail.com" TargetMode="External"/><Relationship Id="rId694" Type="http://schemas.openxmlformats.org/officeDocument/2006/relationships/hyperlink" Target="mailto:jennayt0024@gmail.com" TargetMode="External"/><Relationship Id="rId491" Type="http://schemas.openxmlformats.org/officeDocument/2006/relationships/hyperlink" Target="mailto:86chelle@gmail.com" TargetMode="External"/><Relationship Id="rId490" Type="http://schemas.openxmlformats.org/officeDocument/2006/relationships/hyperlink" Target="mailto:heather.gabbard@yahoo.com" TargetMode="External"/><Relationship Id="rId249" Type="http://schemas.openxmlformats.org/officeDocument/2006/relationships/hyperlink" Target="mailto:mantzcreekhorses@gmail.com" TargetMode="External"/><Relationship Id="rId248" Type="http://schemas.openxmlformats.org/officeDocument/2006/relationships/hyperlink" Target="mailto:desertseynarabians5@gmail.com" TargetMode="External"/><Relationship Id="rId247" Type="http://schemas.openxmlformats.org/officeDocument/2006/relationships/hyperlink" Target="mailto:desertseynarabians5@gmail.com" TargetMode="External"/><Relationship Id="rId489" Type="http://schemas.openxmlformats.org/officeDocument/2006/relationships/hyperlink" Target="mailto:heather.gabbard@yahoo.com" TargetMode="External"/><Relationship Id="rId242" Type="http://schemas.openxmlformats.org/officeDocument/2006/relationships/hyperlink" Target="mailto:ericatonso@gmail.com" TargetMode="External"/><Relationship Id="rId484" Type="http://schemas.openxmlformats.org/officeDocument/2006/relationships/hyperlink" Target="mailto:twaspqh@yahoo.com" TargetMode="External"/><Relationship Id="rId241" Type="http://schemas.openxmlformats.org/officeDocument/2006/relationships/hyperlink" Target="mailto:bridledup@gmail.com" TargetMode="External"/><Relationship Id="rId483" Type="http://schemas.openxmlformats.org/officeDocument/2006/relationships/hyperlink" Target="mailto:twaspqh@yahoo.com" TargetMode="External"/><Relationship Id="rId240" Type="http://schemas.openxmlformats.org/officeDocument/2006/relationships/hyperlink" Target="mailto:bridledup@gmail.com" TargetMode="External"/><Relationship Id="rId482" Type="http://schemas.openxmlformats.org/officeDocument/2006/relationships/hyperlink" Target="mailto:brittany.s.johnson1@gmail.com" TargetMode="External"/><Relationship Id="rId481" Type="http://schemas.openxmlformats.org/officeDocument/2006/relationships/hyperlink" Target="mailto:brittany.s.johnson1@gmail.com" TargetMode="External"/><Relationship Id="rId246" Type="http://schemas.openxmlformats.org/officeDocument/2006/relationships/hyperlink" Target="mailto:lukas4@live.com" TargetMode="External"/><Relationship Id="rId488" Type="http://schemas.openxmlformats.org/officeDocument/2006/relationships/hyperlink" Target="mailto:jbarsperformancehorses@gmail.com" TargetMode="External"/><Relationship Id="rId245" Type="http://schemas.openxmlformats.org/officeDocument/2006/relationships/hyperlink" Target="mailto:slidehorsest@gmail.com" TargetMode="External"/><Relationship Id="rId487" Type="http://schemas.openxmlformats.org/officeDocument/2006/relationships/hyperlink" Target="mailto:jbarsperformancehorses@gmail.com" TargetMode="External"/><Relationship Id="rId244" Type="http://schemas.openxmlformats.org/officeDocument/2006/relationships/hyperlink" Target="mailto:slidehorsest@gmail.com" TargetMode="External"/><Relationship Id="rId486" Type="http://schemas.openxmlformats.org/officeDocument/2006/relationships/hyperlink" Target="mailto:pm_bauer@msn.com" TargetMode="External"/><Relationship Id="rId243" Type="http://schemas.openxmlformats.org/officeDocument/2006/relationships/hyperlink" Target="mailto:ericatonso@gmail.com" TargetMode="External"/><Relationship Id="rId485" Type="http://schemas.openxmlformats.org/officeDocument/2006/relationships/hyperlink" Target="mailto:pm_bauer@msn.com" TargetMode="External"/><Relationship Id="rId480" Type="http://schemas.openxmlformats.org/officeDocument/2006/relationships/hyperlink" Target="mailto:peine.meg@gmail.com" TargetMode="External"/><Relationship Id="rId239" Type="http://schemas.openxmlformats.org/officeDocument/2006/relationships/hyperlink" Target="mailto:mdoyletcg@icloud.com" TargetMode="External"/><Relationship Id="rId238" Type="http://schemas.openxmlformats.org/officeDocument/2006/relationships/hyperlink" Target="mailto:mdoyletcg@icloud.com" TargetMode="External"/><Relationship Id="rId237" Type="http://schemas.openxmlformats.org/officeDocument/2006/relationships/hyperlink" Target="mailto:r.befort824@gmail.com" TargetMode="External"/><Relationship Id="rId479" Type="http://schemas.openxmlformats.org/officeDocument/2006/relationships/hyperlink" Target="mailto:peine.meg@gmail.com" TargetMode="External"/><Relationship Id="rId236" Type="http://schemas.openxmlformats.org/officeDocument/2006/relationships/hyperlink" Target="mailto:r.befort824@gmail.com" TargetMode="External"/><Relationship Id="rId478" Type="http://schemas.openxmlformats.org/officeDocument/2006/relationships/hyperlink" Target="mailto:stewartshannon28@gmail.com" TargetMode="External"/><Relationship Id="rId231" Type="http://schemas.openxmlformats.org/officeDocument/2006/relationships/hyperlink" Target="mailto:hensleyfam4@gmail.com" TargetMode="External"/><Relationship Id="rId473" Type="http://schemas.openxmlformats.org/officeDocument/2006/relationships/hyperlink" Target="mailto:debbiekay.david@gmail.com" TargetMode="External"/><Relationship Id="rId230" Type="http://schemas.openxmlformats.org/officeDocument/2006/relationships/hyperlink" Target="mailto:hensleyfam4@gmail.com" TargetMode="External"/><Relationship Id="rId472" Type="http://schemas.openxmlformats.org/officeDocument/2006/relationships/hyperlink" Target="mailto:gqtr@aol.com" TargetMode="External"/><Relationship Id="rId471" Type="http://schemas.openxmlformats.org/officeDocument/2006/relationships/hyperlink" Target="mailto:gqtr@aol.com" TargetMode="External"/><Relationship Id="rId470" Type="http://schemas.openxmlformats.org/officeDocument/2006/relationships/hyperlink" Target="mailto:mecorgan@gmail.com" TargetMode="External"/><Relationship Id="rId235" Type="http://schemas.openxmlformats.org/officeDocument/2006/relationships/hyperlink" Target="mailto:cslane22@gmail.com" TargetMode="External"/><Relationship Id="rId477" Type="http://schemas.openxmlformats.org/officeDocument/2006/relationships/hyperlink" Target="mailto:stewartshannon28@gmail.com" TargetMode="External"/><Relationship Id="rId234" Type="http://schemas.openxmlformats.org/officeDocument/2006/relationships/hyperlink" Target="mailto:cslane22@gmail.com" TargetMode="External"/><Relationship Id="rId476" Type="http://schemas.openxmlformats.org/officeDocument/2006/relationships/hyperlink" Target="mailto:wagnertrainingco@gmail.com" TargetMode="External"/><Relationship Id="rId233" Type="http://schemas.openxmlformats.org/officeDocument/2006/relationships/hyperlink" Target="mailto:jamibeth13@hotmail.com" TargetMode="External"/><Relationship Id="rId475" Type="http://schemas.openxmlformats.org/officeDocument/2006/relationships/hyperlink" Target="mailto:wagnertrainingco@gmail.com" TargetMode="External"/><Relationship Id="rId232" Type="http://schemas.openxmlformats.org/officeDocument/2006/relationships/hyperlink" Target="mailto:jamibeth13@hotmail.com" TargetMode="External"/><Relationship Id="rId474" Type="http://schemas.openxmlformats.org/officeDocument/2006/relationships/hyperlink" Target="mailto:debbiekay.david@gmail.com" TargetMode="External"/><Relationship Id="rId426" Type="http://schemas.openxmlformats.org/officeDocument/2006/relationships/hyperlink" Target="mailto:babixenman@hotmail.com" TargetMode="External"/><Relationship Id="rId668" Type="http://schemas.openxmlformats.org/officeDocument/2006/relationships/hyperlink" Target="mailto:imapruett@gmail.com" TargetMode="External"/><Relationship Id="rId425" Type="http://schemas.openxmlformats.org/officeDocument/2006/relationships/hyperlink" Target="mailto:babixenman@hotmail.com" TargetMode="External"/><Relationship Id="rId667" Type="http://schemas.openxmlformats.org/officeDocument/2006/relationships/hyperlink" Target="mailto:imapruett@gmail.com" TargetMode="External"/><Relationship Id="rId424" Type="http://schemas.openxmlformats.org/officeDocument/2006/relationships/hyperlink" Target="mailto:hmurucky.work@gmail.com" TargetMode="External"/><Relationship Id="rId666" Type="http://schemas.openxmlformats.org/officeDocument/2006/relationships/hyperlink" Target="mailto:nananurse2000@hotmail.com" TargetMode="External"/><Relationship Id="rId423" Type="http://schemas.openxmlformats.org/officeDocument/2006/relationships/hyperlink" Target="mailto:hmurucky.work@gmail.com" TargetMode="External"/><Relationship Id="rId665" Type="http://schemas.openxmlformats.org/officeDocument/2006/relationships/hyperlink" Target="mailto:nananurse2000@hotmail.com" TargetMode="External"/><Relationship Id="rId429" Type="http://schemas.openxmlformats.org/officeDocument/2006/relationships/hyperlink" Target="mailto:stephanemily@gmail.com" TargetMode="External"/><Relationship Id="rId428" Type="http://schemas.openxmlformats.org/officeDocument/2006/relationships/hyperlink" Target="mailto:pinkcatevilgenius@gmail.com" TargetMode="External"/><Relationship Id="rId427" Type="http://schemas.openxmlformats.org/officeDocument/2006/relationships/hyperlink" Target="mailto:pinkcatevilgenius@gmail.com" TargetMode="External"/><Relationship Id="rId669" Type="http://schemas.openxmlformats.org/officeDocument/2006/relationships/hyperlink" Target="mailto:srt7921@gmail.com" TargetMode="External"/><Relationship Id="rId660" Type="http://schemas.openxmlformats.org/officeDocument/2006/relationships/hyperlink" Target="mailto:jamiestory@yahoo.com" TargetMode="External"/><Relationship Id="rId422" Type="http://schemas.openxmlformats.org/officeDocument/2006/relationships/hyperlink" Target="mailto:hchristensen13@unl.edu" TargetMode="External"/><Relationship Id="rId664" Type="http://schemas.openxmlformats.org/officeDocument/2006/relationships/hyperlink" Target="mailto:davidmalmg@q.com" TargetMode="External"/><Relationship Id="rId421" Type="http://schemas.openxmlformats.org/officeDocument/2006/relationships/hyperlink" Target="mailto:hchristensen13@unl.edu" TargetMode="External"/><Relationship Id="rId663" Type="http://schemas.openxmlformats.org/officeDocument/2006/relationships/hyperlink" Target="mailto:davidmalmg@q.com" TargetMode="External"/><Relationship Id="rId420" Type="http://schemas.openxmlformats.org/officeDocument/2006/relationships/hyperlink" Target="mailto:cheygwells@yahoo.com" TargetMode="External"/><Relationship Id="rId662" Type="http://schemas.openxmlformats.org/officeDocument/2006/relationships/hyperlink" Target="mailto:taylor.nuttall24@gamil.com" TargetMode="External"/><Relationship Id="rId661" Type="http://schemas.openxmlformats.org/officeDocument/2006/relationships/hyperlink" Target="mailto:taylor.nuttall24@gamil.com" TargetMode="External"/><Relationship Id="rId415" Type="http://schemas.openxmlformats.org/officeDocument/2006/relationships/hyperlink" Target="mailto:wwg@bbc.net" TargetMode="External"/><Relationship Id="rId657" Type="http://schemas.openxmlformats.org/officeDocument/2006/relationships/hyperlink" Target="mailto:ari.mischo@gmail.com" TargetMode="External"/><Relationship Id="rId414" Type="http://schemas.openxmlformats.org/officeDocument/2006/relationships/hyperlink" Target="mailto:julie.hayes316@gmail.com" TargetMode="External"/><Relationship Id="rId656" Type="http://schemas.openxmlformats.org/officeDocument/2006/relationships/hyperlink" Target="mailto:raptor6@raptor6ranch.com" TargetMode="External"/><Relationship Id="rId413" Type="http://schemas.openxmlformats.org/officeDocument/2006/relationships/hyperlink" Target="mailto:julie.hayes316@gmail.com" TargetMode="External"/><Relationship Id="rId655" Type="http://schemas.openxmlformats.org/officeDocument/2006/relationships/hyperlink" Target="mailto:rdolph@protonmail.ch" TargetMode="External"/><Relationship Id="rId412" Type="http://schemas.openxmlformats.org/officeDocument/2006/relationships/hyperlink" Target="mailto:smurfzach@gmail.com" TargetMode="External"/><Relationship Id="rId654" Type="http://schemas.openxmlformats.org/officeDocument/2006/relationships/hyperlink" Target="mailto:dr.edwards.dvm@gmail.com" TargetMode="External"/><Relationship Id="rId419" Type="http://schemas.openxmlformats.org/officeDocument/2006/relationships/hyperlink" Target="mailto:cheygwells@yahoo.com" TargetMode="External"/><Relationship Id="rId418" Type="http://schemas.openxmlformats.org/officeDocument/2006/relationships/hyperlink" Target="mailto:braden.mort11@gmail.com" TargetMode="External"/><Relationship Id="rId417" Type="http://schemas.openxmlformats.org/officeDocument/2006/relationships/hyperlink" Target="mailto:braden.mort11@gmail.com" TargetMode="External"/><Relationship Id="rId659" Type="http://schemas.openxmlformats.org/officeDocument/2006/relationships/hyperlink" Target="mailto:jamiestory@yahoo.com" TargetMode="External"/><Relationship Id="rId416" Type="http://schemas.openxmlformats.org/officeDocument/2006/relationships/hyperlink" Target="mailto:wwg@bbc.net" TargetMode="External"/><Relationship Id="rId658" Type="http://schemas.openxmlformats.org/officeDocument/2006/relationships/hyperlink" Target="mailto:ari.mischo@gmail.com" TargetMode="External"/><Relationship Id="rId411" Type="http://schemas.openxmlformats.org/officeDocument/2006/relationships/hyperlink" Target="mailto:smurfzach@gmail.com" TargetMode="External"/><Relationship Id="rId653" Type="http://schemas.openxmlformats.org/officeDocument/2006/relationships/hyperlink" Target="mailto:dr.edwards.dvm@gmail.com" TargetMode="External"/><Relationship Id="rId410" Type="http://schemas.openxmlformats.org/officeDocument/2006/relationships/hyperlink" Target="mailto:amanda@dhaun.com" TargetMode="External"/><Relationship Id="rId652" Type="http://schemas.openxmlformats.org/officeDocument/2006/relationships/hyperlink" Target="mailto:nplothow17@gmail.com" TargetMode="External"/><Relationship Id="rId651" Type="http://schemas.openxmlformats.org/officeDocument/2006/relationships/hyperlink" Target="mailto:nplothow17@gmail.com" TargetMode="External"/><Relationship Id="rId650" Type="http://schemas.openxmlformats.org/officeDocument/2006/relationships/hyperlink" Target="mailto:larryvickie@aol.com" TargetMode="External"/><Relationship Id="rId206" Type="http://schemas.openxmlformats.org/officeDocument/2006/relationships/hyperlink" Target="mailto:rickyquinnclinics@yahoo.com" TargetMode="External"/><Relationship Id="rId448" Type="http://schemas.openxmlformats.org/officeDocument/2006/relationships/hyperlink" Target="mailto:robinrider1@hotmail.com" TargetMode="External"/><Relationship Id="rId205" Type="http://schemas.openxmlformats.org/officeDocument/2006/relationships/hyperlink" Target="mailto:rickyquinnclinics@yahoo.com" TargetMode="External"/><Relationship Id="rId447" Type="http://schemas.openxmlformats.org/officeDocument/2006/relationships/hyperlink" Target="mailto:robinrider1@hotmail.com" TargetMode="External"/><Relationship Id="rId689" Type="http://schemas.openxmlformats.org/officeDocument/2006/relationships/hyperlink" Target="mailto:codycurtisace@gmail.com" TargetMode="External"/><Relationship Id="rId204" Type="http://schemas.openxmlformats.org/officeDocument/2006/relationships/hyperlink" Target="mailto:syheller1@gmail.com" TargetMode="External"/><Relationship Id="rId446" Type="http://schemas.openxmlformats.org/officeDocument/2006/relationships/hyperlink" Target="mailto:jgnemmers@gmail.com" TargetMode="External"/><Relationship Id="rId688" Type="http://schemas.openxmlformats.org/officeDocument/2006/relationships/hyperlink" Target="mailto:karen.coon9@gmail.com" TargetMode="External"/><Relationship Id="rId203" Type="http://schemas.openxmlformats.org/officeDocument/2006/relationships/hyperlink" Target="mailto:syheller1@gmail.com" TargetMode="External"/><Relationship Id="rId445" Type="http://schemas.openxmlformats.org/officeDocument/2006/relationships/hyperlink" Target="mailto:jgnemmers@gmail.com" TargetMode="External"/><Relationship Id="rId687" Type="http://schemas.openxmlformats.org/officeDocument/2006/relationships/hyperlink" Target="mailto:karen.coon9@gmail.com" TargetMode="External"/><Relationship Id="rId209" Type="http://schemas.openxmlformats.org/officeDocument/2006/relationships/hyperlink" Target="mailto:treaallen14@gmail.com" TargetMode="External"/><Relationship Id="rId208" Type="http://schemas.openxmlformats.org/officeDocument/2006/relationships/hyperlink" Target="mailto:ssttkappan@yahoo.com" TargetMode="External"/><Relationship Id="rId207" Type="http://schemas.openxmlformats.org/officeDocument/2006/relationships/hyperlink" Target="mailto:ssttkappan@yahoo.com" TargetMode="External"/><Relationship Id="rId449" Type="http://schemas.openxmlformats.org/officeDocument/2006/relationships/hyperlink" Target="mailto:ikiespikie@hotmail.com" TargetMode="External"/><Relationship Id="rId440" Type="http://schemas.openxmlformats.org/officeDocument/2006/relationships/hyperlink" Target="mailto:ali1115@cwc.edu" TargetMode="External"/><Relationship Id="rId682" Type="http://schemas.openxmlformats.org/officeDocument/2006/relationships/hyperlink" Target="mailto:cjwinger@hotmail.com" TargetMode="External"/><Relationship Id="rId681" Type="http://schemas.openxmlformats.org/officeDocument/2006/relationships/hyperlink" Target="mailto:cjwinger@hotmail.com" TargetMode="External"/><Relationship Id="rId680" Type="http://schemas.openxmlformats.org/officeDocument/2006/relationships/hyperlink" Target="mailto:agrays@mesanetowrks.net" TargetMode="External"/><Relationship Id="rId202" Type="http://schemas.openxmlformats.org/officeDocument/2006/relationships/hyperlink" Target="mailto:scgeis@gmail.com" TargetMode="External"/><Relationship Id="rId444" Type="http://schemas.openxmlformats.org/officeDocument/2006/relationships/hyperlink" Target="mailto:oskim@centurylink.net" TargetMode="External"/><Relationship Id="rId686" Type="http://schemas.openxmlformats.org/officeDocument/2006/relationships/hyperlink" Target="mailto:boxbarcross@yahoo.com" TargetMode="External"/><Relationship Id="rId201" Type="http://schemas.openxmlformats.org/officeDocument/2006/relationships/hyperlink" Target="mailto:scgeis@gmail.com" TargetMode="External"/><Relationship Id="rId443" Type="http://schemas.openxmlformats.org/officeDocument/2006/relationships/hyperlink" Target="mailto:oskim@centurylink.net" TargetMode="External"/><Relationship Id="rId685" Type="http://schemas.openxmlformats.org/officeDocument/2006/relationships/hyperlink" Target="mailto:boxbarcross@yahoo.com" TargetMode="External"/><Relationship Id="rId200" Type="http://schemas.openxmlformats.org/officeDocument/2006/relationships/hyperlink" Target="mailto:angieglobug10@yahoo.com" TargetMode="External"/><Relationship Id="rId442" Type="http://schemas.openxmlformats.org/officeDocument/2006/relationships/hyperlink" Target="mailto:ljseckar@gmail.com" TargetMode="External"/><Relationship Id="rId684" Type="http://schemas.openxmlformats.org/officeDocument/2006/relationships/hyperlink" Target="mailto:shanehoer@yahoo.com" TargetMode="External"/><Relationship Id="rId441" Type="http://schemas.openxmlformats.org/officeDocument/2006/relationships/hyperlink" Target="mailto:ljseckar@gmail.com" TargetMode="External"/><Relationship Id="rId683" Type="http://schemas.openxmlformats.org/officeDocument/2006/relationships/hyperlink" Target="mailto:shanehoer@yahoo.com" TargetMode="External"/><Relationship Id="rId437" Type="http://schemas.openxmlformats.org/officeDocument/2006/relationships/hyperlink" Target="mailto:aqhacuttingirl@yahoo.com" TargetMode="External"/><Relationship Id="rId679" Type="http://schemas.openxmlformats.org/officeDocument/2006/relationships/hyperlink" Target="mailto:agrays@mesanetowrks.net" TargetMode="External"/><Relationship Id="rId436" Type="http://schemas.openxmlformats.org/officeDocument/2006/relationships/hyperlink" Target="mailto:amynorbitolson@gmail.com" TargetMode="External"/><Relationship Id="rId678" Type="http://schemas.openxmlformats.org/officeDocument/2006/relationships/hyperlink" Target="mailto:sboonednp@gamil.com" TargetMode="External"/><Relationship Id="rId435" Type="http://schemas.openxmlformats.org/officeDocument/2006/relationships/hyperlink" Target="mailto:amynorbitolson@gmail.com" TargetMode="External"/><Relationship Id="rId677" Type="http://schemas.openxmlformats.org/officeDocument/2006/relationships/hyperlink" Target="mailto:sboonednp@gamil.com" TargetMode="External"/><Relationship Id="rId434" Type="http://schemas.openxmlformats.org/officeDocument/2006/relationships/hyperlink" Target="mailto:stauffer405@gmail.com" TargetMode="External"/><Relationship Id="rId676" Type="http://schemas.openxmlformats.org/officeDocument/2006/relationships/hyperlink" Target="mailto:dmstundon@gmail.com" TargetMode="External"/><Relationship Id="rId439" Type="http://schemas.openxmlformats.org/officeDocument/2006/relationships/hyperlink" Target="mailto:ali1115@cwc.edu" TargetMode="External"/><Relationship Id="rId438" Type="http://schemas.openxmlformats.org/officeDocument/2006/relationships/hyperlink" Target="mailto:aqhacuttingirl@yahoo.com" TargetMode="External"/><Relationship Id="rId671" Type="http://schemas.openxmlformats.org/officeDocument/2006/relationships/hyperlink" Target="mailto:queenmarit@msn.com" TargetMode="External"/><Relationship Id="rId670" Type="http://schemas.openxmlformats.org/officeDocument/2006/relationships/hyperlink" Target="mailto:srt7921@gmail.com" TargetMode="External"/><Relationship Id="rId433" Type="http://schemas.openxmlformats.org/officeDocument/2006/relationships/hyperlink" Target="mailto:stauffer405@gmail.com" TargetMode="External"/><Relationship Id="rId675" Type="http://schemas.openxmlformats.org/officeDocument/2006/relationships/hyperlink" Target="mailto:dmstundon@gmail.com" TargetMode="External"/><Relationship Id="rId432" Type="http://schemas.openxmlformats.org/officeDocument/2006/relationships/hyperlink" Target="mailto:beck.osborne@gmail.com" TargetMode="External"/><Relationship Id="rId674" Type="http://schemas.openxmlformats.org/officeDocument/2006/relationships/hyperlink" Target="mailto:aubreylind@aol.com" TargetMode="External"/><Relationship Id="rId431" Type="http://schemas.openxmlformats.org/officeDocument/2006/relationships/hyperlink" Target="mailto:beck.osborne@gmail.com" TargetMode="External"/><Relationship Id="rId673" Type="http://schemas.openxmlformats.org/officeDocument/2006/relationships/hyperlink" Target="mailto:aubreylind@aol.com" TargetMode="External"/><Relationship Id="rId430" Type="http://schemas.openxmlformats.org/officeDocument/2006/relationships/hyperlink" Target="mailto:stephanemily@gmail.com" TargetMode="External"/><Relationship Id="rId672" Type="http://schemas.openxmlformats.org/officeDocument/2006/relationships/hyperlink" Target="mailto:queenmarit@msn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mlbrashaer@hotmail.com" TargetMode="External"/><Relationship Id="rId2" Type="http://schemas.openxmlformats.org/officeDocument/2006/relationships/hyperlink" Target="mailto:jcole@cwcd.edu" TargetMode="External"/><Relationship Id="rId3" Type="http://schemas.openxmlformats.org/officeDocument/2006/relationships/hyperlink" Target="mailto:jill@dunkeldesigns.com" TargetMode="External"/><Relationship Id="rId4" Type="http://schemas.openxmlformats.org/officeDocument/2006/relationships/hyperlink" Target="mailto:jhergenreder2@unl.edu" TargetMode="External"/><Relationship Id="rId5" Type="http://schemas.openxmlformats.org/officeDocument/2006/relationships/hyperlink" Target="mailto:ehutchi2@uwyo.edu" TargetMode="External"/><Relationship Id="rId6" Type="http://schemas.openxmlformats.org/officeDocument/2006/relationships/hyperlink" Target="mailto:amanda.morgan@njc.edu" TargetMode="External"/><Relationship Id="rId7" Type="http://schemas.openxmlformats.org/officeDocument/2006/relationships/hyperlink" Target="mailto:jwitt@rmqha.com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mailto:isabel.mouer@gmail.com" TargetMode="External"/><Relationship Id="rId3" Type="http://schemas.openxmlformats.org/officeDocument/2006/relationships/hyperlink" Target="mailto:rdolph@protonmail.ch" TargetMode="External"/><Relationship Id="rId4" Type="http://schemas.openxmlformats.org/officeDocument/2006/relationships/hyperlink" Target="mailto:raptor6@raptor6ranch.com" TargetMode="External"/><Relationship Id="rId9" Type="http://schemas.openxmlformats.org/officeDocument/2006/relationships/hyperlink" Target="mailto:raptor6@raptor6ranch.com" TargetMode="External"/><Relationship Id="rId5" Type="http://schemas.openxmlformats.org/officeDocument/2006/relationships/hyperlink" Target="mailto:cogburnhorses@hotmail.com" TargetMode="External"/><Relationship Id="rId6" Type="http://schemas.openxmlformats.org/officeDocument/2006/relationships/hyperlink" Target="mailto:cogburnhorses@hotmail.com" TargetMode="External"/><Relationship Id="rId7" Type="http://schemas.openxmlformats.org/officeDocument/2006/relationships/hyperlink" Target="mailto:grouchygringotrucking@gmail.com" TargetMode="External"/><Relationship Id="rId8" Type="http://schemas.openxmlformats.org/officeDocument/2006/relationships/hyperlink" Target="mailto:rdolph@protonmail.ch" TargetMode="External"/><Relationship Id="rId132" Type="http://schemas.openxmlformats.org/officeDocument/2006/relationships/hyperlink" Target="mailto:mcphaulkathleen@gmail.com" TargetMode="External"/><Relationship Id="rId131" Type="http://schemas.openxmlformats.org/officeDocument/2006/relationships/hyperlink" Target="mailto:mcphaulkathleen@gmail.com" TargetMode="External"/><Relationship Id="rId130" Type="http://schemas.openxmlformats.org/officeDocument/2006/relationships/hyperlink" Target="mailto:sdianesteele@aol.com" TargetMode="External"/><Relationship Id="rId136" Type="http://schemas.openxmlformats.org/officeDocument/2006/relationships/vmlDrawing" Target="../drawings/vmlDrawing3.vml"/><Relationship Id="rId135" Type="http://schemas.openxmlformats.org/officeDocument/2006/relationships/drawing" Target="../drawings/drawing5.xml"/><Relationship Id="rId134" Type="http://schemas.openxmlformats.org/officeDocument/2006/relationships/hyperlink" Target="mailto:casey_tia@hotmail.com" TargetMode="External"/><Relationship Id="rId133" Type="http://schemas.openxmlformats.org/officeDocument/2006/relationships/hyperlink" Target="mailto:casey_tia@hotmail.com" TargetMode="External"/><Relationship Id="rId40" Type="http://schemas.openxmlformats.org/officeDocument/2006/relationships/hyperlink" Target="mailto:rickyquinnclinics@yahoo.com" TargetMode="External"/><Relationship Id="rId42" Type="http://schemas.openxmlformats.org/officeDocument/2006/relationships/hyperlink" Target="mailto:treaallen14@gmail.com" TargetMode="External"/><Relationship Id="rId41" Type="http://schemas.openxmlformats.org/officeDocument/2006/relationships/hyperlink" Target="mailto:treaallen14@gmail.com" TargetMode="External"/><Relationship Id="rId44" Type="http://schemas.openxmlformats.org/officeDocument/2006/relationships/hyperlink" Target="mailto:rise.horses@gmail.com" TargetMode="External"/><Relationship Id="rId43" Type="http://schemas.openxmlformats.org/officeDocument/2006/relationships/hyperlink" Target="mailto:rise.horses@gmail.com" TargetMode="External"/><Relationship Id="rId46" Type="http://schemas.openxmlformats.org/officeDocument/2006/relationships/hyperlink" Target="mailto:karen.taylor@colostate.edu" TargetMode="External"/><Relationship Id="rId45" Type="http://schemas.openxmlformats.org/officeDocument/2006/relationships/hyperlink" Target="mailto:karen.taylor@colostate.edu" TargetMode="External"/><Relationship Id="rId48" Type="http://schemas.openxmlformats.org/officeDocument/2006/relationships/hyperlink" Target="mailto:r.befort824@gmail.com" TargetMode="External"/><Relationship Id="rId47" Type="http://schemas.openxmlformats.org/officeDocument/2006/relationships/hyperlink" Target="mailto:r.befort824@gmail.com" TargetMode="External"/><Relationship Id="rId49" Type="http://schemas.openxmlformats.org/officeDocument/2006/relationships/hyperlink" Target="mailto:mdoyletcg@icloud.com" TargetMode="External"/><Relationship Id="rId31" Type="http://schemas.openxmlformats.org/officeDocument/2006/relationships/hyperlink" Target="mailto:kelly0515@aol.com" TargetMode="External"/><Relationship Id="rId30" Type="http://schemas.openxmlformats.org/officeDocument/2006/relationships/hyperlink" Target="mailto:taniadekruif@msn.com" TargetMode="External"/><Relationship Id="rId33" Type="http://schemas.openxmlformats.org/officeDocument/2006/relationships/hyperlink" Target="mailto:mpipe@comcast.net" TargetMode="External"/><Relationship Id="rId32" Type="http://schemas.openxmlformats.org/officeDocument/2006/relationships/hyperlink" Target="mailto:kelly0515@aol.com" TargetMode="External"/><Relationship Id="rId35" Type="http://schemas.openxmlformats.org/officeDocument/2006/relationships/hyperlink" Target="mailto:madisonsneddon2020@gmail.com" TargetMode="External"/><Relationship Id="rId34" Type="http://schemas.openxmlformats.org/officeDocument/2006/relationships/hyperlink" Target="mailto:mpipe@comcast.net" TargetMode="External"/><Relationship Id="rId37" Type="http://schemas.openxmlformats.org/officeDocument/2006/relationships/hyperlink" Target="mailto:tmaas11912@gmail.com" TargetMode="External"/><Relationship Id="rId36" Type="http://schemas.openxmlformats.org/officeDocument/2006/relationships/hyperlink" Target="mailto:madisonsneddon2020@gmail.com" TargetMode="External"/><Relationship Id="rId39" Type="http://schemas.openxmlformats.org/officeDocument/2006/relationships/hyperlink" Target="mailto:rickyquinnclinics@yahoo.com" TargetMode="External"/><Relationship Id="rId38" Type="http://schemas.openxmlformats.org/officeDocument/2006/relationships/hyperlink" Target="mailto:tmaas11912@gmail.com" TargetMode="External"/><Relationship Id="rId20" Type="http://schemas.openxmlformats.org/officeDocument/2006/relationships/hyperlink" Target="mailto:keen_jill@yahoo.com" TargetMode="External"/><Relationship Id="rId22" Type="http://schemas.openxmlformats.org/officeDocument/2006/relationships/hyperlink" Target="mailto:nancy.billingscolton@gmail.com" TargetMode="External"/><Relationship Id="rId21" Type="http://schemas.openxmlformats.org/officeDocument/2006/relationships/hyperlink" Target="mailto:nancy.billingscolton@gmail.com" TargetMode="External"/><Relationship Id="rId24" Type="http://schemas.openxmlformats.org/officeDocument/2006/relationships/hyperlink" Target="mailto:thegermancowgirl@gmail.com" TargetMode="External"/><Relationship Id="rId23" Type="http://schemas.openxmlformats.org/officeDocument/2006/relationships/hyperlink" Target="mailto:horsesetc@springsips.com" TargetMode="External"/><Relationship Id="rId26" Type="http://schemas.openxmlformats.org/officeDocument/2006/relationships/hyperlink" Target="mailto:rsibley101@gmail.com" TargetMode="External"/><Relationship Id="rId25" Type="http://schemas.openxmlformats.org/officeDocument/2006/relationships/hyperlink" Target="mailto:rsibley101@gmail.com" TargetMode="External"/><Relationship Id="rId28" Type="http://schemas.openxmlformats.org/officeDocument/2006/relationships/hyperlink" Target="mailto:arey024@gmail.com" TargetMode="External"/><Relationship Id="rId27" Type="http://schemas.openxmlformats.org/officeDocument/2006/relationships/hyperlink" Target="mailto:arey024@gmail.com" TargetMode="External"/><Relationship Id="rId29" Type="http://schemas.openxmlformats.org/officeDocument/2006/relationships/hyperlink" Target="mailto:taniadekruif@msn.com" TargetMode="External"/><Relationship Id="rId11" Type="http://schemas.openxmlformats.org/officeDocument/2006/relationships/hyperlink" Target="mailto:karen@whiteharvestfarms.com" TargetMode="External"/><Relationship Id="rId10" Type="http://schemas.openxmlformats.org/officeDocument/2006/relationships/hyperlink" Target="mailto:justin.henderson300@gmail.com" TargetMode="External"/><Relationship Id="rId13" Type="http://schemas.openxmlformats.org/officeDocument/2006/relationships/hyperlink" Target="mailto:tomkrisstreet@hotmail.com" TargetMode="External"/><Relationship Id="rId12" Type="http://schemas.openxmlformats.org/officeDocument/2006/relationships/hyperlink" Target="mailto:marc@whiteharvestfarms.com" TargetMode="External"/><Relationship Id="rId15" Type="http://schemas.openxmlformats.org/officeDocument/2006/relationships/hyperlink" Target="mailto:Cael@washburn.me" TargetMode="External"/><Relationship Id="rId14" Type="http://schemas.openxmlformats.org/officeDocument/2006/relationships/hyperlink" Target="mailto:us@washburn.me" TargetMode="External"/><Relationship Id="rId17" Type="http://schemas.openxmlformats.org/officeDocument/2006/relationships/hyperlink" Target="mailto:litchford5@gmail.com" TargetMode="External"/><Relationship Id="rId16" Type="http://schemas.openxmlformats.org/officeDocument/2006/relationships/hyperlink" Target="mailto:us@washburn.me" TargetMode="External"/><Relationship Id="rId19" Type="http://schemas.openxmlformats.org/officeDocument/2006/relationships/hyperlink" Target="mailto:keen_jill@yahoo.com" TargetMode="External"/><Relationship Id="rId18" Type="http://schemas.openxmlformats.org/officeDocument/2006/relationships/hyperlink" Target="mailto:jennaclaps2768@gmail.com" TargetMode="External"/><Relationship Id="rId84" Type="http://schemas.openxmlformats.org/officeDocument/2006/relationships/hyperlink" Target="mailto:stacystern2@yahoo.com" TargetMode="External"/><Relationship Id="rId83" Type="http://schemas.openxmlformats.org/officeDocument/2006/relationships/hyperlink" Target="mailto:stacystern2@yahoo.com" TargetMode="External"/><Relationship Id="rId86" Type="http://schemas.openxmlformats.org/officeDocument/2006/relationships/hyperlink" Target="mailto:hpiaseck@yahoo.com" TargetMode="External"/><Relationship Id="rId85" Type="http://schemas.openxmlformats.org/officeDocument/2006/relationships/hyperlink" Target="mailto:hpiaseck@yahoo.com" TargetMode="External"/><Relationship Id="rId88" Type="http://schemas.openxmlformats.org/officeDocument/2006/relationships/hyperlink" Target="mailto:phil@bitsndspurshorsemanship.com" TargetMode="External"/><Relationship Id="rId87" Type="http://schemas.openxmlformats.org/officeDocument/2006/relationships/hyperlink" Target="mailto:phil@bitsndspurshorsemanship.com" TargetMode="External"/><Relationship Id="rId89" Type="http://schemas.openxmlformats.org/officeDocument/2006/relationships/hyperlink" Target="mailto:kimber.sherrard@gmail.com" TargetMode="External"/><Relationship Id="rId80" Type="http://schemas.openxmlformats.org/officeDocument/2006/relationships/hyperlink" Target="mailto:khperformancehorses@yahoo.com" TargetMode="External"/><Relationship Id="rId82" Type="http://schemas.openxmlformats.org/officeDocument/2006/relationships/hyperlink" Target="mailto:ikia1818@yahoo.com" TargetMode="External"/><Relationship Id="rId81" Type="http://schemas.openxmlformats.org/officeDocument/2006/relationships/hyperlink" Target="mailto:ikia1818@yahoo.com" TargetMode="External"/><Relationship Id="rId73" Type="http://schemas.openxmlformats.org/officeDocument/2006/relationships/hyperlink" Target="mailto:dana7stephenson@gmail.com" TargetMode="External"/><Relationship Id="rId72" Type="http://schemas.openxmlformats.org/officeDocument/2006/relationships/hyperlink" Target="mailto:dana7stephenson@gmail.com" TargetMode="External"/><Relationship Id="rId75" Type="http://schemas.openxmlformats.org/officeDocument/2006/relationships/hyperlink" Target="mailto:pinkcatevilgenius@gmail.com" TargetMode="External"/><Relationship Id="rId74" Type="http://schemas.openxmlformats.org/officeDocument/2006/relationships/hyperlink" Target="mailto:smith.amberlynn1@gmail.com" TargetMode="External"/><Relationship Id="rId77" Type="http://schemas.openxmlformats.org/officeDocument/2006/relationships/hyperlink" Target="mailto:stephanemily@gmail.com" TargetMode="External"/><Relationship Id="rId76" Type="http://schemas.openxmlformats.org/officeDocument/2006/relationships/hyperlink" Target="mailto:pinkcatevilgenius@gmail.com" TargetMode="External"/><Relationship Id="rId79" Type="http://schemas.openxmlformats.org/officeDocument/2006/relationships/hyperlink" Target="mailto:khperformancehorses@yahoo.com" TargetMode="External"/><Relationship Id="rId78" Type="http://schemas.openxmlformats.org/officeDocument/2006/relationships/hyperlink" Target="mailto:stephanemily@gmail.com" TargetMode="External"/><Relationship Id="rId71" Type="http://schemas.openxmlformats.org/officeDocument/2006/relationships/hyperlink" Target="mailto:smith.amberlynn1@gmail.com" TargetMode="External"/><Relationship Id="rId70" Type="http://schemas.openxmlformats.org/officeDocument/2006/relationships/hyperlink" Target="mailto:smith.amberlynn1@gmail.com" TargetMode="External"/><Relationship Id="rId62" Type="http://schemas.openxmlformats.org/officeDocument/2006/relationships/hyperlink" Target="mailto:j.barhite@icloud.com" TargetMode="External"/><Relationship Id="rId61" Type="http://schemas.openxmlformats.org/officeDocument/2006/relationships/hyperlink" Target="mailto:j.barhite@icloud.com" TargetMode="External"/><Relationship Id="rId64" Type="http://schemas.openxmlformats.org/officeDocument/2006/relationships/hyperlink" Target="mailto:bob@frontrange-pc.com" TargetMode="External"/><Relationship Id="rId63" Type="http://schemas.openxmlformats.org/officeDocument/2006/relationships/hyperlink" Target="mailto:evelyn.pont8@gmail.com" TargetMode="External"/><Relationship Id="rId66" Type="http://schemas.openxmlformats.org/officeDocument/2006/relationships/hyperlink" Target="mailto:newmankh2004@msn.com" TargetMode="External"/><Relationship Id="rId65" Type="http://schemas.openxmlformats.org/officeDocument/2006/relationships/hyperlink" Target="mailto:bob@frontrange-pc.com" TargetMode="External"/><Relationship Id="rId68" Type="http://schemas.openxmlformats.org/officeDocument/2006/relationships/hyperlink" Target="mailto:phroggunr@hotmail.com" TargetMode="External"/><Relationship Id="rId67" Type="http://schemas.openxmlformats.org/officeDocument/2006/relationships/hyperlink" Target="mailto:newmankh2004@msn.com" TargetMode="External"/><Relationship Id="rId60" Type="http://schemas.openxmlformats.org/officeDocument/2006/relationships/hyperlink" Target="mailto:carneseccabonnie@gmail.com" TargetMode="External"/><Relationship Id="rId69" Type="http://schemas.openxmlformats.org/officeDocument/2006/relationships/hyperlink" Target="mailto:phroggunr@hotmail.com" TargetMode="External"/><Relationship Id="rId51" Type="http://schemas.openxmlformats.org/officeDocument/2006/relationships/hyperlink" Target="mailto:ericatonso@gmail.com" TargetMode="External"/><Relationship Id="rId50" Type="http://schemas.openxmlformats.org/officeDocument/2006/relationships/hyperlink" Target="mailto:mdoyletcg@icloud.com" TargetMode="External"/><Relationship Id="rId53" Type="http://schemas.openxmlformats.org/officeDocument/2006/relationships/hyperlink" Target="mailto:marc@whiteharvestfarms.com" TargetMode="External"/><Relationship Id="rId52" Type="http://schemas.openxmlformats.org/officeDocument/2006/relationships/hyperlink" Target="mailto:ericatonso@gmail.com" TargetMode="External"/><Relationship Id="rId55" Type="http://schemas.openxmlformats.org/officeDocument/2006/relationships/hyperlink" Target="mailto:lynda@frontrangepc.com" TargetMode="External"/><Relationship Id="rId54" Type="http://schemas.openxmlformats.org/officeDocument/2006/relationships/hyperlink" Target="mailto:marc@whiteharvestfarms.com" TargetMode="External"/><Relationship Id="rId57" Type="http://schemas.openxmlformats.org/officeDocument/2006/relationships/hyperlink" Target="mailto:lovercheck1@gmail.com" TargetMode="External"/><Relationship Id="rId56" Type="http://schemas.openxmlformats.org/officeDocument/2006/relationships/hyperlink" Target="mailto:lynda@frontrangepc.com" TargetMode="External"/><Relationship Id="rId59" Type="http://schemas.openxmlformats.org/officeDocument/2006/relationships/hyperlink" Target="mailto:carneseccabonnie@gmail.com" TargetMode="External"/><Relationship Id="rId58" Type="http://schemas.openxmlformats.org/officeDocument/2006/relationships/hyperlink" Target="mailto:lovercheck1@gmail.com" TargetMode="External"/><Relationship Id="rId107" Type="http://schemas.openxmlformats.org/officeDocument/2006/relationships/hyperlink" Target="mailto:rocknsperformancehorses@outlook.com" TargetMode="External"/><Relationship Id="rId106" Type="http://schemas.openxmlformats.org/officeDocument/2006/relationships/hyperlink" Target="mailto:alli.morrison123@gmail.com" TargetMode="External"/><Relationship Id="rId105" Type="http://schemas.openxmlformats.org/officeDocument/2006/relationships/hyperlink" Target="mailto:alli.morrison123@gmail.com" TargetMode="External"/><Relationship Id="rId104" Type="http://schemas.openxmlformats.org/officeDocument/2006/relationships/hyperlink" Target="mailto:douglasride19@gmail.com" TargetMode="External"/><Relationship Id="rId109" Type="http://schemas.openxmlformats.org/officeDocument/2006/relationships/hyperlink" Target="mailto:sboonednp@gamil.com" TargetMode="External"/><Relationship Id="rId108" Type="http://schemas.openxmlformats.org/officeDocument/2006/relationships/hyperlink" Target="mailto:rocknsperformancehorses@outlook.com" TargetMode="External"/><Relationship Id="rId103" Type="http://schemas.openxmlformats.org/officeDocument/2006/relationships/hyperlink" Target="mailto:douglasride19@gmail.com" TargetMode="External"/><Relationship Id="rId102" Type="http://schemas.openxmlformats.org/officeDocument/2006/relationships/hyperlink" Target="mailto:gingermatney@gmail.com" TargetMode="External"/><Relationship Id="rId101" Type="http://schemas.openxmlformats.org/officeDocument/2006/relationships/hyperlink" Target="mailto:gingermatney@gmail.com" TargetMode="External"/><Relationship Id="rId100" Type="http://schemas.openxmlformats.org/officeDocument/2006/relationships/hyperlink" Target="mailto:cjleathershop@gmail.com" TargetMode="External"/><Relationship Id="rId129" Type="http://schemas.openxmlformats.org/officeDocument/2006/relationships/hyperlink" Target="mailto:sdianesteele@aol.com" TargetMode="External"/><Relationship Id="rId128" Type="http://schemas.openxmlformats.org/officeDocument/2006/relationships/hyperlink" Target="mailto:wrgentle@gmail.com" TargetMode="External"/><Relationship Id="rId127" Type="http://schemas.openxmlformats.org/officeDocument/2006/relationships/hyperlink" Target="mailto:wrgentle@gmail.com" TargetMode="External"/><Relationship Id="rId126" Type="http://schemas.openxmlformats.org/officeDocument/2006/relationships/hyperlink" Target="mailto:sterkel_livestock@hotmail.com" TargetMode="External"/><Relationship Id="rId121" Type="http://schemas.openxmlformats.org/officeDocument/2006/relationships/hyperlink" Target="mailto:miriam.b.altman@gmail.com" TargetMode="External"/><Relationship Id="rId120" Type="http://schemas.openxmlformats.org/officeDocument/2006/relationships/hyperlink" Target="mailto:toadielu@gmail.com" TargetMode="External"/><Relationship Id="rId125" Type="http://schemas.openxmlformats.org/officeDocument/2006/relationships/hyperlink" Target="mailto:sterkel_livestock@hotmail.com" TargetMode="External"/><Relationship Id="rId124" Type="http://schemas.openxmlformats.org/officeDocument/2006/relationships/hyperlink" Target="mailto:sbgentle@hotmail.com" TargetMode="External"/><Relationship Id="rId123" Type="http://schemas.openxmlformats.org/officeDocument/2006/relationships/hyperlink" Target="mailto:sbgentle@hotmail.com" TargetMode="External"/><Relationship Id="rId122" Type="http://schemas.openxmlformats.org/officeDocument/2006/relationships/hyperlink" Target="mailto:miriam.b.altman@gmail.com" TargetMode="External"/><Relationship Id="rId95" Type="http://schemas.openxmlformats.org/officeDocument/2006/relationships/hyperlink" Target="mailto:pamela.klement@gmail.com" TargetMode="External"/><Relationship Id="rId94" Type="http://schemas.openxmlformats.org/officeDocument/2006/relationships/hyperlink" Target="mailto:shannon.914@hotmail.com" TargetMode="External"/><Relationship Id="rId97" Type="http://schemas.openxmlformats.org/officeDocument/2006/relationships/hyperlink" Target="mailto:edhelgans@hotmail.com" TargetMode="External"/><Relationship Id="rId96" Type="http://schemas.openxmlformats.org/officeDocument/2006/relationships/hyperlink" Target="mailto:pamela.klement@gmail.com" TargetMode="External"/><Relationship Id="rId99" Type="http://schemas.openxmlformats.org/officeDocument/2006/relationships/hyperlink" Target="mailto:cjleathershop@gmail.com" TargetMode="External"/><Relationship Id="rId98" Type="http://schemas.openxmlformats.org/officeDocument/2006/relationships/hyperlink" Target="mailto:edhelgans@hotmail.com" TargetMode="External"/><Relationship Id="rId91" Type="http://schemas.openxmlformats.org/officeDocument/2006/relationships/hyperlink" Target="mailto:taniadekruif@msn.com" TargetMode="External"/><Relationship Id="rId90" Type="http://schemas.openxmlformats.org/officeDocument/2006/relationships/hyperlink" Target="mailto:kimber.sherrard@gmail.com" TargetMode="External"/><Relationship Id="rId93" Type="http://schemas.openxmlformats.org/officeDocument/2006/relationships/hyperlink" Target="mailto:shannon.914@hotmail.com" TargetMode="External"/><Relationship Id="rId92" Type="http://schemas.openxmlformats.org/officeDocument/2006/relationships/hyperlink" Target="mailto:taniadekruif@msn.com" TargetMode="External"/><Relationship Id="rId118" Type="http://schemas.openxmlformats.org/officeDocument/2006/relationships/hyperlink" Target="mailto:razz2@msn.com" TargetMode="External"/><Relationship Id="rId117" Type="http://schemas.openxmlformats.org/officeDocument/2006/relationships/hyperlink" Target="mailto:razz2@msn.com" TargetMode="External"/><Relationship Id="rId116" Type="http://schemas.openxmlformats.org/officeDocument/2006/relationships/hyperlink" Target="mailto:Lmhurd33@yahoo.com" TargetMode="External"/><Relationship Id="rId115" Type="http://schemas.openxmlformats.org/officeDocument/2006/relationships/hyperlink" Target="mailto:Lmhurd33@yahoo.com" TargetMode="External"/><Relationship Id="rId119" Type="http://schemas.openxmlformats.org/officeDocument/2006/relationships/hyperlink" Target="mailto:toadielu@gmail.com" TargetMode="External"/><Relationship Id="rId110" Type="http://schemas.openxmlformats.org/officeDocument/2006/relationships/hyperlink" Target="mailto:sboonednp@gamil.com" TargetMode="External"/><Relationship Id="rId114" Type="http://schemas.openxmlformats.org/officeDocument/2006/relationships/hyperlink" Target="mailto:christinahaxton@gmail.com" TargetMode="External"/><Relationship Id="rId113" Type="http://schemas.openxmlformats.org/officeDocument/2006/relationships/hyperlink" Target="mailto:christinahaxton@gmail.com" TargetMode="External"/><Relationship Id="rId112" Type="http://schemas.openxmlformats.org/officeDocument/2006/relationships/hyperlink" Target="mailto:helenmse@aol.com" TargetMode="External"/><Relationship Id="rId111" Type="http://schemas.openxmlformats.org/officeDocument/2006/relationships/hyperlink" Target="mailto:helenmse@aol.com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  <col customWidth="1" min="2" max="2" width="27.38"/>
    <col customWidth="1" min="3" max="3" width="12.5"/>
    <col customWidth="1" min="4" max="4" width="11.38"/>
    <col customWidth="1" min="5" max="5" width="10.63"/>
    <col customWidth="1" min="6" max="6" width="9.75"/>
    <col customWidth="1" min="7" max="7" width="11.75"/>
    <col customWidth="1" min="8" max="8" width="12.88"/>
    <col customWidth="1" min="9" max="9" width="6.25"/>
    <col customWidth="1" min="10" max="10" width="33.88"/>
    <col customWidth="1" min="11" max="11" width="21.13"/>
    <col customWidth="1" min="12" max="12" width="7.13"/>
    <col customWidth="1" min="13" max="13" width="8.0"/>
    <col customWidth="1" min="14" max="14" width="41.13"/>
    <col customWidth="1" min="15" max="15" width="17.0"/>
    <col customWidth="1" min="16" max="18" width="11.63"/>
    <col customWidth="1" min="19" max="19" width="25.38"/>
    <col customWidth="1" min="20" max="20" width="16.63"/>
    <col customWidth="1" min="21" max="21" width="15.25"/>
    <col customWidth="1" min="23" max="23" width="7.5"/>
    <col customWidth="1" min="25" max="25" width="25.75"/>
    <col customWidth="1" min="26" max="27" width="10.13"/>
  </cols>
  <sheetData>
    <row r="1" ht="36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1" t="s">
        <v>11</v>
      </c>
      <c r="M1" s="11" t="s">
        <v>12</v>
      </c>
      <c r="N1" s="12" t="s">
        <v>13</v>
      </c>
      <c r="O1" s="13" t="s">
        <v>14</v>
      </c>
      <c r="P1" s="14" t="s">
        <v>15</v>
      </c>
      <c r="Q1" s="14" t="s">
        <v>16</v>
      </c>
      <c r="R1" s="15" t="s">
        <v>17</v>
      </c>
      <c r="S1" s="16" t="s">
        <v>18</v>
      </c>
      <c r="T1" s="16" t="s">
        <v>19</v>
      </c>
      <c r="U1" s="17" t="s">
        <v>20</v>
      </c>
      <c r="V1" s="18" t="s">
        <v>21</v>
      </c>
      <c r="W1" s="17" t="s">
        <v>22</v>
      </c>
      <c r="X1" s="17" t="s">
        <v>23</v>
      </c>
      <c r="Y1" s="19" t="s">
        <v>24</v>
      </c>
      <c r="Z1" s="15" t="s">
        <v>25</v>
      </c>
      <c r="AA1" s="15" t="s">
        <v>26</v>
      </c>
    </row>
    <row r="2">
      <c r="A2" s="20"/>
      <c r="B2" s="20"/>
      <c r="C2" s="21">
        <v>1371.0</v>
      </c>
      <c r="D2" s="22" t="str">
        <f t="shared" ref="D2:D791" si="1">IFS(ISBLANK(A2),"Business",ISBLANK(Q2),"General",Q2&lt;19,"Youth",Q2&gt;18,"General")</f>
        <v>Business</v>
      </c>
      <c r="E2" s="23" t="str">
        <f t="shared" ref="E2:E791" si="2">IF(H2&gt;TODAY(), "Active","Lapsed")</f>
        <v>Lapsed</v>
      </c>
      <c r="F2" s="24">
        <v>1.0</v>
      </c>
      <c r="G2" s="25">
        <v>45671.0</v>
      </c>
      <c r="H2" s="26">
        <f t="shared" ref="H2:H68" si="3">DATE(YEAR(G2)+F2-1, 12, 31)</f>
        <v>46022</v>
      </c>
      <c r="I2" s="27" t="s">
        <v>27</v>
      </c>
      <c r="J2" s="28"/>
      <c r="K2" s="29"/>
      <c r="L2" s="30"/>
      <c r="M2" s="31"/>
      <c r="N2" s="28"/>
      <c r="O2" s="32"/>
      <c r="P2" s="33"/>
      <c r="Q2" s="34"/>
      <c r="R2" s="22"/>
      <c r="S2" s="22"/>
      <c r="T2" s="22"/>
      <c r="U2" s="22"/>
      <c r="V2" s="35"/>
      <c r="W2" s="22"/>
      <c r="X2" s="22"/>
      <c r="Y2" s="36" t="str">
        <f t="shared" ref="Y2:Y4" si="4">if(E2="Active","send","renew")</f>
        <v>renew</v>
      </c>
      <c r="Z2" s="21"/>
      <c r="AA2" s="21"/>
    </row>
    <row r="3">
      <c r="A3" s="20"/>
      <c r="B3" s="20"/>
      <c r="C3" s="21">
        <v>1370.0</v>
      </c>
      <c r="D3" s="22" t="str">
        <f t="shared" si="1"/>
        <v>Business</v>
      </c>
      <c r="E3" s="23" t="str">
        <f t="shared" si="2"/>
        <v>Lapsed</v>
      </c>
      <c r="F3" s="24">
        <v>1.0</v>
      </c>
      <c r="G3" s="25">
        <v>45672.0</v>
      </c>
      <c r="H3" s="26">
        <f t="shared" si="3"/>
        <v>46022</v>
      </c>
      <c r="I3" s="27" t="s">
        <v>27</v>
      </c>
      <c r="J3" s="28"/>
      <c r="K3" s="29"/>
      <c r="L3" s="30"/>
      <c r="M3" s="31"/>
      <c r="N3" s="28"/>
      <c r="O3" s="32"/>
      <c r="P3" s="33"/>
      <c r="Q3" s="34"/>
      <c r="R3" s="22"/>
      <c r="S3" s="22"/>
      <c r="T3" s="22"/>
      <c r="U3" s="22"/>
      <c r="V3" s="35"/>
      <c r="W3" s="22"/>
      <c r="X3" s="22"/>
      <c r="Y3" s="36" t="str">
        <f t="shared" si="4"/>
        <v>renew</v>
      </c>
      <c r="Z3" s="21"/>
      <c r="AA3" s="21"/>
    </row>
    <row r="4">
      <c r="A4" s="20" t="s">
        <v>28</v>
      </c>
      <c r="B4" s="20" t="s">
        <v>29</v>
      </c>
      <c r="C4" s="21">
        <v>1369.0</v>
      </c>
      <c r="D4" s="22" t="str">
        <f t="shared" si="1"/>
        <v>Youth</v>
      </c>
      <c r="E4" s="23" t="str">
        <f t="shared" si="2"/>
        <v>Lapsed</v>
      </c>
      <c r="F4" s="24">
        <v>1.0</v>
      </c>
      <c r="G4" s="25">
        <v>45673.0</v>
      </c>
      <c r="H4" s="26">
        <f t="shared" si="3"/>
        <v>46022</v>
      </c>
      <c r="I4" s="27" t="s">
        <v>27</v>
      </c>
      <c r="J4" s="28"/>
      <c r="K4" s="29"/>
      <c r="L4" s="30"/>
      <c r="M4" s="31"/>
      <c r="N4" s="28" t="s">
        <v>30</v>
      </c>
      <c r="O4" s="32"/>
      <c r="P4" s="33">
        <v>42796.0</v>
      </c>
      <c r="Q4" s="34">
        <f>datedif(P4,today(),"Y")</f>
        <v>9</v>
      </c>
      <c r="R4" s="22"/>
      <c r="S4" s="22"/>
      <c r="T4" s="22"/>
      <c r="U4" s="22"/>
      <c r="V4" s="35"/>
      <c r="W4" s="22"/>
      <c r="X4" s="22"/>
      <c r="Y4" s="36" t="str">
        <f t="shared" si="4"/>
        <v>renew</v>
      </c>
      <c r="Z4" s="21"/>
      <c r="AA4" s="21"/>
    </row>
    <row r="5">
      <c r="A5" s="20" t="s">
        <v>31</v>
      </c>
      <c r="B5" s="20" t="s">
        <v>32</v>
      </c>
      <c r="C5" s="21">
        <v>1368.0</v>
      </c>
      <c r="D5" s="22" t="str">
        <f t="shared" si="1"/>
        <v>General</v>
      </c>
      <c r="E5" s="23" t="str">
        <f t="shared" si="2"/>
        <v>Active</v>
      </c>
      <c r="F5" s="24">
        <v>1.0</v>
      </c>
      <c r="G5" s="25">
        <v>46125.0</v>
      </c>
      <c r="H5" s="26">
        <f t="shared" si="3"/>
        <v>46387</v>
      </c>
      <c r="I5" s="27" t="s">
        <v>8</v>
      </c>
      <c r="J5" s="28" t="s">
        <v>33</v>
      </c>
      <c r="K5" s="29" t="s">
        <v>34</v>
      </c>
      <c r="L5" s="30" t="s">
        <v>35</v>
      </c>
      <c r="M5" s="31" t="s">
        <v>36</v>
      </c>
      <c r="N5" s="28" t="s">
        <v>37</v>
      </c>
      <c r="O5" s="32">
        <v>9.7040275E9</v>
      </c>
      <c r="P5" s="33"/>
      <c r="Q5" s="34"/>
      <c r="R5" s="22"/>
      <c r="S5" s="22"/>
      <c r="T5" s="22"/>
      <c r="U5" s="22"/>
      <c r="V5" s="35"/>
      <c r="W5" s="22"/>
      <c r="X5" s="22"/>
      <c r="Y5" s="36" t="s">
        <v>38</v>
      </c>
      <c r="Z5" s="21"/>
      <c r="AA5" s="21"/>
    </row>
    <row r="6">
      <c r="A6" s="20" t="s">
        <v>39</v>
      </c>
      <c r="B6" s="20" t="s">
        <v>40</v>
      </c>
      <c r="C6" s="21">
        <v>1367.0</v>
      </c>
      <c r="D6" s="22" t="str">
        <f t="shared" si="1"/>
        <v>General</v>
      </c>
      <c r="E6" s="23" t="str">
        <f t="shared" si="2"/>
        <v>Active</v>
      </c>
      <c r="F6" s="24">
        <v>3.0</v>
      </c>
      <c r="G6" s="25">
        <v>45675.0</v>
      </c>
      <c r="H6" s="26">
        <f t="shared" si="3"/>
        <v>46752</v>
      </c>
      <c r="I6" s="27" t="s">
        <v>8</v>
      </c>
      <c r="J6" s="28" t="s">
        <v>41</v>
      </c>
      <c r="K6" s="29" t="s">
        <v>42</v>
      </c>
      <c r="L6" s="30" t="s">
        <v>35</v>
      </c>
      <c r="M6" s="31" t="s">
        <v>43</v>
      </c>
      <c r="N6" s="28" t="s">
        <v>44</v>
      </c>
      <c r="O6" s="32">
        <v>9.702171832E9</v>
      </c>
      <c r="P6" s="33"/>
      <c r="Q6" s="34"/>
      <c r="R6" s="22"/>
      <c r="S6" s="22"/>
      <c r="T6" s="22"/>
      <c r="U6" s="22"/>
      <c r="V6" s="35"/>
      <c r="W6" s="22"/>
      <c r="X6" s="22"/>
      <c r="Y6" s="36" t="s">
        <v>45</v>
      </c>
      <c r="Z6" s="21"/>
      <c r="AA6" s="21"/>
    </row>
    <row r="7">
      <c r="A7" s="20" t="s">
        <v>46</v>
      </c>
      <c r="B7" s="20" t="s">
        <v>47</v>
      </c>
      <c r="C7" s="21">
        <v>1366.0</v>
      </c>
      <c r="D7" s="22" t="str">
        <f t="shared" si="1"/>
        <v>Youth</v>
      </c>
      <c r="E7" s="23" t="str">
        <f t="shared" si="2"/>
        <v>Active</v>
      </c>
      <c r="F7" s="24">
        <v>3.0</v>
      </c>
      <c r="G7" s="25">
        <v>46116.0</v>
      </c>
      <c r="H7" s="26">
        <f t="shared" si="3"/>
        <v>47118</v>
      </c>
      <c r="I7" s="27" t="s">
        <v>8</v>
      </c>
      <c r="J7" s="28" t="s">
        <v>48</v>
      </c>
      <c r="K7" s="29" t="s">
        <v>49</v>
      </c>
      <c r="L7" s="30" t="s">
        <v>35</v>
      </c>
      <c r="M7" s="31" t="s">
        <v>50</v>
      </c>
      <c r="N7" s="28" t="s">
        <v>51</v>
      </c>
      <c r="O7" s="32">
        <v>7.206303119E9</v>
      </c>
      <c r="P7" s="33">
        <v>40773.0</v>
      </c>
      <c r="Q7" s="34">
        <f>datedif(P7,today(),"Y")</f>
        <v>14</v>
      </c>
      <c r="R7" s="22"/>
      <c r="S7" s="22"/>
      <c r="T7" s="22"/>
      <c r="U7" s="22"/>
      <c r="V7" s="35"/>
      <c r="W7" s="22"/>
      <c r="X7" s="22"/>
      <c r="Y7" s="36" t="s">
        <v>45</v>
      </c>
      <c r="Z7" s="21"/>
      <c r="AA7" s="21"/>
    </row>
    <row r="8">
      <c r="A8" s="20" t="s">
        <v>52</v>
      </c>
      <c r="B8" s="20" t="s">
        <v>47</v>
      </c>
      <c r="C8" s="21">
        <v>1365.0</v>
      </c>
      <c r="D8" s="22" t="str">
        <f t="shared" si="1"/>
        <v>General</v>
      </c>
      <c r="E8" s="23" t="str">
        <f t="shared" si="2"/>
        <v>Active</v>
      </c>
      <c r="F8" s="24">
        <v>3.0</v>
      </c>
      <c r="G8" s="25">
        <v>46116.0</v>
      </c>
      <c r="H8" s="26">
        <f t="shared" si="3"/>
        <v>47118</v>
      </c>
      <c r="I8" s="27" t="s">
        <v>8</v>
      </c>
      <c r="J8" s="28" t="s">
        <v>48</v>
      </c>
      <c r="K8" s="29" t="s">
        <v>49</v>
      </c>
      <c r="L8" s="30" t="s">
        <v>35</v>
      </c>
      <c r="M8" s="31" t="s">
        <v>50</v>
      </c>
      <c r="N8" s="28" t="s">
        <v>51</v>
      </c>
      <c r="O8" s="32">
        <v>7.206303119E9</v>
      </c>
      <c r="P8" s="33"/>
      <c r="Q8" s="34"/>
      <c r="R8" s="22"/>
      <c r="S8" s="22"/>
      <c r="T8" s="22"/>
      <c r="U8" s="22"/>
      <c r="V8" s="35"/>
      <c r="W8" s="22"/>
      <c r="X8" s="22"/>
      <c r="Y8" s="36" t="s">
        <v>45</v>
      </c>
      <c r="Z8" s="21"/>
      <c r="AA8" s="21"/>
    </row>
    <row r="9">
      <c r="A9" s="20" t="s">
        <v>53</v>
      </c>
      <c r="B9" s="20" t="s">
        <v>54</v>
      </c>
      <c r="C9" s="21">
        <v>1364.0</v>
      </c>
      <c r="D9" s="22" t="str">
        <f t="shared" si="1"/>
        <v>Youth</v>
      </c>
      <c r="E9" s="23" t="str">
        <f t="shared" si="2"/>
        <v>Active</v>
      </c>
      <c r="F9" s="24">
        <v>3.0</v>
      </c>
      <c r="G9" s="25">
        <v>45678.0</v>
      </c>
      <c r="H9" s="26">
        <f t="shared" si="3"/>
        <v>46752</v>
      </c>
      <c r="I9" s="27" t="s">
        <v>27</v>
      </c>
      <c r="J9" s="28" t="s">
        <v>55</v>
      </c>
      <c r="K9" s="29" t="s">
        <v>56</v>
      </c>
      <c r="L9" s="30" t="s">
        <v>57</v>
      </c>
      <c r="M9" s="31" t="s">
        <v>58</v>
      </c>
      <c r="N9" s="28" t="s">
        <v>59</v>
      </c>
      <c r="O9" s="32" t="s">
        <v>60</v>
      </c>
      <c r="P9" s="33">
        <v>42111.0</v>
      </c>
      <c r="Q9" s="34">
        <f>datedif(P9,today(),"Y")</f>
        <v>11</v>
      </c>
      <c r="R9" s="22"/>
      <c r="S9" s="22"/>
      <c r="T9" s="22"/>
      <c r="U9" s="22"/>
      <c r="V9" s="35"/>
      <c r="W9" s="22"/>
      <c r="X9" s="22"/>
      <c r="Y9" s="36" t="s">
        <v>45</v>
      </c>
      <c r="Z9" s="21"/>
      <c r="AA9" s="21"/>
    </row>
    <row r="10">
      <c r="A10" s="20"/>
      <c r="B10" s="20" t="s">
        <v>61</v>
      </c>
      <c r="C10" s="21">
        <v>1363.0</v>
      </c>
      <c r="D10" s="22" t="str">
        <f t="shared" si="1"/>
        <v>Business</v>
      </c>
      <c r="E10" s="23" t="str">
        <f t="shared" si="2"/>
        <v>Lapsed</v>
      </c>
      <c r="F10" s="24">
        <v>1.0</v>
      </c>
      <c r="G10" s="25">
        <v>45679.0</v>
      </c>
      <c r="H10" s="26">
        <f t="shared" si="3"/>
        <v>46022</v>
      </c>
      <c r="I10" s="27"/>
      <c r="J10" s="28" t="s">
        <v>62</v>
      </c>
      <c r="K10" s="29" t="s">
        <v>56</v>
      </c>
      <c r="L10" s="30" t="s">
        <v>57</v>
      </c>
      <c r="M10" s="31" t="s">
        <v>63</v>
      </c>
      <c r="N10" s="28" t="s">
        <v>64</v>
      </c>
      <c r="O10" s="32">
        <v>3.076317316E9</v>
      </c>
      <c r="P10" s="37"/>
      <c r="Q10" s="38"/>
      <c r="R10" s="22"/>
      <c r="S10" s="22"/>
      <c r="T10" s="22"/>
      <c r="U10" s="22"/>
      <c r="V10" s="35"/>
      <c r="W10" s="22"/>
      <c r="X10" s="22"/>
      <c r="Y10" s="36" t="str">
        <f t="shared" ref="Y10:Y20" si="5">if(E10="Active","send","renew")</f>
        <v>renew</v>
      </c>
      <c r="Z10" s="21" t="s">
        <v>8</v>
      </c>
      <c r="AA10" s="21"/>
    </row>
    <row r="11">
      <c r="A11" s="20" t="s">
        <v>65</v>
      </c>
      <c r="B11" s="20" t="s">
        <v>66</v>
      </c>
      <c r="C11" s="21">
        <v>1362.0</v>
      </c>
      <c r="D11" s="22" t="str">
        <f t="shared" si="1"/>
        <v>General</v>
      </c>
      <c r="E11" s="23" t="str">
        <f t="shared" si="2"/>
        <v>Lapsed</v>
      </c>
      <c r="F11" s="24">
        <v>1.0</v>
      </c>
      <c r="G11" s="25">
        <v>45933.0</v>
      </c>
      <c r="H11" s="26">
        <f t="shared" si="3"/>
        <v>46022</v>
      </c>
      <c r="I11" s="27"/>
      <c r="J11" s="28" t="s">
        <v>67</v>
      </c>
      <c r="K11" s="29" t="s">
        <v>68</v>
      </c>
      <c r="L11" s="30" t="s">
        <v>35</v>
      </c>
      <c r="M11" s="31" t="s">
        <v>69</v>
      </c>
      <c r="N11" s="39" t="s">
        <v>70</v>
      </c>
      <c r="O11" s="40" t="s">
        <v>71</v>
      </c>
      <c r="P11" s="37"/>
      <c r="Q11" s="38"/>
      <c r="R11" s="22"/>
      <c r="S11" s="22">
        <v>5.0</v>
      </c>
      <c r="T11" s="22"/>
      <c r="U11" s="22"/>
      <c r="V11" s="35"/>
      <c r="W11" s="22"/>
      <c r="X11" s="22"/>
      <c r="Y11" s="36" t="str">
        <f t="shared" si="5"/>
        <v>renew</v>
      </c>
      <c r="Z11" s="21" t="s">
        <v>72</v>
      </c>
      <c r="AA11" s="21"/>
    </row>
    <row r="12">
      <c r="A12" s="20" t="s">
        <v>73</v>
      </c>
      <c r="B12" s="20" t="s">
        <v>74</v>
      </c>
      <c r="C12" s="21">
        <v>1361.0</v>
      </c>
      <c r="D12" s="22" t="str">
        <f t="shared" si="1"/>
        <v>General</v>
      </c>
      <c r="E12" s="23" t="str">
        <f t="shared" si="2"/>
        <v>Lapsed</v>
      </c>
      <c r="F12" s="24">
        <v>1.0</v>
      </c>
      <c r="G12" s="25">
        <v>45933.0</v>
      </c>
      <c r="H12" s="26">
        <f t="shared" si="3"/>
        <v>46022</v>
      </c>
      <c r="I12" s="27"/>
      <c r="J12" s="41" t="s">
        <v>75</v>
      </c>
      <c r="K12" s="29" t="s">
        <v>76</v>
      </c>
      <c r="L12" s="30" t="s">
        <v>35</v>
      </c>
      <c r="M12" s="42" t="s">
        <v>77</v>
      </c>
      <c r="N12" s="39" t="s">
        <v>78</v>
      </c>
      <c r="O12" s="40" t="s">
        <v>79</v>
      </c>
      <c r="P12" s="37"/>
      <c r="Q12" s="38"/>
      <c r="R12" s="22"/>
      <c r="S12" s="22">
        <v>5.0</v>
      </c>
      <c r="T12" s="22"/>
      <c r="U12" s="22"/>
      <c r="V12" s="35"/>
      <c r="W12" s="22"/>
      <c r="X12" s="22"/>
      <c r="Y12" s="36" t="str">
        <f t="shared" si="5"/>
        <v>renew</v>
      </c>
      <c r="Z12" s="21" t="s">
        <v>72</v>
      </c>
      <c r="AA12" s="21"/>
    </row>
    <row r="13">
      <c r="A13" s="20" t="s">
        <v>46</v>
      </c>
      <c r="B13" s="20" t="s">
        <v>80</v>
      </c>
      <c r="C13" s="21">
        <v>1360.0</v>
      </c>
      <c r="D13" s="22" t="str">
        <f t="shared" si="1"/>
        <v>General</v>
      </c>
      <c r="E13" s="23" t="str">
        <f t="shared" si="2"/>
        <v>Lapsed</v>
      </c>
      <c r="F13" s="24">
        <v>1.0</v>
      </c>
      <c r="G13" s="25">
        <v>45933.0</v>
      </c>
      <c r="H13" s="26">
        <f t="shared" si="3"/>
        <v>46022</v>
      </c>
      <c r="I13" s="27"/>
      <c r="J13" s="41" t="s">
        <v>81</v>
      </c>
      <c r="K13" s="29" t="s">
        <v>82</v>
      </c>
      <c r="L13" s="30" t="s">
        <v>57</v>
      </c>
      <c r="M13" s="42" t="s">
        <v>83</v>
      </c>
      <c r="N13" s="39" t="s">
        <v>84</v>
      </c>
      <c r="O13" s="40" t="s">
        <v>85</v>
      </c>
      <c r="P13" s="37"/>
      <c r="Q13" s="38"/>
      <c r="R13" s="22"/>
      <c r="S13" s="22">
        <v>5.0</v>
      </c>
      <c r="T13" s="22"/>
      <c r="U13" s="22"/>
      <c r="V13" s="35"/>
      <c r="W13" s="22"/>
      <c r="X13" s="22"/>
      <c r="Y13" s="36" t="str">
        <f t="shared" si="5"/>
        <v>renew</v>
      </c>
      <c r="Z13" s="21" t="s">
        <v>72</v>
      </c>
      <c r="AA13" s="21"/>
    </row>
    <row r="14">
      <c r="A14" s="20" t="s">
        <v>86</v>
      </c>
      <c r="B14" s="20" t="s">
        <v>87</v>
      </c>
      <c r="C14" s="21">
        <v>1359.0</v>
      </c>
      <c r="D14" s="22" t="str">
        <f t="shared" si="1"/>
        <v>General</v>
      </c>
      <c r="E14" s="23" t="str">
        <f t="shared" si="2"/>
        <v>Lapsed</v>
      </c>
      <c r="F14" s="24">
        <v>1.0</v>
      </c>
      <c r="G14" s="25">
        <v>45933.0</v>
      </c>
      <c r="H14" s="26">
        <f t="shared" si="3"/>
        <v>46022</v>
      </c>
      <c r="I14" s="27"/>
      <c r="J14" s="41" t="s">
        <v>88</v>
      </c>
      <c r="K14" s="29" t="s">
        <v>89</v>
      </c>
      <c r="L14" s="30" t="s">
        <v>35</v>
      </c>
      <c r="M14" s="42" t="s">
        <v>90</v>
      </c>
      <c r="N14" s="39"/>
      <c r="O14" s="40" t="s">
        <v>85</v>
      </c>
      <c r="P14" s="37"/>
      <c r="Q14" s="38"/>
      <c r="R14" s="22"/>
      <c r="S14" s="22">
        <v>5.0</v>
      </c>
      <c r="T14" s="22"/>
      <c r="U14" s="22"/>
      <c r="V14" s="35"/>
      <c r="W14" s="22"/>
      <c r="X14" s="22"/>
      <c r="Y14" s="36" t="str">
        <f t="shared" si="5"/>
        <v>renew</v>
      </c>
      <c r="Z14" s="21" t="s">
        <v>72</v>
      </c>
      <c r="AA14" s="21"/>
    </row>
    <row r="15">
      <c r="A15" s="20" t="s">
        <v>91</v>
      </c>
      <c r="B15" s="20" t="s">
        <v>92</v>
      </c>
      <c r="C15" s="21">
        <v>1358.0</v>
      </c>
      <c r="D15" s="22" t="str">
        <f t="shared" si="1"/>
        <v>General</v>
      </c>
      <c r="E15" s="23" t="str">
        <f t="shared" si="2"/>
        <v>Lapsed</v>
      </c>
      <c r="F15" s="24">
        <v>1.0</v>
      </c>
      <c r="G15" s="25">
        <v>45933.0</v>
      </c>
      <c r="H15" s="26">
        <f t="shared" si="3"/>
        <v>46022</v>
      </c>
      <c r="I15" s="27"/>
      <c r="J15" s="41" t="s">
        <v>93</v>
      </c>
      <c r="K15" s="29" t="s">
        <v>89</v>
      </c>
      <c r="L15" s="30" t="s">
        <v>35</v>
      </c>
      <c r="M15" s="42" t="s">
        <v>90</v>
      </c>
      <c r="N15" s="39" t="s">
        <v>94</v>
      </c>
      <c r="O15" s="40" t="s">
        <v>95</v>
      </c>
      <c r="P15" s="37"/>
      <c r="Q15" s="38"/>
      <c r="R15" s="22"/>
      <c r="S15" s="22">
        <v>5.0</v>
      </c>
      <c r="T15" s="22"/>
      <c r="U15" s="22"/>
      <c r="V15" s="35"/>
      <c r="W15" s="22"/>
      <c r="X15" s="22"/>
      <c r="Y15" s="36" t="str">
        <f t="shared" si="5"/>
        <v>renew</v>
      </c>
      <c r="Z15" s="21" t="s">
        <v>72</v>
      </c>
      <c r="AA15" s="21"/>
    </row>
    <row r="16">
      <c r="A16" s="20" t="s">
        <v>96</v>
      </c>
      <c r="B16" s="20" t="s">
        <v>97</v>
      </c>
      <c r="C16" s="21">
        <v>1357.0</v>
      </c>
      <c r="D16" s="22" t="str">
        <f t="shared" si="1"/>
        <v>General</v>
      </c>
      <c r="E16" s="23" t="str">
        <f t="shared" si="2"/>
        <v>Lapsed</v>
      </c>
      <c r="F16" s="24">
        <v>1.0</v>
      </c>
      <c r="G16" s="25">
        <v>45933.0</v>
      </c>
      <c r="H16" s="26">
        <f t="shared" si="3"/>
        <v>46022</v>
      </c>
      <c r="I16" s="27"/>
      <c r="J16" s="41" t="s">
        <v>98</v>
      </c>
      <c r="K16" s="29" t="s">
        <v>42</v>
      </c>
      <c r="L16" s="30" t="s">
        <v>35</v>
      </c>
      <c r="M16" s="42" t="s">
        <v>99</v>
      </c>
      <c r="N16" s="39" t="s">
        <v>100</v>
      </c>
      <c r="O16" s="40" t="s">
        <v>101</v>
      </c>
      <c r="P16" s="37"/>
      <c r="Q16" s="38"/>
      <c r="R16" s="22"/>
      <c r="S16" s="22">
        <v>5.0</v>
      </c>
      <c r="T16" s="22"/>
      <c r="U16" s="22"/>
      <c r="V16" s="35"/>
      <c r="W16" s="22"/>
      <c r="X16" s="22"/>
      <c r="Y16" s="36" t="str">
        <f t="shared" si="5"/>
        <v>renew</v>
      </c>
      <c r="Z16" s="21" t="s">
        <v>72</v>
      </c>
      <c r="AA16" s="21"/>
    </row>
    <row r="17">
      <c r="A17" s="20" t="s">
        <v>102</v>
      </c>
      <c r="B17" s="20" t="s">
        <v>103</v>
      </c>
      <c r="C17" s="21">
        <v>1356.0</v>
      </c>
      <c r="D17" s="22" t="str">
        <f t="shared" si="1"/>
        <v>General</v>
      </c>
      <c r="E17" s="23" t="str">
        <f t="shared" si="2"/>
        <v>Lapsed</v>
      </c>
      <c r="F17" s="24">
        <v>1.0</v>
      </c>
      <c r="G17" s="25">
        <v>45921.0</v>
      </c>
      <c r="H17" s="26">
        <f t="shared" si="3"/>
        <v>46022</v>
      </c>
      <c r="I17" s="27"/>
      <c r="J17" s="41" t="s">
        <v>104</v>
      </c>
      <c r="K17" s="29" t="s">
        <v>105</v>
      </c>
      <c r="L17" s="30" t="s">
        <v>35</v>
      </c>
      <c r="M17" s="42" t="s">
        <v>106</v>
      </c>
      <c r="N17" s="39" t="s">
        <v>107</v>
      </c>
      <c r="O17" s="40" t="s">
        <v>108</v>
      </c>
      <c r="P17" s="37"/>
      <c r="Q17" s="38"/>
      <c r="R17" s="22"/>
      <c r="S17" s="22">
        <v>5.0</v>
      </c>
      <c r="T17" s="22"/>
      <c r="U17" s="22"/>
      <c r="V17" s="35"/>
      <c r="W17" s="22"/>
      <c r="X17" s="22"/>
      <c r="Y17" s="36" t="str">
        <f t="shared" si="5"/>
        <v>renew</v>
      </c>
      <c r="Z17" s="21" t="s">
        <v>72</v>
      </c>
      <c r="AA17" s="21"/>
    </row>
    <row r="18">
      <c r="A18" s="20" t="s">
        <v>109</v>
      </c>
      <c r="B18" s="20" t="s">
        <v>110</v>
      </c>
      <c r="C18" s="21">
        <v>1355.0</v>
      </c>
      <c r="D18" s="22" t="str">
        <f t="shared" si="1"/>
        <v>General</v>
      </c>
      <c r="E18" s="23" t="str">
        <f t="shared" si="2"/>
        <v>Lapsed</v>
      </c>
      <c r="F18" s="24">
        <v>1.0</v>
      </c>
      <c r="G18" s="25">
        <v>45921.0</v>
      </c>
      <c r="H18" s="26">
        <f t="shared" si="3"/>
        <v>46022</v>
      </c>
      <c r="I18" s="27"/>
      <c r="J18" s="41" t="s">
        <v>111</v>
      </c>
      <c r="K18" s="29" t="s">
        <v>112</v>
      </c>
      <c r="L18" s="30" t="s">
        <v>35</v>
      </c>
      <c r="M18" s="42" t="s">
        <v>113</v>
      </c>
      <c r="N18" s="39" t="s">
        <v>114</v>
      </c>
      <c r="O18" s="40" t="s">
        <v>115</v>
      </c>
      <c r="P18" s="37"/>
      <c r="Q18" s="38"/>
      <c r="R18" s="22"/>
      <c r="S18" s="22">
        <v>5.0</v>
      </c>
      <c r="T18" s="22"/>
      <c r="U18" s="22"/>
      <c r="V18" s="35"/>
      <c r="W18" s="22"/>
      <c r="X18" s="22"/>
      <c r="Y18" s="36" t="str">
        <f t="shared" si="5"/>
        <v>renew</v>
      </c>
      <c r="Z18" s="21" t="s">
        <v>72</v>
      </c>
      <c r="AA18" s="21"/>
    </row>
    <row r="19">
      <c r="A19" s="20" t="s">
        <v>116</v>
      </c>
      <c r="B19" s="20" t="s">
        <v>117</v>
      </c>
      <c r="C19" s="21">
        <v>1354.0</v>
      </c>
      <c r="D19" s="22" t="str">
        <f t="shared" si="1"/>
        <v>General</v>
      </c>
      <c r="E19" s="23" t="str">
        <f t="shared" si="2"/>
        <v>Lapsed</v>
      </c>
      <c r="F19" s="24">
        <v>1.0</v>
      </c>
      <c r="G19" s="25">
        <v>45921.0</v>
      </c>
      <c r="H19" s="26">
        <f t="shared" si="3"/>
        <v>46022</v>
      </c>
      <c r="I19" s="27"/>
      <c r="J19" s="41" t="s">
        <v>118</v>
      </c>
      <c r="K19" s="29" t="s">
        <v>119</v>
      </c>
      <c r="L19" s="30" t="s">
        <v>35</v>
      </c>
      <c r="M19" s="42" t="s">
        <v>120</v>
      </c>
      <c r="N19" s="39" t="s">
        <v>121</v>
      </c>
      <c r="O19" s="40" t="s">
        <v>122</v>
      </c>
      <c r="P19" s="37"/>
      <c r="Q19" s="38"/>
      <c r="R19" s="22"/>
      <c r="S19" s="22">
        <v>5.0</v>
      </c>
      <c r="T19" s="22"/>
      <c r="U19" s="22"/>
      <c r="V19" s="35"/>
      <c r="W19" s="22"/>
      <c r="X19" s="22"/>
      <c r="Y19" s="36" t="str">
        <f t="shared" si="5"/>
        <v>renew</v>
      </c>
      <c r="Z19" s="21" t="s">
        <v>72</v>
      </c>
      <c r="AA19" s="21"/>
    </row>
    <row r="20">
      <c r="A20" s="20" t="s">
        <v>123</v>
      </c>
      <c r="B20" s="20" t="s">
        <v>124</v>
      </c>
      <c r="C20" s="21">
        <v>1353.0</v>
      </c>
      <c r="D20" s="22" t="str">
        <f t="shared" si="1"/>
        <v>General</v>
      </c>
      <c r="E20" s="23" t="str">
        <f t="shared" si="2"/>
        <v>Lapsed</v>
      </c>
      <c r="F20" s="24">
        <v>1.0</v>
      </c>
      <c r="G20" s="25">
        <v>45921.0</v>
      </c>
      <c r="H20" s="26">
        <f t="shared" si="3"/>
        <v>46022</v>
      </c>
      <c r="I20" s="27"/>
      <c r="J20" s="41" t="s">
        <v>125</v>
      </c>
      <c r="K20" s="29" t="s">
        <v>105</v>
      </c>
      <c r="L20" s="30" t="s">
        <v>35</v>
      </c>
      <c r="M20" s="42" t="s">
        <v>106</v>
      </c>
      <c r="N20" s="39" t="s">
        <v>126</v>
      </c>
      <c r="O20" s="40" t="s">
        <v>127</v>
      </c>
      <c r="P20" s="37"/>
      <c r="Q20" s="38"/>
      <c r="R20" s="22"/>
      <c r="S20" s="22">
        <v>5.0</v>
      </c>
      <c r="T20" s="22"/>
      <c r="U20" s="22"/>
      <c r="V20" s="35"/>
      <c r="W20" s="22"/>
      <c r="X20" s="22"/>
      <c r="Y20" s="36" t="str">
        <f t="shared" si="5"/>
        <v>renew</v>
      </c>
      <c r="Z20" s="21" t="s">
        <v>72</v>
      </c>
      <c r="AA20" s="21"/>
    </row>
    <row r="21">
      <c r="A21" s="20" t="s">
        <v>128</v>
      </c>
      <c r="B21" s="20" t="s">
        <v>129</v>
      </c>
      <c r="C21" s="21">
        <v>1352.0</v>
      </c>
      <c r="D21" s="22" t="str">
        <f t="shared" si="1"/>
        <v>General</v>
      </c>
      <c r="E21" s="23" t="str">
        <f t="shared" si="2"/>
        <v>Active</v>
      </c>
      <c r="F21" s="24">
        <v>3.0</v>
      </c>
      <c r="G21" s="25">
        <v>45931.0</v>
      </c>
      <c r="H21" s="26">
        <f t="shared" si="3"/>
        <v>46752</v>
      </c>
      <c r="I21" s="27" t="s">
        <v>8</v>
      </c>
      <c r="J21" s="41" t="s">
        <v>130</v>
      </c>
      <c r="K21" s="29" t="s">
        <v>42</v>
      </c>
      <c r="L21" s="30" t="s">
        <v>35</v>
      </c>
      <c r="M21" s="42" t="s">
        <v>131</v>
      </c>
      <c r="N21" s="39" t="s">
        <v>132</v>
      </c>
      <c r="O21" s="40">
        <v>8.057940801E9</v>
      </c>
      <c r="P21" s="37"/>
      <c r="Q21" s="38"/>
      <c r="R21" s="22"/>
      <c r="S21" s="22">
        <v>5.0</v>
      </c>
      <c r="T21" s="22"/>
      <c r="U21" s="22"/>
      <c r="V21" s="35"/>
      <c r="W21" s="22"/>
      <c r="X21" s="22"/>
      <c r="Y21" s="36" t="s">
        <v>45</v>
      </c>
      <c r="Z21" s="21" t="s">
        <v>8</v>
      </c>
      <c r="AA21" s="21"/>
    </row>
    <row r="22">
      <c r="A22" s="20" t="s">
        <v>133</v>
      </c>
      <c r="B22" s="20" t="s">
        <v>134</v>
      </c>
      <c r="C22" s="21">
        <v>1351.0</v>
      </c>
      <c r="D22" s="22" t="str">
        <f t="shared" si="1"/>
        <v>Youth</v>
      </c>
      <c r="E22" s="23" t="str">
        <f t="shared" si="2"/>
        <v>Lapsed</v>
      </c>
      <c r="F22" s="24">
        <v>1.0</v>
      </c>
      <c r="G22" s="25">
        <v>45931.0</v>
      </c>
      <c r="H22" s="26">
        <f t="shared" si="3"/>
        <v>46022</v>
      </c>
      <c r="I22" s="27"/>
      <c r="J22" s="41" t="s">
        <v>135</v>
      </c>
      <c r="K22" s="29" t="s">
        <v>136</v>
      </c>
      <c r="L22" s="30" t="s">
        <v>35</v>
      </c>
      <c r="M22" s="42" t="s">
        <v>137</v>
      </c>
      <c r="N22" s="39" t="s">
        <v>138</v>
      </c>
      <c r="O22" s="40">
        <v>5.177407777E9</v>
      </c>
      <c r="P22" s="43">
        <v>39699.0</v>
      </c>
      <c r="Q22" s="34">
        <f>datedif(P22,today(),"Y")</f>
        <v>17</v>
      </c>
      <c r="R22" s="22"/>
      <c r="S22" s="22">
        <v>5.0</v>
      </c>
      <c r="T22" s="22"/>
      <c r="U22" s="22"/>
      <c r="V22" s="35"/>
      <c r="W22" s="22"/>
      <c r="X22" s="22"/>
      <c r="Y22" s="36" t="str">
        <f t="shared" ref="Y22:Y24" si="6">if(E22="Active","send","renew")</f>
        <v>renew</v>
      </c>
      <c r="Z22" s="21" t="s">
        <v>8</v>
      </c>
      <c r="AA22" s="21"/>
    </row>
    <row r="23">
      <c r="A23" s="20" t="s">
        <v>139</v>
      </c>
      <c r="B23" s="20" t="s">
        <v>140</v>
      </c>
      <c r="C23" s="21">
        <v>1350.0</v>
      </c>
      <c r="D23" s="22" t="str">
        <f t="shared" si="1"/>
        <v>General</v>
      </c>
      <c r="E23" s="23" t="str">
        <f t="shared" si="2"/>
        <v>Lapsed</v>
      </c>
      <c r="F23" s="24">
        <v>1.0</v>
      </c>
      <c r="G23" s="44">
        <v>45925.0</v>
      </c>
      <c r="H23" s="26">
        <f t="shared" si="3"/>
        <v>46022</v>
      </c>
      <c r="I23" s="27"/>
      <c r="J23" s="29" t="s">
        <v>141</v>
      </c>
      <c r="K23" s="29" t="s">
        <v>142</v>
      </c>
      <c r="L23" s="30" t="s">
        <v>143</v>
      </c>
      <c r="M23" s="42" t="s">
        <v>144</v>
      </c>
      <c r="N23" s="41" t="s">
        <v>145</v>
      </c>
      <c r="O23" s="40">
        <v>3.038175014E9</v>
      </c>
      <c r="P23" s="37"/>
      <c r="Q23" s="38"/>
      <c r="R23" s="22"/>
      <c r="S23" s="22">
        <v>5.0</v>
      </c>
      <c r="T23" s="22"/>
      <c r="U23" s="22"/>
      <c r="V23" s="35"/>
      <c r="W23" s="22"/>
      <c r="X23" s="22"/>
      <c r="Y23" s="36" t="str">
        <f t="shared" si="6"/>
        <v>renew</v>
      </c>
      <c r="Z23" s="21" t="s">
        <v>8</v>
      </c>
      <c r="AA23" s="21"/>
    </row>
    <row r="24">
      <c r="A24" s="20" t="s">
        <v>73</v>
      </c>
      <c r="B24" s="20" t="s">
        <v>146</v>
      </c>
      <c r="C24" s="21">
        <v>1349.0</v>
      </c>
      <c r="D24" s="22" t="str">
        <f t="shared" si="1"/>
        <v>General</v>
      </c>
      <c r="E24" s="23" t="str">
        <f t="shared" si="2"/>
        <v>Lapsed</v>
      </c>
      <c r="F24" s="24">
        <v>1.0</v>
      </c>
      <c r="G24" s="25">
        <v>45923.0</v>
      </c>
      <c r="H24" s="26">
        <f t="shared" si="3"/>
        <v>46022</v>
      </c>
      <c r="I24" s="27"/>
      <c r="J24" s="41" t="s">
        <v>75</v>
      </c>
      <c r="K24" s="29" t="s">
        <v>76</v>
      </c>
      <c r="L24" s="30" t="s">
        <v>35</v>
      </c>
      <c r="M24" s="42" t="s">
        <v>77</v>
      </c>
      <c r="N24" s="39" t="s">
        <v>78</v>
      </c>
      <c r="O24" s="40">
        <v>7.192219858E9</v>
      </c>
      <c r="P24" s="37"/>
      <c r="Q24" s="38"/>
      <c r="R24" s="22"/>
      <c r="S24" s="22">
        <v>4.0</v>
      </c>
      <c r="T24" s="22"/>
      <c r="U24" s="22"/>
      <c r="V24" s="35"/>
      <c r="W24" s="22"/>
      <c r="X24" s="22"/>
      <c r="Y24" s="36" t="str">
        <f t="shared" si="6"/>
        <v>renew</v>
      </c>
      <c r="Z24" s="21" t="s">
        <v>8</v>
      </c>
      <c r="AA24" s="21"/>
    </row>
    <row r="25" ht="20.25" customHeight="1">
      <c r="A25" s="20" t="s">
        <v>147</v>
      </c>
      <c r="B25" s="20" t="s">
        <v>148</v>
      </c>
      <c r="C25" s="21">
        <v>1348.0</v>
      </c>
      <c r="D25" s="22" t="str">
        <f t="shared" si="1"/>
        <v>General</v>
      </c>
      <c r="E25" s="23" t="str">
        <f t="shared" si="2"/>
        <v>Active</v>
      </c>
      <c r="F25" s="24">
        <v>3.0</v>
      </c>
      <c r="G25" s="25">
        <v>45911.0</v>
      </c>
      <c r="H25" s="26">
        <f t="shared" si="3"/>
        <v>46752</v>
      </c>
      <c r="I25" s="27" t="s">
        <v>8</v>
      </c>
      <c r="J25" s="41" t="s">
        <v>149</v>
      </c>
      <c r="K25" s="41" t="s">
        <v>150</v>
      </c>
      <c r="L25" s="30" t="s">
        <v>35</v>
      </c>
      <c r="M25" s="45" t="s">
        <v>151</v>
      </c>
      <c r="N25" s="46" t="s">
        <v>152</v>
      </c>
      <c r="O25" s="47" t="s">
        <v>153</v>
      </c>
      <c r="P25" s="48"/>
      <c r="Q25" s="34"/>
      <c r="R25" s="22"/>
      <c r="S25" s="22">
        <v>5.0</v>
      </c>
      <c r="T25" s="22"/>
      <c r="U25" s="22"/>
      <c r="V25" s="35"/>
      <c r="W25" s="22"/>
      <c r="X25" s="22"/>
      <c r="Y25" s="36" t="s">
        <v>45</v>
      </c>
      <c r="Z25" s="21" t="s">
        <v>8</v>
      </c>
      <c r="AA25" s="21"/>
    </row>
    <row r="26" ht="20.25" customHeight="1">
      <c r="A26" s="20" t="s">
        <v>154</v>
      </c>
      <c r="B26" s="20" t="s">
        <v>155</v>
      </c>
      <c r="C26" s="21">
        <v>1347.0</v>
      </c>
      <c r="D26" s="22" t="str">
        <f t="shared" si="1"/>
        <v>General</v>
      </c>
      <c r="E26" s="23" t="str">
        <f t="shared" si="2"/>
        <v>Lapsed</v>
      </c>
      <c r="F26" s="24">
        <v>1.0</v>
      </c>
      <c r="G26" s="25">
        <v>45878.0</v>
      </c>
      <c r="H26" s="26">
        <f t="shared" si="3"/>
        <v>46022</v>
      </c>
      <c r="I26" s="27"/>
      <c r="J26" s="41" t="s">
        <v>156</v>
      </c>
      <c r="K26" s="41" t="s">
        <v>157</v>
      </c>
      <c r="L26" s="30" t="s">
        <v>35</v>
      </c>
      <c r="M26" s="45" t="s">
        <v>158</v>
      </c>
      <c r="N26" s="46" t="s">
        <v>159</v>
      </c>
      <c r="O26" s="47" t="s">
        <v>160</v>
      </c>
      <c r="P26" s="48"/>
      <c r="Q26" s="34"/>
      <c r="R26" s="22"/>
      <c r="S26" s="22">
        <v>4.0</v>
      </c>
      <c r="T26" s="22"/>
      <c r="U26" s="22"/>
      <c r="V26" s="35"/>
      <c r="W26" s="22"/>
      <c r="X26" s="22"/>
      <c r="Y26" s="36" t="str">
        <f t="shared" ref="Y26:Y68" si="7">if(E26="Active","send","renew")</f>
        <v>renew</v>
      </c>
      <c r="Z26" s="21" t="s">
        <v>27</v>
      </c>
      <c r="AA26" s="21"/>
    </row>
    <row r="27" ht="20.25" customHeight="1">
      <c r="A27" s="20" t="s">
        <v>161</v>
      </c>
      <c r="B27" s="20" t="s">
        <v>162</v>
      </c>
      <c r="C27" s="21">
        <v>1346.0</v>
      </c>
      <c r="D27" s="22" t="str">
        <f t="shared" si="1"/>
        <v>General</v>
      </c>
      <c r="E27" s="23" t="str">
        <f t="shared" si="2"/>
        <v>Lapsed</v>
      </c>
      <c r="F27" s="24">
        <v>1.0</v>
      </c>
      <c r="G27" s="25">
        <v>45878.0</v>
      </c>
      <c r="H27" s="26">
        <f t="shared" si="3"/>
        <v>46022</v>
      </c>
      <c r="I27" s="27"/>
      <c r="J27" s="41" t="s">
        <v>163</v>
      </c>
      <c r="K27" s="41" t="s">
        <v>164</v>
      </c>
      <c r="L27" s="30" t="s">
        <v>35</v>
      </c>
      <c r="M27" s="45" t="s">
        <v>165</v>
      </c>
      <c r="N27" s="46" t="s">
        <v>166</v>
      </c>
      <c r="O27" s="47" t="s">
        <v>167</v>
      </c>
      <c r="P27" s="48"/>
      <c r="Q27" s="34"/>
      <c r="R27" s="22"/>
      <c r="S27" s="22">
        <v>4.0</v>
      </c>
      <c r="T27" s="22"/>
      <c r="U27" s="22"/>
      <c r="V27" s="35"/>
      <c r="W27" s="22"/>
      <c r="X27" s="22"/>
      <c r="Y27" s="36" t="str">
        <f t="shared" si="7"/>
        <v>renew</v>
      </c>
      <c r="Z27" s="21" t="s">
        <v>27</v>
      </c>
      <c r="AA27" s="21"/>
    </row>
    <row r="28" ht="20.25" customHeight="1">
      <c r="A28" s="20" t="s">
        <v>168</v>
      </c>
      <c r="B28" s="20" t="s">
        <v>169</v>
      </c>
      <c r="C28" s="21">
        <v>1345.0</v>
      </c>
      <c r="D28" s="22" t="str">
        <f t="shared" si="1"/>
        <v>General</v>
      </c>
      <c r="E28" s="23" t="str">
        <f t="shared" si="2"/>
        <v>Lapsed</v>
      </c>
      <c r="F28" s="24">
        <v>1.0</v>
      </c>
      <c r="G28" s="25">
        <v>45878.0</v>
      </c>
      <c r="H28" s="26">
        <f t="shared" si="3"/>
        <v>46022</v>
      </c>
      <c r="I28" s="27"/>
      <c r="J28" s="41" t="s">
        <v>170</v>
      </c>
      <c r="K28" s="41" t="s">
        <v>171</v>
      </c>
      <c r="L28" s="30" t="s">
        <v>35</v>
      </c>
      <c r="M28" s="45" t="s">
        <v>172</v>
      </c>
      <c r="N28" s="46" t="s">
        <v>173</v>
      </c>
      <c r="O28" s="47" t="s">
        <v>174</v>
      </c>
      <c r="P28" s="48"/>
      <c r="Q28" s="34"/>
      <c r="R28" s="22"/>
      <c r="S28" s="22">
        <v>4.0</v>
      </c>
      <c r="T28" s="22"/>
      <c r="U28" s="22"/>
      <c r="V28" s="35"/>
      <c r="W28" s="22"/>
      <c r="X28" s="22"/>
      <c r="Y28" s="36" t="str">
        <f t="shared" si="7"/>
        <v>renew</v>
      </c>
      <c r="Z28" s="21" t="s">
        <v>27</v>
      </c>
      <c r="AA28" s="21"/>
    </row>
    <row r="29" ht="20.25" customHeight="1">
      <c r="A29" s="20" t="s">
        <v>175</v>
      </c>
      <c r="B29" s="20" t="s">
        <v>176</v>
      </c>
      <c r="C29" s="21">
        <v>1344.0</v>
      </c>
      <c r="D29" s="22" t="str">
        <f t="shared" si="1"/>
        <v>General</v>
      </c>
      <c r="E29" s="23" t="str">
        <f t="shared" si="2"/>
        <v>Lapsed</v>
      </c>
      <c r="F29" s="24">
        <v>1.0</v>
      </c>
      <c r="G29" s="25">
        <v>45878.0</v>
      </c>
      <c r="H29" s="26">
        <f t="shared" si="3"/>
        <v>46022</v>
      </c>
      <c r="I29" s="27"/>
      <c r="J29" s="41" t="s">
        <v>177</v>
      </c>
      <c r="K29" s="41" t="s">
        <v>178</v>
      </c>
      <c r="L29" s="30" t="s">
        <v>35</v>
      </c>
      <c r="M29" s="45" t="s">
        <v>179</v>
      </c>
      <c r="N29" s="46" t="s">
        <v>180</v>
      </c>
      <c r="O29" s="47" t="s">
        <v>181</v>
      </c>
      <c r="P29" s="48"/>
      <c r="Q29" s="34"/>
      <c r="R29" s="22"/>
      <c r="S29" s="22">
        <v>4.0</v>
      </c>
      <c r="T29" s="22"/>
      <c r="U29" s="22"/>
      <c r="V29" s="35"/>
      <c r="W29" s="22"/>
      <c r="X29" s="22"/>
      <c r="Y29" s="36" t="str">
        <f t="shared" si="7"/>
        <v>renew</v>
      </c>
      <c r="Z29" s="21" t="s">
        <v>27</v>
      </c>
      <c r="AA29" s="21"/>
    </row>
    <row r="30" ht="20.25" customHeight="1">
      <c r="A30" s="20" t="s">
        <v>182</v>
      </c>
      <c r="B30" s="20" t="s">
        <v>183</v>
      </c>
      <c r="C30" s="21">
        <v>1343.0</v>
      </c>
      <c r="D30" s="22" t="str">
        <f t="shared" si="1"/>
        <v>General</v>
      </c>
      <c r="E30" s="23" t="str">
        <f t="shared" si="2"/>
        <v>Lapsed</v>
      </c>
      <c r="F30" s="24">
        <v>1.0</v>
      </c>
      <c r="G30" s="25">
        <v>45878.0</v>
      </c>
      <c r="H30" s="26">
        <f t="shared" si="3"/>
        <v>46022</v>
      </c>
      <c r="I30" s="27"/>
      <c r="J30" s="41" t="s">
        <v>184</v>
      </c>
      <c r="K30" s="41" t="s">
        <v>157</v>
      </c>
      <c r="L30" s="30" t="s">
        <v>35</v>
      </c>
      <c r="M30" s="45" t="s">
        <v>158</v>
      </c>
      <c r="N30" s="46"/>
      <c r="O30" s="47" t="s">
        <v>185</v>
      </c>
      <c r="P30" s="48"/>
      <c r="Q30" s="34"/>
      <c r="R30" s="22"/>
      <c r="S30" s="22">
        <v>4.0</v>
      </c>
      <c r="T30" s="22"/>
      <c r="U30" s="22"/>
      <c r="V30" s="35"/>
      <c r="W30" s="22"/>
      <c r="X30" s="22"/>
      <c r="Y30" s="36" t="str">
        <f t="shared" si="7"/>
        <v>renew</v>
      </c>
      <c r="Z30" s="21" t="s">
        <v>27</v>
      </c>
      <c r="AA30" s="21"/>
    </row>
    <row r="31" ht="20.25" customHeight="1">
      <c r="A31" s="20" t="s">
        <v>186</v>
      </c>
      <c r="B31" s="20" t="s">
        <v>32</v>
      </c>
      <c r="C31" s="21">
        <v>1342.0</v>
      </c>
      <c r="D31" s="22" t="str">
        <f t="shared" si="1"/>
        <v>General</v>
      </c>
      <c r="E31" s="23" t="str">
        <f t="shared" si="2"/>
        <v>Lapsed</v>
      </c>
      <c r="F31" s="24">
        <v>1.0</v>
      </c>
      <c r="G31" s="25">
        <v>45878.0</v>
      </c>
      <c r="H31" s="26">
        <f t="shared" si="3"/>
        <v>46022</v>
      </c>
      <c r="I31" s="27"/>
      <c r="J31" s="41" t="s">
        <v>187</v>
      </c>
      <c r="K31" s="41" t="s">
        <v>136</v>
      </c>
      <c r="L31" s="30" t="s">
        <v>35</v>
      </c>
      <c r="M31" s="45" t="s">
        <v>179</v>
      </c>
      <c r="N31" s="46"/>
      <c r="O31" s="47"/>
      <c r="P31" s="48"/>
      <c r="Q31" s="34"/>
      <c r="R31" s="22"/>
      <c r="S31" s="22">
        <v>4.0</v>
      </c>
      <c r="T31" s="22"/>
      <c r="U31" s="22"/>
      <c r="V31" s="35"/>
      <c r="W31" s="22"/>
      <c r="X31" s="22"/>
      <c r="Y31" s="36" t="str">
        <f t="shared" si="7"/>
        <v>renew</v>
      </c>
      <c r="Z31" s="21" t="s">
        <v>27</v>
      </c>
      <c r="AA31" s="21"/>
    </row>
    <row r="32" ht="20.25" customHeight="1">
      <c r="A32" s="20" t="s">
        <v>188</v>
      </c>
      <c r="B32" s="20" t="s">
        <v>32</v>
      </c>
      <c r="C32" s="21">
        <v>1341.0</v>
      </c>
      <c r="D32" s="22" t="str">
        <f t="shared" si="1"/>
        <v>General</v>
      </c>
      <c r="E32" s="23" t="str">
        <f t="shared" si="2"/>
        <v>Lapsed</v>
      </c>
      <c r="F32" s="24">
        <v>1.0</v>
      </c>
      <c r="G32" s="25">
        <v>45878.0</v>
      </c>
      <c r="H32" s="26">
        <f t="shared" si="3"/>
        <v>46022</v>
      </c>
      <c r="I32" s="27"/>
      <c r="J32" s="41" t="s">
        <v>189</v>
      </c>
      <c r="K32" s="41" t="s">
        <v>190</v>
      </c>
      <c r="L32" s="30" t="s">
        <v>35</v>
      </c>
      <c r="M32" s="45" t="s">
        <v>191</v>
      </c>
      <c r="N32" s="46" t="s">
        <v>192</v>
      </c>
      <c r="O32" s="47" t="s">
        <v>193</v>
      </c>
      <c r="P32" s="48"/>
      <c r="Q32" s="34"/>
      <c r="R32" s="22"/>
      <c r="S32" s="22">
        <v>4.0</v>
      </c>
      <c r="T32" s="22"/>
      <c r="U32" s="22"/>
      <c r="V32" s="35"/>
      <c r="W32" s="22"/>
      <c r="X32" s="22"/>
      <c r="Y32" s="36" t="str">
        <f t="shared" si="7"/>
        <v>renew</v>
      </c>
      <c r="Z32" s="21" t="s">
        <v>27</v>
      </c>
      <c r="AA32" s="21"/>
    </row>
    <row r="33" ht="20.25" customHeight="1">
      <c r="A33" s="20" t="s">
        <v>194</v>
      </c>
      <c r="B33" s="20" t="s">
        <v>195</v>
      </c>
      <c r="C33" s="21">
        <v>1340.0</v>
      </c>
      <c r="D33" s="22" t="str">
        <f t="shared" si="1"/>
        <v>General</v>
      </c>
      <c r="E33" s="23" t="str">
        <f t="shared" si="2"/>
        <v>Lapsed</v>
      </c>
      <c r="F33" s="24">
        <v>1.0</v>
      </c>
      <c r="G33" s="25">
        <v>45878.0</v>
      </c>
      <c r="H33" s="26">
        <f t="shared" si="3"/>
        <v>46022</v>
      </c>
      <c r="I33" s="27"/>
      <c r="J33" s="41" t="s">
        <v>196</v>
      </c>
      <c r="K33" s="41" t="s">
        <v>197</v>
      </c>
      <c r="L33" s="30" t="s">
        <v>35</v>
      </c>
      <c r="M33" s="45" t="s">
        <v>198</v>
      </c>
      <c r="N33" s="46" t="s">
        <v>199</v>
      </c>
      <c r="O33" s="47" t="s">
        <v>200</v>
      </c>
      <c r="P33" s="48"/>
      <c r="Q33" s="34"/>
      <c r="R33" s="22"/>
      <c r="S33" s="22">
        <v>4.0</v>
      </c>
      <c r="T33" s="22"/>
      <c r="U33" s="22"/>
      <c r="V33" s="35"/>
      <c r="W33" s="22"/>
      <c r="X33" s="22"/>
      <c r="Y33" s="36" t="str">
        <f t="shared" si="7"/>
        <v>renew</v>
      </c>
      <c r="Z33" s="21" t="s">
        <v>27</v>
      </c>
      <c r="AA33" s="21"/>
    </row>
    <row r="34" ht="20.25" customHeight="1">
      <c r="A34" s="20" t="s">
        <v>201</v>
      </c>
      <c r="B34" s="20" t="s">
        <v>202</v>
      </c>
      <c r="C34" s="21">
        <v>1339.0</v>
      </c>
      <c r="D34" s="22" t="str">
        <f t="shared" si="1"/>
        <v>General</v>
      </c>
      <c r="E34" s="23" t="str">
        <f t="shared" si="2"/>
        <v>Lapsed</v>
      </c>
      <c r="F34" s="24">
        <v>1.0</v>
      </c>
      <c r="G34" s="25">
        <v>45877.0</v>
      </c>
      <c r="H34" s="26">
        <f t="shared" si="3"/>
        <v>46022</v>
      </c>
      <c r="I34" s="27"/>
      <c r="J34" s="41" t="s">
        <v>203</v>
      </c>
      <c r="K34" s="41" t="s">
        <v>190</v>
      </c>
      <c r="L34" s="30" t="s">
        <v>35</v>
      </c>
      <c r="M34" s="45" t="s">
        <v>191</v>
      </c>
      <c r="N34" s="46" t="s">
        <v>204</v>
      </c>
      <c r="O34" s="47" t="s">
        <v>205</v>
      </c>
      <c r="P34" s="48"/>
      <c r="Q34" s="34"/>
      <c r="R34" s="22"/>
      <c r="S34" s="22">
        <v>4.0</v>
      </c>
      <c r="T34" s="22"/>
      <c r="U34" s="22"/>
      <c r="V34" s="35"/>
      <c r="W34" s="22"/>
      <c r="X34" s="22"/>
      <c r="Y34" s="36" t="str">
        <f t="shared" si="7"/>
        <v>renew</v>
      </c>
      <c r="Z34" s="21" t="s">
        <v>27</v>
      </c>
      <c r="AA34" s="21"/>
    </row>
    <row r="35" ht="20.25" customHeight="1">
      <c r="A35" s="20" t="s">
        <v>206</v>
      </c>
      <c r="B35" s="20" t="s">
        <v>207</v>
      </c>
      <c r="C35" s="21">
        <v>1338.0</v>
      </c>
      <c r="D35" s="22" t="str">
        <f t="shared" si="1"/>
        <v>General</v>
      </c>
      <c r="E35" s="23" t="str">
        <f t="shared" si="2"/>
        <v>Lapsed</v>
      </c>
      <c r="F35" s="24">
        <v>1.0</v>
      </c>
      <c r="G35" s="25">
        <v>45878.0</v>
      </c>
      <c r="H35" s="26">
        <f t="shared" si="3"/>
        <v>46022</v>
      </c>
      <c r="I35" s="27"/>
      <c r="J35" s="41" t="s">
        <v>208</v>
      </c>
      <c r="K35" s="41" t="s">
        <v>209</v>
      </c>
      <c r="L35" s="30" t="s">
        <v>57</v>
      </c>
      <c r="M35" s="45" t="s">
        <v>210</v>
      </c>
      <c r="N35" s="46"/>
      <c r="O35" s="47"/>
      <c r="P35" s="48"/>
      <c r="Q35" s="34"/>
      <c r="R35" s="22"/>
      <c r="S35" s="22">
        <v>4.0</v>
      </c>
      <c r="T35" s="22"/>
      <c r="U35" s="22"/>
      <c r="V35" s="35"/>
      <c r="W35" s="22"/>
      <c r="X35" s="22"/>
      <c r="Y35" s="36" t="str">
        <f t="shared" si="7"/>
        <v>renew</v>
      </c>
      <c r="Z35" s="21" t="s">
        <v>27</v>
      </c>
      <c r="AA35" s="21"/>
    </row>
    <row r="36" ht="20.25" customHeight="1">
      <c r="A36" s="20" t="s">
        <v>211</v>
      </c>
      <c r="B36" s="20" t="s">
        <v>140</v>
      </c>
      <c r="C36" s="21">
        <v>1337.0</v>
      </c>
      <c r="D36" s="22" t="str">
        <f t="shared" si="1"/>
        <v>General</v>
      </c>
      <c r="E36" s="23" t="str">
        <f t="shared" si="2"/>
        <v>Lapsed</v>
      </c>
      <c r="F36" s="24">
        <v>1.0</v>
      </c>
      <c r="G36" s="25">
        <v>45878.0</v>
      </c>
      <c r="H36" s="26">
        <f t="shared" si="3"/>
        <v>46022</v>
      </c>
      <c r="I36" s="27"/>
      <c r="J36" s="41" t="s">
        <v>212</v>
      </c>
      <c r="K36" s="41" t="s">
        <v>164</v>
      </c>
      <c r="L36" s="30" t="s">
        <v>35</v>
      </c>
      <c r="M36" s="45" t="s">
        <v>165</v>
      </c>
      <c r="N36" s="46" t="s">
        <v>213</v>
      </c>
      <c r="O36" s="47" t="s">
        <v>214</v>
      </c>
      <c r="P36" s="48"/>
      <c r="Q36" s="34"/>
      <c r="R36" s="22"/>
      <c r="S36" s="22">
        <v>4.0</v>
      </c>
      <c r="T36" s="22"/>
      <c r="U36" s="22"/>
      <c r="V36" s="35"/>
      <c r="W36" s="22"/>
      <c r="X36" s="22"/>
      <c r="Y36" s="36" t="str">
        <f t="shared" si="7"/>
        <v>renew</v>
      </c>
      <c r="Z36" s="21" t="s">
        <v>27</v>
      </c>
      <c r="AA36" s="21"/>
    </row>
    <row r="37" ht="20.25" customHeight="1">
      <c r="A37" s="20" t="s">
        <v>215</v>
      </c>
      <c r="B37" s="20" t="s">
        <v>216</v>
      </c>
      <c r="C37" s="21">
        <v>1336.0</v>
      </c>
      <c r="D37" s="22" t="str">
        <f t="shared" si="1"/>
        <v>General</v>
      </c>
      <c r="E37" s="23" t="str">
        <f t="shared" si="2"/>
        <v>Lapsed</v>
      </c>
      <c r="F37" s="24">
        <v>1.0</v>
      </c>
      <c r="G37" s="25">
        <v>45849.0</v>
      </c>
      <c r="H37" s="26">
        <f t="shared" si="3"/>
        <v>46022</v>
      </c>
      <c r="I37" s="27"/>
      <c r="J37" s="41" t="s">
        <v>217</v>
      </c>
      <c r="K37" s="41" t="s">
        <v>218</v>
      </c>
      <c r="L37" s="30" t="s">
        <v>35</v>
      </c>
      <c r="M37" s="45" t="s">
        <v>219</v>
      </c>
      <c r="N37" s="46" t="s">
        <v>220</v>
      </c>
      <c r="O37" s="47">
        <v>8.184147792E9</v>
      </c>
      <c r="P37" s="48"/>
      <c r="Q37" s="34"/>
      <c r="R37" s="22"/>
      <c r="S37" s="22">
        <v>4.0</v>
      </c>
      <c r="T37" s="22"/>
      <c r="U37" s="22"/>
      <c r="V37" s="35"/>
      <c r="W37" s="22"/>
      <c r="X37" s="22"/>
      <c r="Y37" s="36" t="str">
        <f t="shared" si="7"/>
        <v>renew</v>
      </c>
      <c r="Z37" s="21" t="s">
        <v>27</v>
      </c>
      <c r="AA37" s="21"/>
    </row>
    <row r="38" ht="20.25" customHeight="1">
      <c r="A38" s="20" t="s">
        <v>221</v>
      </c>
      <c r="B38" s="20" t="s">
        <v>222</v>
      </c>
      <c r="C38" s="21">
        <v>1335.0</v>
      </c>
      <c r="D38" s="22" t="str">
        <f t="shared" si="1"/>
        <v>General</v>
      </c>
      <c r="E38" s="23" t="str">
        <f t="shared" si="2"/>
        <v>Lapsed</v>
      </c>
      <c r="F38" s="24">
        <v>1.0</v>
      </c>
      <c r="G38" s="25">
        <v>45849.0</v>
      </c>
      <c r="H38" s="26">
        <f t="shared" si="3"/>
        <v>46022</v>
      </c>
      <c r="I38" s="27"/>
      <c r="J38" s="41" t="s">
        <v>223</v>
      </c>
      <c r="K38" s="41" t="s">
        <v>224</v>
      </c>
      <c r="L38" s="30" t="s">
        <v>225</v>
      </c>
      <c r="M38" s="45" t="s">
        <v>226</v>
      </c>
      <c r="N38" s="46" t="s">
        <v>227</v>
      </c>
      <c r="O38" s="47"/>
      <c r="P38" s="48"/>
      <c r="Q38" s="34"/>
      <c r="R38" s="22"/>
      <c r="S38" s="22">
        <v>4.0</v>
      </c>
      <c r="T38" s="22"/>
      <c r="U38" s="22"/>
      <c r="V38" s="35"/>
      <c r="W38" s="22"/>
      <c r="X38" s="22"/>
      <c r="Y38" s="36" t="str">
        <f t="shared" si="7"/>
        <v>renew</v>
      </c>
      <c r="Z38" s="21" t="s">
        <v>27</v>
      </c>
      <c r="AA38" s="21"/>
    </row>
    <row r="39" ht="20.25" customHeight="1">
      <c r="A39" s="20" t="s">
        <v>228</v>
      </c>
      <c r="B39" s="20" t="s">
        <v>229</v>
      </c>
      <c r="C39" s="21">
        <v>1334.0</v>
      </c>
      <c r="D39" s="22" t="str">
        <f t="shared" si="1"/>
        <v>General</v>
      </c>
      <c r="E39" s="23" t="str">
        <f t="shared" si="2"/>
        <v>Lapsed</v>
      </c>
      <c r="F39" s="24">
        <v>1.0</v>
      </c>
      <c r="G39" s="25">
        <v>45849.0</v>
      </c>
      <c r="H39" s="26">
        <f t="shared" si="3"/>
        <v>46022</v>
      </c>
      <c r="I39" s="27"/>
      <c r="J39" s="41" t="s">
        <v>230</v>
      </c>
      <c r="K39" s="41" t="s">
        <v>231</v>
      </c>
      <c r="L39" s="30" t="s">
        <v>35</v>
      </c>
      <c r="M39" s="45" t="s">
        <v>232</v>
      </c>
      <c r="N39" s="46"/>
      <c r="O39" s="47"/>
      <c r="P39" s="48"/>
      <c r="Q39" s="34"/>
      <c r="R39" s="22"/>
      <c r="S39" s="22">
        <v>4.0</v>
      </c>
      <c r="T39" s="22"/>
      <c r="U39" s="22"/>
      <c r="V39" s="35"/>
      <c r="W39" s="22"/>
      <c r="X39" s="22"/>
      <c r="Y39" s="36" t="str">
        <f t="shared" si="7"/>
        <v>renew</v>
      </c>
      <c r="Z39" s="21" t="s">
        <v>27</v>
      </c>
      <c r="AA39" s="21"/>
    </row>
    <row r="40" ht="20.25" customHeight="1">
      <c r="A40" s="20" t="s">
        <v>233</v>
      </c>
      <c r="B40" s="20" t="s">
        <v>234</v>
      </c>
      <c r="C40" s="21">
        <v>1333.0</v>
      </c>
      <c r="D40" s="22" t="str">
        <f t="shared" si="1"/>
        <v>General</v>
      </c>
      <c r="E40" s="23" t="str">
        <f t="shared" si="2"/>
        <v>Lapsed</v>
      </c>
      <c r="F40" s="24">
        <v>1.0</v>
      </c>
      <c r="G40" s="25">
        <v>45849.0</v>
      </c>
      <c r="H40" s="26">
        <f t="shared" si="3"/>
        <v>46022</v>
      </c>
      <c r="I40" s="27"/>
      <c r="J40" s="41" t="s">
        <v>230</v>
      </c>
      <c r="K40" s="41" t="s">
        <v>231</v>
      </c>
      <c r="L40" s="30" t="s">
        <v>35</v>
      </c>
      <c r="M40" s="45" t="s">
        <v>232</v>
      </c>
      <c r="N40" s="46" t="s">
        <v>235</v>
      </c>
      <c r="O40" s="47"/>
      <c r="P40" s="48"/>
      <c r="Q40" s="34"/>
      <c r="R40" s="22"/>
      <c r="S40" s="22">
        <v>4.0</v>
      </c>
      <c r="T40" s="22"/>
      <c r="U40" s="22"/>
      <c r="V40" s="35"/>
      <c r="W40" s="22"/>
      <c r="X40" s="22"/>
      <c r="Y40" s="36" t="str">
        <f t="shared" si="7"/>
        <v>renew</v>
      </c>
      <c r="Z40" s="21" t="s">
        <v>27</v>
      </c>
      <c r="AA40" s="21"/>
    </row>
    <row r="41" ht="20.25" customHeight="1">
      <c r="A41" s="20" t="s">
        <v>236</v>
      </c>
      <c r="B41" s="20" t="s">
        <v>237</v>
      </c>
      <c r="C41" s="21">
        <v>1332.0</v>
      </c>
      <c r="D41" s="22" t="str">
        <f t="shared" si="1"/>
        <v>General</v>
      </c>
      <c r="E41" s="23" t="str">
        <f t="shared" si="2"/>
        <v>Lapsed</v>
      </c>
      <c r="F41" s="24">
        <v>1.0</v>
      </c>
      <c r="G41" s="25">
        <v>45849.0</v>
      </c>
      <c r="H41" s="26">
        <f t="shared" si="3"/>
        <v>46022</v>
      </c>
      <c r="I41" s="27"/>
      <c r="J41" s="41" t="s">
        <v>238</v>
      </c>
      <c r="K41" s="41" t="s">
        <v>42</v>
      </c>
      <c r="L41" s="30" t="s">
        <v>35</v>
      </c>
      <c r="M41" s="45" t="s">
        <v>239</v>
      </c>
      <c r="N41" s="46" t="s">
        <v>94</v>
      </c>
      <c r="O41" s="47"/>
      <c r="P41" s="48"/>
      <c r="Q41" s="34"/>
      <c r="R41" s="22"/>
      <c r="S41" s="22">
        <v>4.0</v>
      </c>
      <c r="T41" s="22"/>
      <c r="U41" s="22"/>
      <c r="V41" s="35"/>
      <c r="W41" s="22"/>
      <c r="X41" s="22"/>
      <c r="Y41" s="36" t="str">
        <f t="shared" si="7"/>
        <v>renew</v>
      </c>
      <c r="Z41" s="21" t="s">
        <v>27</v>
      </c>
      <c r="AA41" s="21"/>
    </row>
    <row r="42" ht="20.25" customHeight="1">
      <c r="A42" s="20" t="s">
        <v>240</v>
      </c>
      <c r="B42" s="20" t="s">
        <v>241</v>
      </c>
      <c r="C42" s="21">
        <v>1331.0</v>
      </c>
      <c r="D42" s="22" t="str">
        <f t="shared" si="1"/>
        <v>General</v>
      </c>
      <c r="E42" s="23" t="str">
        <f t="shared" si="2"/>
        <v>Lapsed</v>
      </c>
      <c r="F42" s="24">
        <v>1.0</v>
      </c>
      <c r="G42" s="25">
        <v>45849.0</v>
      </c>
      <c r="H42" s="26">
        <f t="shared" si="3"/>
        <v>46022</v>
      </c>
      <c r="I42" s="27"/>
      <c r="J42" s="41" t="s">
        <v>242</v>
      </c>
      <c r="K42" s="41" t="s">
        <v>243</v>
      </c>
      <c r="L42" s="30" t="s">
        <v>244</v>
      </c>
      <c r="M42" s="45" t="s">
        <v>245</v>
      </c>
      <c r="N42" s="46" t="s">
        <v>246</v>
      </c>
      <c r="O42" s="47">
        <v>6.304843934E9</v>
      </c>
      <c r="P42" s="48"/>
      <c r="Q42" s="34"/>
      <c r="R42" s="22"/>
      <c r="S42" s="22">
        <v>4.0</v>
      </c>
      <c r="T42" s="22"/>
      <c r="U42" s="22"/>
      <c r="V42" s="35"/>
      <c r="W42" s="22"/>
      <c r="X42" s="22"/>
      <c r="Y42" s="36" t="str">
        <f t="shared" si="7"/>
        <v>renew</v>
      </c>
      <c r="Z42" s="21" t="s">
        <v>27</v>
      </c>
      <c r="AA42" s="21"/>
    </row>
    <row r="43" ht="20.25" customHeight="1">
      <c r="A43" s="20" t="s">
        <v>247</v>
      </c>
      <c r="B43" s="20" t="s">
        <v>248</v>
      </c>
      <c r="C43" s="21">
        <v>1330.0</v>
      </c>
      <c r="D43" s="22" t="str">
        <f t="shared" si="1"/>
        <v>General</v>
      </c>
      <c r="E43" s="23" t="str">
        <f t="shared" si="2"/>
        <v>Lapsed</v>
      </c>
      <c r="F43" s="24">
        <v>1.0</v>
      </c>
      <c r="G43" s="25">
        <v>45849.0</v>
      </c>
      <c r="H43" s="26">
        <f t="shared" si="3"/>
        <v>46022</v>
      </c>
      <c r="I43" s="27"/>
      <c r="J43" s="41" t="s">
        <v>249</v>
      </c>
      <c r="K43" s="41" t="s">
        <v>250</v>
      </c>
      <c r="L43" s="30" t="s">
        <v>35</v>
      </c>
      <c r="M43" s="45" t="s">
        <v>251</v>
      </c>
      <c r="N43" s="49" t="s">
        <v>252</v>
      </c>
      <c r="O43" s="47">
        <v>9.703969131E9</v>
      </c>
      <c r="P43" s="48"/>
      <c r="Q43" s="34"/>
      <c r="R43" s="22"/>
      <c r="S43" s="22">
        <v>4.0</v>
      </c>
      <c r="T43" s="22"/>
      <c r="U43" s="22"/>
      <c r="V43" s="35"/>
      <c r="W43" s="22"/>
      <c r="X43" s="22"/>
      <c r="Y43" s="36" t="str">
        <f t="shared" si="7"/>
        <v>renew</v>
      </c>
      <c r="Z43" s="21" t="s">
        <v>27</v>
      </c>
      <c r="AA43" s="21"/>
    </row>
    <row r="44" ht="20.25" customHeight="1">
      <c r="A44" s="20" t="s">
        <v>253</v>
      </c>
      <c r="B44" s="20" t="s">
        <v>254</v>
      </c>
      <c r="C44" s="21">
        <v>1329.0</v>
      </c>
      <c r="D44" s="22" t="str">
        <f t="shared" si="1"/>
        <v>General</v>
      </c>
      <c r="E44" s="23" t="str">
        <f t="shared" si="2"/>
        <v>Lapsed</v>
      </c>
      <c r="F44" s="24">
        <v>1.0</v>
      </c>
      <c r="G44" s="25">
        <v>45868.0</v>
      </c>
      <c r="H44" s="26">
        <f t="shared" si="3"/>
        <v>46022</v>
      </c>
      <c r="I44" s="27"/>
      <c r="J44" s="41" t="s">
        <v>255</v>
      </c>
      <c r="K44" s="41" t="s">
        <v>256</v>
      </c>
      <c r="L44" s="30" t="s">
        <v>35</v>
      </c>
      <c r="M44" s="45" t="s">
        <v>257</v>
      </c>
      <c r="N44" s="50" t="s">
        <v>258</v>
      </c>
      <c r="O44" s="47">
        <v>9.709862955E9</v>
      </c>
      <c r="P44" s="48"/>
      <c r="Q44" s="34"/>
      <c r="R44" s="22"/>
      <c r="S44" s="22">
        <v>4.0</v>
      </c>
      <c r="T44" s="22"/>
      <c r="U44" s="22"/>
      <c r="V44" s="35"/>
      <c r="W44" s="22"/>
      <c r="X44" s="22"/>
      <c r="Y44" s="36" t="str">
        <f t="shared" si="7"/>
        <v>renew</v>
      </c>
      <c r="Z44" s="21" t="s">
        <v>8</v>
      </c>
      <c r="AA44" s="21"/>
    </row>
    <row r="45">
      <c r="A45" s="20" t="s">
        <v>259</v>
      </c>
      <c r="B45" s="20" t="s">
        <v>260</v>
      </c>
      <c r="C45" s="21">
        <v>1328.0</v>
      </c>
      <c r="D45" s="22" t="str">
        <f t="shared" si="1"/>
        <v>Youth</v>
      </c>
      <c r="E45" s="23" t="str">
        <f t="shared" si="2"/>
        <v>Lapsed</v>
      </c>
      <c r="F45" s="24">
        <v>1.0</v>
      </c>
      <c r="G45" s="25">
        <v>45846.0</v>
      </c>
      <c r="H45" s="26">
        <f t="shared" si="3"/>
        <v>46022</v>
      </c>
      <c r="I45" s="27"/>
      <c r="J45" s="41" t="s">
        <v>261</v>
      </c>
      <c r="K45" s="29" t="s">
        <v>262</v>
      </c>
      <c r="L45" s="30" t="s">
        <v>35</v>
      </c>
      <c r="M45" s="42" t="s">
        <v>263</v>
      </c>
      <c r="N45" s="51" t="s">
        <v>264</v>
      </c>
      <c r="O45" s="40" t="s">
        <v>265</v>
      </c>
      <c r="P45" s="48">
        <v>40118.0</v>
      </c>
      <c r="Q45" s="34">
        <f>datedif(P45,today(),"Y")</f>
        <v>16</v>
      </c>
      <c r="R45" s="22"/>
      <c r="S45" s="22">
        <v>4.0</v>
      </c>
      <c r="T45" s="22"/>
      <c r="U45" s="22"/>
      <c r="V45" s="35"/>
      <c r="W45" s="22"/>
      <c r="X45" s="22"/>
      <c r="Y45" s="36" t="str">
        <f t="shared" si="7"/>
        <v>renew</v>
      </c>
      <c r="Z45" s="21" t="s">
        <v>8</v>
      </c>
      <c r="AA45" s="21"/>
    </row>
    <row r="46">
      <c r="A46" s="20" t="s">
        <v>266</v>
      </c>
      <c r="B46" s="20" t="s">
        <v>267</v>
      </c>
      <c r="C46" s="21">
        <v>1327.0</v>
      </c>
      <c r="D46" s="22" t="str">
        <f t="shared" si="1"/>
        <v>General</v>
      </c>
      <c r="E46" s="23" t="str">
        <f t="shared" si="2"/>
        <v>Lapsed</v>
      </c>
      <c r="F46" s="24">
        <v>1.0</v>
      </c>
      <c r="G46" s="25">
        <v>45823.0</v>
      </c>
      <c r="H46" s="26">
        <f t="shared" si="3"/>
        <v>46022</v>
      </c>
      <c r="I46" s="27"/>
      <c r="J46" s="41" t="s">
        <v>268</v>
      </c>
      <c r="K46" s="29" t="s">
        <v>269</v>
      </c>
      <c r="L46" s="30" t="s">
        <v>270</v>
      </c>
      <c r="M46" s="42" t="s">
        <v>271</v>
      </c>
      <c r="N46" s="39" t="s">
        <v>272</v>
      </c>
      <c r="O46" s="40">
        <v>6.056416763E9</v>
      </c>
      <c r="P46" s="37"/>
      <c r="Q46" s="38"/>
      <c r="R46" s="22"/>
      <c r="S46" s="22">
        <v>4.0</v>
      </c>
      <c r="T46" s="22"/>
      <c r="U46" s="22"/>
      <c r="V46" s="35"/>
      <c r="W46" s="22"/>
      <c r="X46" s="22"/>
      <c r="Y46" s="36" t="str">
        <f t="shared" si="7"/>
        <v>renew</v>
      </c>
      <c r="Z46" s="21" t="s">
        <v>8</v>
      </c>
      <c r="AA46" s="21"/>
    </row>
    <row r="47">
      <c r="A47" s="20" t="s">
        <v>273</v>
      </c>
      <c r="B47" s="20" t="s">
        <v>274</v>
      </c>
      <c r="C47" s="21">
        <v>1326.0</v>
      </c>
      <c r="D47" s="22" t="str">
        <f t="shared" si="1"/>
        <v>General</v>
      </c>
      <c r="E47" s="23" t="str">
        <f t="shared" si="2"/>
        <v>Lapsed</v>
      </c>
      <c r="F47" s="24">
        <v>1.0</v>
      </c>
      <c r="G47" s="25">
        <v>45824.0</v>
      </c>
      <c r="H47" s="26">
        <f t="shared" si="3"/>
        <v>46022</v>
      </c>
      <c r="I47" s="27"/>
      <c r="J47" s="41" t="s">
        <v>275</v>
      </c>
      <c r="K47" s="29" t="s">
        <v>276</v>
      </c>
      <c r="L47" s="30" t="s">
        <v>35</v>
      </c>
      <c r="M47" s="42" t="s">
        <v>277</v>
      </c>
      <c r="N47" s="39" t="s">
        <v>278</v>
      </c>
      <c r="O47" s="40">
        <v>5.742862007E9</v>
      </c>
      <c r="P47" s="37"/>
      <c r="Q47" s="38"/>
      <c r="R47" s="22"/>
      <c r="S47" s="22">
        <v>4.0</v>
      </c>
      <c r="T47" s="22"/>
      <c r="U47" s="22"/>
      <c r="V47" s="35"/>
      <c r="W47" s="22"/>
      <c r="X47" s="22"/>
      <c r="Y47" s="36" t="str">
        <f t="shared" si="7"/>
        <v>renew</v>
      </c>
      <c r="Z47" s="21" t="s">
        <v>8</v>
      </c>
      <c r="AA47" s="21"/>
    </row>
    <row r="48">
      <c r="A48" s="20" t="s">
        <v>279</v>
      </c>
      <c r="B48" s="20" t="s">
        <v>280</v>
      </c>
      <c r="C48" s="21">
        <v>1325.0</v>
      </c>
      <c r="D48" s="22" t="str">
        <f t="shared" si="1"/>
        <v>Youth</v>
      </c>
      <c r="E48" s="23" t="str">
        <f t="shared" si="2"/>
        <v>Lapsed</v>
      </c>
      <c r="F48" s="24">
        <v>1.0</v>
      </c>
      <c r="G48" s="25">
        <v>45825.0</v>
      </c>
      <c r="H48" s="26">
        <f t="shared" si="3"/>
        <v>46022</v>
      </c>
      <c r="I48" s="27"/>
      <c r="J48" s="41" t="s">
        <v>281</v>
      </c>
      <c r="K48" s="29" t="s">
        <v>157</v>
      </c>
      <c r="L48" s="30" t="s">
        <v>35</v>
      </c>
      <c r="M48" s="42" t="s">
        <v>158</v>
      </c>
      <c r="N48" s="39" t="s">
        <v>282</v>
      </c>
      <c r="O48" s="40" t="s">
        <v>283</v>
      </c>
      <c r="P48" s="48">
        <v>40247.0</v>
      </c>
      <c r="Q48" s="34">
        <f>datedif(P48,today(),"Y")</f>
        <v>16</v>
      </c>
      <c r="R48" s="22"/>
      <c r="S48" s="22">
        <v>4.0</v>
      </c>
      <c r="T48" s="22"/>
      <c r="U48" s="22"/>
      <c r="V48" s="35"/>
      <c r="W48" s="22"/>
      <c r="X48" s="22"/>
      <c r="Y48" s="36" t="str">
        <f t="shared" si="7"/>
        <v>renew</v>
      </c>
      <c r="Z48" s="21" t="s">
        <v>8</v>
      </c>
      <c r="AA48" s="21"/>
    </row>
    <row r="49">
      <c r="A49" s="20" t="s">
        <v>284</v>
      </c>
      <c r="B49" s="20" t="s">
        <v>285</v>
      </c>
      <c r="C49" s="21">
        <v>1324.0</v>
      </c>
      <c r="D49" s="22" t="str">
        <f t="shared" si="1"/>
        <v>General</v>
      </c>
      <c r="E49" s="23" t="str">
        <f t="shared" si="2"/>
        <v>Lapsed</v>
      </c>
      <c r="F49" s="24">
        <v>1.0</v>
      </c>
      <c r="G49" s="25">
        <v>45826.0</v>
      </c>
      <c r="H49" s="26">
        <f t="shared" si="3"/>
        <v>46022</v>
      </c>
      <c r="I49" s="27"/>
      <c r="J49" s="41" t="s">
        <v>286</v>
      </c>
      <c r="K49" s="29" t="s">
        <v>287</v>
      </c>
      <c r="L49" s="30" t="s">
        <v>35</v>
      </c>
      <c r="M49" s="45" t="s">
        <v>288</v>
      </c>
      <c r="N49" s="39" t="s">
        <v>289</v>
      </c>
      <c r="O49" s="40" t="s">
        <v>290</v>
      </c>
      <c r="P49" s="37"/>
      <c r="Q49" s="38"/>
      <c r="R49" s="22"/>
      <c r="S49" s="22">
        <v>4.0</v>
      </c>
      <c r="T49" s="22"/>
      <c r="U49" s="22"/>
      <c r="V49" s="35"/>
      <c r="W49" s="22"/>
      <c r="X49" s="22"/>
      <c r="Y49" s="36" t="str">
        <f t="shared" si="7"/>
        <v>renew</v>
      </c>
      <c r="Z49" s="21" t="s">
        <v>8</v>
      </c>
      <c r="AA49" s="21"/>
    </row>
    <row r="50">
      <c r="A50" s="20" t="s">
        <v>116</v>
      </c>
      <c r="B50" s="20" t="s">
        <v>291</v>
      </c>
      <c r="C50" s="21">
        <v>1323.0</v>
      </c>
      <c r="D50" s="22" t="str">
        <f t="shared" si="1"/>
        <v>General</v>
      </c>
      <c r="E50" s="23" t="str">
        <f t="shared" si="2"/>
        <v>Lapsed</v>
      </c>
      <c r="F50" s="24">
        <v>1.0</v>
      </c>
      <c r="G50" s="25">
        <v>45827.0</v>
      </c>
      <c r="H50" s="26">
        <f t="shared" si="3"/>
        <v>46022</v>
      </c>
      <c r="I50" s="27"/>
      <c r="J50" s="41" t="s">
        <v>292</v>
      </c>
      <c r="K50" s="29" t="s">
        <v>42</v>
      </c>
      <c r="L50" s="30" t="s">
        <v>35</v>
      </c>
      <c r="M50" s="42" t="s">
        <v>293</v>
      </c>
      <c r="N50" s="52" t="s">
        <v>294</v>
      </c>
      <c r="O50" s="40">
        <v>4.049166523E9</v>
      </c>
      <c r="P50" s="37"/>
      <c r="Q50" s="38"/>
      <c r="R50" s="22"/>
      <c r="S50" s="22">
        <v>2.0</v>
      </c>
      <c r="T50" s="22"/>
      <c r="U50" s="22"/>
      <c r="V50" s="35"/>
      <c r="W50" s="22"/>
      <c r="X50" s="22"/>
      <c r="Y50" s="36" t="str">
        <f t="shared" si="7"/>
        <v>renew</v>
      </c>
      <c r="Z50" s="21" t="s">
        <v>8</v>
      </c>
      <c r="AA50" s="21"/>
    </row>
    <row r="51">
      <c r="A51" s="20" t="s">
        <v>295</v>
      </c>
      <c r="B51" s="20" t="s">
        <v>296</v>
      </c>
      <c r="C51" s="21">
        <v>1322.0</v>
      </c>
      <c r="D51" s="22" t="str">
        <f t="shared" si="1"/>
        <v>General</v>
      </c>
      <c r="E51" s="23" t="str">
        <f t="shared" si="2"/>
        <v>Lapsed</v>
      </c>
      <c r="F51" s="24">
        <v>1.0</v>
      </c>
      <c r="G51" s="25">
        <v>45817.0</v>
      </c>
      <c r="H51" s="26">
        <f t="shared" si="3"/>
        <v>46022</v>
      </c>
      <c r="I51" s="27"/>
      <c r="J51" s="29" t="s">
        <v>297</v>
      </c>
      <c r="K51" s="29" t="s">
        <v>298</v>
      </c>
      <c r="L51" s="30" t="s">
        <v>35</v>
      </c>
      <c r="M51" s="42" t="s">
        <v>299</v>
      </c>
      <c r="N51" s="53" t="s">
        <v>300</v>
      </c>
      <c r="O51" s="54" t="s">
        <v>301</v>
      </c>
      <c r="P51" s="37"/>
      <c r="Q51" s="38"/>
      <c r="R51" s="22"/>
      <c r="S51" s="22">
        <v>2.0</v>
      </c>
      <c r="T51" s="22"/>
      <c r="U51" s="22"/>
      <c r="V51" s="35"/>
      <c r="W51" s="22"/>
      <c r="X51" s="22"/>
      <c r="Y51" s="36" t="str">
        <f t="shared" si="7"/>
        <v>renew</v>
      </c>
      <c r="Z51" s="21" t="s">
        <v>27</v>
      </c>
      <c r="AA51" s="21"/>
    </row>
    <row r="52">
      <c r="A52" s="20" t="s">
        <v>302</v>
      </c>
      <c r="B52" s="20" t="s">
        <v>303</v>
      </c>
      <c r="C52" s="21">
        <v>1321.0</v>
      </c>
      <c r="D52" s="22" t="str">
        <f t="shared" si="1"/>
        <v>General</v>
      </c>
      <c r="E52" s="23" t="str">
        <f t="shared" si="2"/>
        <v>Lapsed</v>
      </c>
      <c r="F52" s="24">
        <v>1.0</v>
      </c>
      <c r="G52" s="25">
        <v>45817.0</v>
      </c>
      <c r="H52" s="26">
        <f t="shared" si="3"/>
        <v>46022</v>
      </c>
      <c r="I52" s="27"/>
      <c r="J52" s="29" t="s">
        <v>304</v>
      </c>
      <c r="K52" s="29" t="s">
        <v>305</v>
      </c>
      <c r="L52" s="30" t="s">
        <v>35</v>
      </c>
      <c r="M52" s="42" t="s">
        <v>306</v>
      </c>
      <c r="N52" s="53" t="s">
        <v>307</v>
      </c>
      <c r="O52" s="54"/>
      <c r="P52" s="37"/>
      <c r="Q52" s="38"/>
      <c r="R52" s="22"/>
      <c r="S52" s="22">
        <v>2.0</v>
      </c>
      <c r="T52" s="22"/>
      <c r="U52" s="22"/>
      <c r="V52" s="35"/>
      <c r="W52" s="22"/>
      <c r="X52" s="22"/>
      <c r="Y52" s="36" t="str">
        <f t="shared" si="7"/>
        <v>renew</v>
      </c>
      <c r="Z52" s="21" t="s">
        <v>27</v>
      </c>
      <c r="AA52" s="21"/>
    </row>
    <row r="53">
      <c r="A53" s="20" t="s">
        <v>308</v>
      </c>
      <c r="B53" s="20" t="s">
        <v>309</v>
      </c>
      <c r="C53" s="21">
        <v>1320.0</v>
      </c>
      <c r="D53" s="22" t="str">
        <f t="shared" si="1"/>
        <v>General</v>
      </c>
      <c r="E53" s="23" t="str">
        <f t="shared" si="2"/>
        <v>Lapsed</v>
      </c>
      <c r="F53" s="24">
        <v>1.0</v>
      </c>
      <c r="G53" s="25">
        <v>45817.0</v>
      </c>
      <c r="H53" s="26">
        <f t="shared" si="3"/>
        <v>46022</v>
      </c>
      <c r="I53" s="27"/>
      <c r="J53" s="29" t="s">
        <v>310</v>
      </c>
      <c r="K53" s="29" t="s">
        <v>190</v>
      </c>
      <c r="L53" s="30" t="s">
        <v>35</v>
      </c>
      <c r="M53" s="42" t="s">
        <v>311</v>
      </c>
      <c r="N53" s="53"/>
      <c r="O53" s="54" t="s">
        <v>312</v>
      </c>
      <c r="P53" s="37"/>
      <c r="Q53" s="38"/>
      <c r="R53" s="22"/>
      <c r="S53" s="22">
        <v>2.0</v>
      </c>
      <c r="T53" s="22"/>
      <c r="U53" s="22"/>
      <c r="V53" s="35"/>
      <c r="W53" s="22"/>
      <c r="X53" s="22"/>
      <c r="Y53" s="36" t="str">
        <f t="shared" si="7"/>
        <v>renew</v>
      </c>
      <c r="Z53" s="21" t="s">
        <v>27</v>
      </c>
      <c r="AA53" s="21"/>
    </row>
    <row r="54">
      <c r="A54" s="20" t="s">
        <v>313</v>
      </c>
      <c r="B54" s="20" t="s">
        <v>314</v>
      </c>
      <c r="C54" s="21">
        <v>1319.0</v>
      </c>
      <c r="D54" s="22" t="str">
        <f t="shared" si="1"/>
        <v>General</v>
      </c>
      <c r="E54" s="23" t="str">
        <f t="shared" si="2"/>
        <v>Lapsed</v>
      </c>
      <c r="F54" s="24">
        <v>1.0</v>
      </c>
      <c r="G54" s="25">
        <v>45817.0</v>
      </c>
      <c r="H54" s="26">
        <f t="shared" si="3"/>
        <v>46022</v>
      </c>
      <c r="I54" s="27"/>
      <c r="J54" s="29" t="s">
        <v>315</v>
      </c>
      <c r="K54" s="29" t="s">
        <v>89</v>
      </c>
      <c r="L54" s="30" t="s">
        <v>35</v>
      </c>
      <c r="M54" s="42" t="s">
        <v>90</v>
      </c>
      <c r="N54" s="53" t="s">
        <v>316</v>
      </c>
      <c r="O54" s="54" t="s">
        <v>317</v>
      </c>
      <c r="P54" s="37"/>
      <c r="Q54" s="38"/>
      <c r="R54" s="22"/>
      <c r="S54" s="22">
        <v>2.0</v>
      </c>
      <c r="T54" s="22"/>
      <c r="U54" s="22"/>
      <c r="V54" s="35"/>
      <c r="W54" s="22"/>
      <c r="X54" s="22"/>
      <c r="Y54" s="36" t="str">
        <f t="shared" si="7"/>
        <v>renew</v>
      </c>
      <c r="Z54" s="21" t="s">
        <v>27</v>
      </c>
      <c r="AA54" s="21"/>
    </row>
    <row r="55">
      <c r="A55" s="20" t="s">
        <v>318</v>
      </c>
      <c r="B55" s="20" t="s">
        <v>314</v>
      </c>
      <c r="C55" s="21">
        <v>1318.0</v>
      </c>
      <c r="D55" s="22" t="str">
        <f t="shared" si="1"/>
        <v>General</v>
      </c>
      <c r="E55" s="23" t="str">
        <f t="shared" si="2"/>
        <v>Lapsed</v>
      </c>
      <c r="F55" s="24">
        <v>1.0</v>
      </c>
      <c r="G55" s="25">
        <v>45817.0</v>
      </c>
      <c r="H55" s="26">
        <f t="shared" si="3"/>
        <v>46022</v>
      </c>
      <c r="I55" s="27"/>
      <c r="J55" s="29" t="s">
        <v>315</v>
      </c>
      <c r="K55" s="29" t="s">
        <v>89</v>
      </c>
      <c r="L55" s="30" t="s">
        <v>35</v>
      </c>
      <c r="M55" s="42" t="s">
        <v>90</v>
      </c>
      <c r="N55" s="53" t="s">
        <v>316</v>
      </c>
      <c r="O55" s="54" t="s">
        <v>317</v>
      </c>
      <c r="P55" s="37"/>
      <c r="Q55" s="38"/>
      <c r="R55" s="22"/>
      <c r="S55" s="22">
        <v>2.0</v>
      </c>
      <c r="T55" s="22"/>
      <c r="U55" s="22"/>
      <c r="V55" s="35"/>
      <c r="W55" s="22"/>
      <c r="X55" s="22"/>
      <c r="Y55" s="36" t="str">
        <f t="shared" si="7"/>
        <v>renew</v>
      </c>
      <c r="Z55" s="21" t="s">
        <v>27</v>
      </c>
      <c r="AA55" s="21"/>
    </row>
    <row r="56">
      <c r="A56" s="20" t="s">
        <v>319</v>
      </c>
      <c r="B56" s="20" t="s">
        <v>320</v>
      </c>
      <c r="C56" s="21">
        <v>1317.0</v>
      </c>
      <c r="D56" s="22" t="str">
        <f t="shared" si="1"/>
        <v>General</v>
      </c>
      <c r="E56" s="23" t="str">
        <f t="shared" si="2"/>
        <v>Lapsed</v>
      </c>
      <c r="F56" s="24">
        <v>1.0</v>
      </c>
      <c r="G56" s="25">
        <v>45817.0</v>
      </c>
      <c r="H56" s="26">
        <f t="shared" si="3"/>
        <v>46022</v>
      </c>
      <c r="I56" s="27"/>
      <c r="J56" s="29" t="s">
        <v>321</v>
      </c>
      <c r="K56" s="29" t="s">
        <v>322</v>
      </c>
      <c r="L56" s="30" t="s">
        <v>35</v>
      </c>
      <c r="M56" s="42" t="s">
        <v>323</v>
      </c>
      <c r="N56" s="53" t="s">
        <v>324</v>
      </c>
      <c r="O56" s="54" t="s">
        <v>325</v>
      </c>
      <c r="P56" s="37"/>
      <c r="Q56" s="38"/>
      <c r="R56" s="22"/>
      <c r="S56" s="22">
        <v>2.0</v>
      </c>
      <c r="T56" s="22"/>
      <c r="U56" s="22"/>
      <c r="V56" s="35"/>
      <c r="W56" s="22"/>
      <c r="X56" s="22"/>
      <c r="Y56" s="36" t="str">
        <f t="shared" si="7"/>
        <v>renew</v>
      </c>
      <c r="Z56" s="21" t="s">
        <v>27</v>
      </c>
      <c r="AA56" s="21"/>
    </row>
    <row r="57">
      <c r="A57" s="20" t="s">
        <v>326</v>
      </c>
      <c r="B57" s="20" t="s">
        <v>327</v>
      </c>
      <c r="C57" s="21">
        <v>1316.0</v>
      </c>
      <c r="D57" s="22" t="str">
        <f t="shared" si="1"/>
        <v>General</v>
      </c>
      <c r="E57" s="23" t="str">
        <f t="shared" si="2"/>
        <v>Lapsed</v>
      </c>
      <c r="F57" s="24">
        <v>1.0</v>
      </c>
      <c r="G57" s="25">
        <v>45817.0</v>
      </c>
      <c r="H57" s="26">
        <f t="shared" si="3"/>
        <v>46022</v>
      </c>
      <c r="I57" s="27"/>
      <c r="J57" s="29" t="s">
        <v>328</v>
      </c>
      <c r="K57" s="29" t="s">
        <v>329</v>
      </c>
      <c r="L57" s="30" t="s">
        <v>35</v>
      </c>
      <c r="M57" s="42" t="s">
        <v>330</v>
      </c>
      <c r="N57" s="53" t="s">
        <v>331</v>
      </c>
      <c r="O57" s="54" t="s">
        <v>332</v>
      </c>
      <c r="P57" s="37"/>
      <c r="Q57" s="38"/>
      <c r="R57" s="22"/>
      <c r="S57" s="22">
        <v>2.0</v>
      </c>
      <c r="T57" s="22"/>
      <c r="U57" s="22"/>
      <c r="V57" s="35"/>
      <c r="W57" s="22"/>
      <c r="X57" s="22"/>
      <c r="Y57" s="36" t="str">
        <f t="shared" si="7"/>
        <v>renew</v>
      </c>
      <c r="Z57" s="21" t="s">
        <v>27</v>
      </c>
      <c r="AA57" s="21"/>
    </row>
    <row r="58">
      <c r="A58" s="20" t="s">
        <v>333</v>
      </c>
      <c r="B58" s="20" t="s">
        <v>334</v>
      </c>
      <c r="C58" s="21">
        <v>1315.0</v>
      </c>
      <c r="D58" s="22" t="str">
        <f t="shared" si="1"/>
        <v>Youth</v>
      </c>
      <c r="E58" s="23" t="str">
        <f t="shared" si="2"/>
        <v>Lapsed</v>
      </c>
      <c r="F58" s="24">
        <v>1.0</v>
      </c>
      <c r="G58" s="25">
        <v>45817.0</v>
      </c>
      <c r="H58" s="26">
        <f t="shared" si="3"/>
        <v>46022</v>
      </c>
      <c r="I58" s="27"/>
      <c r="J58" s="29" t="s">
        <v>335</v>
      </c>
      <c r="K58" s="29" t="s">
        <v>305</v>
      </c>
      <c r="L58" s="30" t="s">
        <v>35</v>
      </c>
      <c r="M58" s="42" t="s">
        <v>306</v>
      </c>
      <c r="N58" s="53" t="s">
        <v>336</v>
      </c>
      <c r="O58" s="54" t="s">
        <v>337</v>
      </c>
      <c r="P58" s="48">
        <v>39975.0</v>
      </c>
      <c r="Q58" s="34">
        <f>datedif(P58,today(),"Y")</f>
        <v>16</v>
      </c>
      <c r="R58" s="22"/>
      <c r="S58" s="22">
        <v>2.0</v>
      </c>
      <c r="T58" s="22"/>
      <c r="U58" s="22"/>
      <c r="V58" s="35"/>
      <c r="W58" s="22"/>
      <c r="X58" s="22"/>
      <c r="Y58" s="36" t="str">
        <f t="shared" si="7"/>
        <v>renew</v>
      </c>
      <c r="Z58" s="21" t="s">
        <v>27</v>
      </c>
      <c r="AA58" s="21"/>
    </row>
    <row r="59">
      <c r="A59" s="20" t="s">
        <v>338</v>
      </c>
      <c r="B59" s="20" t="s">
        <v>339</v>
      </c>
      <c r="C59" s="21">
        <v>1314.0</v>
      </c>
      <c r="D59" s="22" t="str">
        <f t="shared" si="1"/>
        <v>General</v>
      </c>
      <c r="E59" s="23" t="str">
        <f t="shared" si="2"/>
        <v>Lapsed</v>
      </c>
      <c r="F59" s="24">
        <v>1.0</v>
      </c>
      <c r="G59" s="25">
        <v>45817.0</v>
      </c>
      <c r="H59" s="26">
        <f t="shared" si="3"/>
        <v>46022</v>
      </c>
      <c r="I59" s="27"/>
      <c r="J59" s="29" t="s">
        <v>340</v>
      </c>
      <c r="K59" s="29" t="s">
        <v>341</v>
      </c>
      <c r="L59" s="30" t="s">
        <v>342</v>
      </c>
      <c r="M59" s="42" t="s">
        <v>343</v>
      </c>
      <c r="N59" s="53" t="s">
        <v>344</v>
      </c>
      <c r="O59" s="54" t="s">
        <v>345</v>
      </c>
      <c r="P59" s="37"/>
      <c r="Q59" s="38"/>
      <c r="R59" s="22"/>
      <c r="S59" s="22">
        <v>2.0</v>
      </c>
      <c r="T59" s="22"/>
      <c r="U59" s="22"/>
      <c r="V59" s="35"/>
      <c r="W59" s="22"/>
      <c r="X59" s="22"/>
      <c r="Y59" s="36" t="str">
        <f t="shared" si="7"/>
        <v>renew</v>
      </c>
      <c r="Z59" s="21" t="s">
        <v>27</v>
      </c>
      <c r="AA59" s="21"/>
    </row>
    <row r="60">
      <c r="A60" s="20" t="s">
        <v>346</v>
      </c>
      <c r="B60" s="20" t="s">
        <v>347</v>
      </c>
      <c r="C60" s="21">
        <v>1313.0</v>
      </c>
      <c r="D60" s="22" t="str">
        <f t="shared" si="1"/>
        <v>General</v>
      </c>
      <c r="E60" s="23" t="str">
        <f t="shared" si="2"/>
        <v>Lapsed</v>
      </c>
      <c r="F60" s="24">
        <v>1.0</v>
      </c>
      <c r="G60" s="25">
        <v>45817.0</v>
      </c>
      <c r="H60" s="26">
        <f t="shared" si="3"/>
        <v>46022</v>
      </c>
      <c r="I60" s="27"/>
      <c r="J60" s="29" t="s">
        <v>348</v>
      </c>
      <c r="K60" s="29" t="s">
        <v>243</v>
      </c>
      <c r="L60" s="30" t="s">
        <v>244</v>
      </c>
      <c r="M60" s="42" t="s">
        <v>245</v>
      </c>
      <c r="N60" s="53" t="s">
        <v>349</v>
      </c>
      <c r="O60" s="54" t="s">
        <v>350</v>
      </c>
      <c r="P60" s="37"/>
      <c r="Q60" s="38"/>
      <c r="R60" s="22"/>
      <c r="S60" s="22">
        <v>2.0</v>
      </c>
      <c r="T60" s="22"/>
      <c r="U60" s="22"/>
      <c r="V60" s="35"/>
      <c r="W60" s="22"/>
      <c r="X60" s="22"/>
      <c r="Y60" s="36" t="str">
        <f t="shared" si="7"/>
        <v>renew</v>
      </c>
      <c r="Z60" s="21" t="s">
        <v>27</v>
      </c>
      <c r="AA60" s="21"/>
    </row>
    <row r="61">
      <c r="A61" s="20" t="s">
        <v>351</v>
      </c>
      <c r="B61" s="20" t="s">
        <v>352</v>
      </c>
      <c r="C61" s="21">
        <v>1312.0</v>
      </c>
      <c r="D61" s="22" t="str">
        <f t="shared" si="1"/>
        <v>General</v>
      </c>
      <c r="E61" s="23" t="str">
        <f t="shared" si="2"/>
        <v>Lapsed</v>
      </c>
      <c r="F61" s="24">
        <v>1.0</v>
      </c>
      <c r="G61" s="25">
        <v>45817.0</v>
      </c>
      <c r="H61" s="26">
        <f t="shared" si="3"/>
        <v>46022</v>
      </c>
      <c r="I61" s="27"/>
      <c r="J61" s="29" t="s">
        <v>353</v>
      </c>
      <c r="K61" s="29" t="s">
        <v>354</v>
      </c>
      <c r="L61" s="30" t="s">
        <v>244</v>
      </c>
      <c r="M61" s="42" t="s">
        <v>355</v>
      </c>
      <c r="N61" s="53" t="s">
        <v>356</v>
      </c>
      <c r="O61" s="54" t="s">
        <v>357</v>
      </c>
      <c r="P61" s="37"/>
      <c r="Q61" s="38"/>
      <c r="R61" s="22"/>
      <c r="S61" s="22">
        <v>2.0</v>
      </c>
      <c r="T61" s="22"/>
      <c r="U61" s="22"/>
      <c r="V61" s="35"/>
      <c r="W61" s="22"/>
      <c r="X61" s="22"/>
      <c r="Y61" s="36" t="str">
        <f t="shared" si="7"/>
        <v>renew</v>
      </c>
      <c r="Z61" s="21" t="s">
        <v>27</v>
      </c>
      <c r="AA61" s="21"/>
    </row>
    <row r="62">
      <c r="A62" s="20" t="s">
        <v>358</v>
      </c>
      <c r="B62" s="20" t="s">
        <v>352</v>
      </c>
      <c r="C62" s="21">
        <v>1311.0</v>
      </c>
      <c r="D62" s="22" t="str">
        <f t="shared" si="1"/>
        <v>General</v>
      </c>
      <c r="E62" s="23" t="str">
        <f t="shared" si="2"/>
        <v>Lapsed</v>
      </c>
      <c r="F62" s="24">
        <v>1.0</v>
      </c>
      <c r="G62" s="25">
        <v>45817.0</v>
      </c>
      <c r="H62" s="26">
        <f t="shared" si="3"/>
        <v>46022</v>
      </c>
      <c r="I62" s="27"/>
      <c r="J62" s="29" t="s">
        <v>353</v>
      </c>
      <c r="K62" s="29" t="s">
        <v>354</v>
      </c>
      <c r="L62" s="30" t="s">
        <v>244</v>
      </c>
      <c r="M62" s="42" t="s">
        <v>355</v>
      </c>
      <c r="N62" s="53" t="s">
        <v>356</v>
      </c>
      <c r="O62" s="54" t="s">
        <v>357</v>
      </c>
      <c r="P62" s="37"/>
      <c r="Q62" s="38"/>
      <c r="R62" s="22"/>
      <c r="S62" s="22">
        <v>2.0</v>
      </c>
      <c r="T62" s="22"/>
      <c r="U62" s="22"/>
      <c r="V62" s="35"/>
      <c r="W62" s="22"/>
      <c r="X62" s="22"/>
      <c r="Y62" s="36" t="str">
        <f t="shared" si="7"/>
        <v>renew</v>
      </c>
      <c r="Z62" s="21" t="s">
        <v>27</v>
      </c>
      <c r="AA62" s="21"/>
    </row>
    <row r="63">
      <c r="A63" s="20" t="s">
        <v>56</v>
      </c>
      <c r="B63" s="20" t="s">
        <v>359</v>
      </c>
      <c r="C63" s="21">
        <v>1310.0</v>
      </c>
      <c r="D63" s="22" t="str">
        <f t="shared" si="1"/>
        <v>General</v>
      </c>
      <c r="E63" s="23" t="str">
        <f t="shared" si="2"/>
        <v>Lapsed</v>
      </c>
      <c r="F63" s="24">
        <v>1.0</v>
      </c>
      <c r="G63" s="25">
        <v>45817.0</v>
      </c>
      <c r="H63" s="26">
        <f t="shared" si="3"/>
        <v>46022</v>
      </c>
      <c r="I63" s="27"/>
      <c r="J63" s="29" t="s">
        <v>360</v>
      </c>
      <c r="K63" s="29" t="s">
        <v>190</v>
      </c>
      <c r="L63" s="30" t="s">
        <v>35</v>
      </c>
      <c r="M63" s="42" t="s">
        <v>191</v>
      </c>
      <c r="N63" s="53" t="s">
        <v>361</v>
      </c>
      <c r="O63" s="54" t="s">
        <v>362</v>
      </c>
      <c r="P63" s="37"/>
      <c r="Q63" s="38"/>
      <c r="R63" s="22"/>
      <c r="S63" s="22">
        <v>2.0</v>
      </c>
      <c r="T63" s="22"/>
      <c r="U63" s="22"/>
      <c r="V63" s="35"/>
      <c r="W63" s="22"/>
      <c r="X63" s="22"/>
      <c r="Y63" s="36" t="str">
        <f t="shared" si="7"/>
        <v>renew</v>
      </c>
      <c r="Z63" s="21" t="s">
        <v>27</v>
      </c>
      <c r="AA63" s="21"/>
    </row>
    <row r="64">
      <c r="A64" s="20" t="s">
        <v>363</v>
      </c>
      <c r="B64" s="20" t="s">
        <v>364</v>
      </c>
      <c r="C64" s="21">
        <v>1309.0</v>
      </c>
      <c r="D64" s="22" t="str">
        <f t="shared" si="1"/>
        <v>Youth</v>
      </c>
      <c r="E64" s="23" t="str">
        <f t="shared" si="2"/>
        <v>Lapsed</v>
      </c>
      <c r="F64" s="24">
        <v>1.0</v>
      </c>
      <c r="G64" s="25">
        <v>45817.0</v>
      </c>
      <c r="H64" s="26">
        <f t="shared" si="3"/>
        <v>46022</v>
      </c>
      <c r="I64" s="27"/>
      <c r="J64" s="29" t="s">
        <v>365</v>
      </c>
      <c r="K64" s="29" t="s">
        <v>56</v>
      </c>
      <c r="L64" s="30" t="s">
        <v>57</v>
      </c>
      <c r="M64" s="42" t="s">
        <v>63</v>
      </c>
      <c r="N64" s="53"/>
      <c r="O64" s="54" t="s">
        <v>366</v>
      </c>
      <c r="P64" s="48">
        <v>40549.0</v>
      </c>
      <c r="Q64" s="34">
        <f>datedif(P64,today(),"Y")</f>
        <v>15</v>
      </c>
      <c r="R64" s="22"/>
      <c r="S64" s="22">
        <v>2.0</v>
      </c>
      <c r="T64" s="22"/>
      <c r="U64" s="22"/>
      <c r="V64" s="35"/>
      <c r="W64" s="22"/>
      <c r="X64" s="22"/>
      <c r="Y64" s="36" t="str">
        <f t="shared" si="7"/>
        <v>renew</v>
      </c>
      <c r="Z64" s="21" t="s">
        <v>27</v>
      </c>
      <c r="AA64" s="21"/>
    </row>
    <row r="65">
      <c r="A65" s="20" t="s">
        <v>367</v>
      </c>
      <c r="B65" s="20" t="s">
        <v>368</v>
      </c>
      <c r="C65" s="21">
        <v>1308.0</v>
      </c>
      <c r="D65" s="22" t="str">
        <f t="shared" si="1"/>
        <v>General</v>
      </c>
      <c r="E65" s="23" t="str">
        <f t="shared" si="2"/>
        <v>Lapsed</v>
      </c>
      <c r="F65" s="24">
        <v>1.0</v>
      </c>
      <c r="G65" s="25">
        <v>45817.0</v>
      </c>
      <c r="H65" s="26">
        <f t="shared" si="3"/>
        <v>46022</v>
      </c>
      <c r="I65" s="27"/>
      <c r="J65" s="29" t="s">
        <v>369</v>
      </c>
      <c r="K65" s="29" t="s">
        <v>56</v>
      </c>
      <c r="L65" s="30" t="s">
        <v>57</v>
      </c>
      <c r="M65" s="42" t="s">
        <v>58</v>
      </c>
      <c r="N65" s="53" t="s">
        <v>370</v>
      </c>
      <c r="O65" s="54" t="s">
        <v>371</v>
      </c>
      <c r="P65" s="37"/>
      <c r="Q65" s="38"/>
      <c r="R65" s="22"/>
      <c r="S65" s="22">
        <v>2.0</v>
      </c>
      <c r="T65" s="22"/>
      <c r="U65" s="22"/>
      <c r="V65" s="35"/>
      <c r="W65" s="22"/>
      <c r="X65" s="22"/>
      <c r="Y65" s="36" t="str">
        <f t="shared" si="7"/>
        <v>renew</v>
      </c>
      <c r="Z65" s="21" t="s">
        <v>27</v>
      </c>
      <c r="AA65" s="21"/>
    </row>
    <row r="66">
      <c r="A66" s="20" t="s">
        <v>358</v>
      </c>
      <c r="B66" s="20" t="s">
        <v>372</v>
      </c>
      <c r="C66" s="21">
        <v>1307.0</v>
      </c>
      <c r="D66" s="22" t="str">
        <f t="shared" si="1"/>
        <v>Youth</v>
      </c>
      <c r="E66" s="23" t="str">
        <f t="shared" si="2"/>
        <v>Lapsed</v>
      </c>
      <c r="F66" s="24">
        <v>1.0</v>
      </c>
      <c r="G66" s="25">
        <v>45817.0</v>
      </c>
      <c r="H66" s="26">
        <f t="shared" si="3"/>
        <v>46022</v>
      </c>
      <c r="I66" s="27"/>
      <c r="J66" s="29" t="s">
        <v>373</v>
      </c>
      <c r="K66" s="29" t="s">
        <v>374</v>
      </c>
      <c r="L66" s="30" t="s">
        <v>35</v>
      </c>
      <c r="M66" s="42" t="s">
        <v>375</v>
      </c>
      <c r="N66" s="53" t="s">
        <v>376</v>
      </c>
      <c r="O66" s="54" t="s">
        <v>377</v>
      </c>
      <c r="P66" s="48">
        <v>41773.0</v>
      </c>
      <c r="Q66" s="34">
        <f t="shared" ref="Q66:Q67" si="8">datedif(P66,today(),"Y")</f>
        <v>11</v>
      </c>
      <c r="R66" s="22"/>
      <c r="S66" s="22">
        <v>2.0</v>
      </c>
      <c r="T66" s="22"/>
      <c r="U66" s="22"/>
      <c r="V66" s="35"/>
      <c r="W66" s="22"/>
      <c r="X66" s="22"/>
      <c r="Y66" s="36" t="str">
        <f t="shared" si="7"/>
        <v>renew</v>
      </c>
      <c r="Z66" s="21" t="s">
        <v>27</v>
      </c>
      <c r="AA66" s="21"/>
    </row>
    <row r="67">
      <c r="A67" s="20" t="s">
        <v>378</v>
      </c>
      <c r="B67" s="20" t="s">
        <v>372</v>
      </c>
      <c r="C67" s="21">
        <v>1306.0</v>
      </c>
      <c r="D67" s="22" t="str">
        <f t="shared" si="1"/>
        <v>Youth</v>
      </c>
      <c r="E67" s="23" t="str">
        <f t="shared" si="2"/>
        <v>Lapsed</v>
      </c>
      <c r="F67" s="24">
        <v>1.0</v>
      </c>
      <c r="G67" s="25">
        <v>45817.0</v>
      </c>
      <c r="H67" s="26">
        <f t="shared" si="3"/>
        <v>46022</v>
      </c>
      <c r="I67" s="27"/>
      <c r="J67" s="29" t="s">
        <v>373</v>
      </c>
      <c r="K67" s="29" t="s">
        <v>374</v>
      </c>
      <c r="L67" s="30" t="s">
        <v>35</v>
      </c>
      <c r="M67" s="42" t="s">
        <v>375</v>
      </c>
      <c r="N67" s="53" t="s">
        <v>376</v>
      </c>
      <c r="O67" s="54" t="s">
        <v>377</v>
      </c>
      <c r="P67" s="48">
        <v>42661.0</v>
      </c>
      <c r="Q67" s="34">
        <f t="shared" si="8"/>
        <v>9</v>
      </c>
      <c r="R67" s="22"/>
      <c r="S67" s="22">
        <v>2.0</v>
      </c>
      <c r="T67" s="22"/>
      <c r="U67" s="22"/>
      <c r="V67" s="35"/>
      <c r="W67" s="22"/>
      <c r="X67" s="22"/>
      <c r="Y67" s="36" t="str">
        <f t="shared" si="7"/>
        <v>renew</v>
      </c>
      <c r="Z67" s="21" t="s">
        <v>27</v>
      </c>
      <c r="AA67" s="21"/>
    </row>
    <row r="68">
      <c r="A68" s="20" t="s">
        <v>379</v>
      </c>
      <c r="B68" s="20" t="s">
        <v>372</v>
      </c>
      <c r="C68" s="21">
        <v>1305.0</v>
      </c>
      <c r="D68" s="22" t="str">
        <f t="shared" si="1"/>
        <v>General</v>
      </c>
      <c r="E68" s="23" t="str">
        <f t="shared" si="2"/>
        <v>Lapsed</v>
      </c>
      <c r="F68" s="24">
        <v>1.0</v>
      </c>
      <c r="G68" s="25">
        <v>45817.0</v>
      </c>
      <c r="H68" s="26">
        <f t="shared" si="3"/>
        <v>46022</v>
      </c>
      <c r="I68" s="27"/>
      <c r="J68" s="29" t="s">
        <v>373</v>
      </c>
      <c r="K68" s="29" t="s">
        <v>374</v>
      </c>
      <c r="L68" s="30" t="s">
        <v>35</v>
      </c>
      <c r="M68" s="42" t="s">
        <v>375</v>
      </c>
      <c r="N68" s="53" t="s">
        <v>376</v>
      </c>
      <c r="O68" s="54" t="s">
        <v>377</v>
      </c>
      <c r="P68" s="37"/>
      <c r="Q68" s="38"/>
      <c r="R68" s="22"/>
      <c r="S68" s="22">
        <v>2.0</v>
      </c>
      <c r="T68" s="22"/>
      <c r="U68" s="22"/>
      <c r="V68" s="35"/>
      <c r="W68" s="22"/>
      <c r="X68" s="22"/>
      <c r="Y68" s="36" t="str">
        <f t="shared" si="7"/>
        <v>renew</v>
      </c>
      <c r="Z68" s="21" t="s">
        <v>27</v>
      </c>
      <c r="AA68" s="21"/>
    </row>
    <row r="69">
      <c r="A69" s="20"/>
      <c r="B69" s="20"/>
      <c r="C69" s="21">
        <v>1304.0</v>
      </c>
      <c r="D69" s="22" t="str">
        <f t="shared" si="1"/>
        <v>Business</v>
      </c>
      <c r="E69" s="23" t="str">
        <f t="shared" si="2"/>
        <v>Lapsed</v>
      </c>
      <c r="F69" s="24"/>
      <c r="G69" s="25"/>
      <c r="H69" s="26"/>
      <c r="I69" s="27"/>
      <c r="J69" s="29"/>
      <c r="K69" s="29"/>
      <c r="L69" s="30"/>
      <c r="M69" s="42"/>
      <c r="N69" s="53"/>
      <c r="O69" s="54"/>
      <c r="P69" s="37"/>
      <c r="Q69" s="38"/>
      <c r="R69" s="22"/>
      <c r="S69" s="22">
        <v>2.0</v>
      </c>
      <c r="T69" s="22"/>
      <c r="U69" s="22"/>
      <c r="V69" s="35"/>
      <c r="W69" s="22"/>
      <c r="X69" s="22"/>
      <c r="Y69" s="55" t="s">
        <v>380</v>
      </c>
      <c r="Z69" s="21"/>
      <c r="AA69" s="21"/>
    </row>
    <row r="70">
      <c r="A70" s="20" t="s">
        <v>381</v>
      </c>
      <c r="B70" s="20" t="s">
        <v>382</v>
      </c>
      <c r="C70" s="21">
        <v>1303.0</v>
      </c>
      <c r="D70" s="22" t="str">
        <f t="shared" si="1"/>
        <v>General</v>
      </c>
      <c r="E70" s="23" t="str">
        <f t="shared" si="2"/>
        <v>Lapsed</v>
      </c>
      <c r="F70" s="24">
        <v>1.0</v>
      </c>
      <c r="G70" s="25">
        <v>45816.0</v>
      </c>
      <c r="H70" s="26">
        <f t="shared" ref="H70:H541" si="9">DATE(YEAR(G70)+F70-1, 12, 31)</f>
        <v>46022</v>
      </c>
      <c r="I70" s="27"/>
      <c r="J70" s="29" t="s">
        <v>383</v>
      </c>
      <c r="K70" s="29" t="s">
        <v>384</v>
      </c>
      <c r="L70" s="30" t="s">
        <v>35</v>
      </c>
      <c r="M70" s="42" t="s">
        <v>385</v>
      </c>
      <c r="N70" s="53" t="s">
        <v>386</v>
      </c>
      <c r="O70" s="54">
        <v>6.026907409E9</v>
      </c>
      <c r="P70" s="37"/>
      <c r="Q70" s="38"/>
      <c r="R70" s="22"/>
      <c r="S70" s="22">
        <v>2.0</v>
      </c>
      <c r="T70" s="22"/>
      <c r="U70" s="22"/>
      <c r="V70" s="35"/>
      <c r="W70" s="22"/>
      <c r="X70" s="22"/>
      <c r="Y70" s="36" t="str">
        <f t="shared" ref="Y70:Y73" si="10">if(E70="Active","send","renew")</f>
        <v>renew</v>
      </c>
      <c r="Z70" s="21" t="s">
        <v>8</v>
      </c>
      <c r="AA70" s="21"/>
    </row>
    <row r="71">
      <c r="A71" s="20" t="s">
        <v>387</v>
      </c>
      <c r="B71" s="20" t="s">
        <v>388</v>
      </c>
      <c r="C71" s="21">
        <v>1302.0</v>
      </c>
      <c r="D71" s="22" t="str">
        <f t="shared" si="1"/>
        <v>General</v>
      </c>
      <c r="E71" s="23" t="str">
        <f t="shared" si="2"/>
        <v>Lapsed</v>
      </c>
      <c r="F71" s="24">
        <v>1.0</v>
      </c>
      <c r="G71" s="25">
        <v>45812.0</v>
      </c>
      <c r="H71" s="26">
        <f t="shared" si="9"/>
        <v>46022</v>
      </c>
      <c r="I71" s="27"/>
      <c r="J71" s="29" t="s">
        <v>389</v>
      </c>
      <c r="K71" s="29" t="s">
        <v>390</v>
      </c>
      <c r="L71" s="30" t="s">
        <v>35</v>
      </c>
      <c r="M71" s="42" t="s">
        <v>391</v>
      </c>
      <c r="N71" s="53" t="s">
        <v>392</v>
      </c>
      <c r="O71" s="54">
        <v>4.062103464E9</v>
      </c>
      <c r="P71" s="37"/>
      <c r="Q71" s="38"/>
      <c r="R71" s="22"/>
      <c r="S71" s="22">
        <v>2.0</v>
      </c>
      <c r="T71" s="22"/>
      <c r="U71" s="22"/>
      <c r="V71" s="35"/>
      <c r="W71" s="22"/>
      <c r="X71" s="22"/>
      <c r="Y71" s="36" t="str">
        <f t="shared" si="10"/>
        <v>renew</v>
      </c>
      <c r="Z71" s="21" t="s">
        <v>8</v>
      </c>
      <c r="AA71" s="21"/>
    </row>
    <row r="72">
      <c r="A72" s="20" t="s">
        <v>393</v>
      </c>
      <c r="B72" s="20" t="s">
        <v>394</v>
      </c>
      <c r="C72" s="21">
        <v>1301.0</v>
      </c>
      <c r="D72" s="22" t="str">
        <f t="shared" si="1"/>
        <v>General</v>
      </c>
      <c r="E72" s="23" t="str">
        <f t="shared" si="2"/>
        <v>Lapsed</v>
      </c>
      <c r="F72" s="24">
        <v>1.0</v>
      </c>
      <c r="G72" s="25">
        <v>45771.0</v>
      </c>
      <c r="H72" s="26">
        <f t="shared" si="9"/>
        <v>46022</v>
      </c>
      <c r="I72" s="27"/>
      <c r="J72" s="29" t="s">
        <v>395</v>
      </c>
      <c r="K72" s="29" t="s">
        <v>396</v>
      </c>
      <c r="L72" s="30" t="s">
        <v>35</v>
      </c>
      <c r="M72" s="42" t="s">
        <v>397</v>
      </c>
      <c r="N72" s="53" t="s">
        <v>398</v>
      </c>
      <c r="O72" s="54">
        <v>9.703311628E9</v>
      </c>
      <c r="P72" s="37"/>
      <c r="Q72" s="38"/>
      <c r="R72" s="22"/>
      <c r="S72" s="22">
        <v>2.0</v>
      </c>
      <c r="T72" s="22"/>
      <c r="U72" s="22"/>
      <c r="V72" s="35"/>
      <c r="W72" s="22"/>
      <c r="X72" s="22"/>
      <c r="Y72" s="36" t="str">
        <f t="shared" si="10"/>
        <v>renew</v>
      </c>
      <c r="Z72" s="21" t="s">
        <v>27</v>
      </c>
      <c r="AA72" s="21"/>
    </row>
    <row r="73">
      <c r="A73" s="20" t="s">
        <v>399</v>
      </c>
      <c r="B73" s="20" t="s">
        <v>400</v>
      </c>
      <c r="C73" s="21">
        <v>1300.0</v>
      </c>
      <c r="D73" s="22" t="str">
        <f t="shared" si="1"/>
        <v>General</v>
      </c>
      <c r="E73" s="23" t="str">
        <f t="shared" si="2"/>
        <v>Lapsed</v>
      </c>
      <c r="F73" s="24">
        <v>1.0</v>
      </c>
      <c r="G73" s="25">
        <v>45771.0</v>
      </c>
      <c r="H73" s="26">
        <f t="shared" si="9"/>
        <v>46022</v>
      </c>
      <c r="I73" s="27"/>
      <c r="J73" s="29" t="s">
        <v>401</v>
      </c>
      <c r="K73" s="29" t="s">
        <v>322</v>
      </c>
      <c r="L73" s="30" t="s">
        <v>35</v>
      </c>
      <c r="M73" s="42" t="s">
        <v>402</v>
      </c>
      <c r="N73" s="53" t="s">
        <v>403</v>
      </c>
      <c r="O73" s="54">
        <v>7.204801306E9</v>
      </c>
      <c r="P73" s="37"/>
      <c r="Q73" s="38"/>
      <c r="R73" s="22"/>
      <c r="S73" s="22">
        <v>2.0</v>
      </c>
      <c r="T73" s="22"/>
      <c r="U73" s="22"/>
      <c r="V73" s="35"/>
      <c r="W73" s="22"/>
      <c r="X73" s="22"/>
      <c r="Y73" s="36" t="str">
        <f t="shared" si="10"/>
        <v>renew</v>
      </c>
      <c r="Z73" s="21" t="s">
        <v>27</v>
      </c>
      <c r="AA73" s="21"/>
    </row>
    <row r="74">
      <c r="A74" s="20" t="s">
        <v>404</v>
      </c>
      <c r="B74" s="20" t="s">
        <v>400</v>
      </c>
      <c r="C74" s="21">
        <v>1299.0</v>
      </c>
      <c r="D74" s="22" t="str">
        <f t="shared" si="1"/>
        <v>General</v>
      </c>
      <c r="E74" s="23" t="str">
        <f t="shared" si="2"/>
        <v>Active</v>
      </c>
      <c r="F74" s="24">
        <v>3.0</v>
      </c>
      <c r="G74" s="25">
        <v>45771.0</v>
      </c>
      <c r="H74" s="26">
        <f t="shared" si="9"/>
        <v>46752</v>
      </c>
      <c r="I74" s="27" t="s">
        <v>27</v>
      </c>
      <c r="J74" s="29" t="s">
        <v>401</v>
      </c>
      <c r="K74" s="29" t="s">
        <v>322</v>
      </c>
      <c r="L74" s="30" t="s">
        <v>35</v>
      </c>
      <c r="M74" s="42" t="s">
        <v>402</v>
      </c>
      <c r="N74" s="53" t="s">
        <v>403</v>
      </c>
      <c r="O74" s="54">
        <v>7.204801306E9</v>
      </c>
      <c r="P74" s="37"/>
      <c r="Q74" s="38"/>
      <c r="R74" s="22"/>
      <c r="S74" s="22">
        <v>2.0</v>
      </c>
      <c r="T74" s="22"/>
      <c r="U74" s="22"/>
      <c r="V74" s="35"/>
      <c r="W74" s="22"/>
      <c r="X74" s="22"/>
      <c r="Y74" s="36" t="s">
        <v>45</v>
      </c>
      <c r="Z74" s="21" t="s">
        <v>27</v>
      </c>
      <c r="AA74" s="21"/>
    </row>
    <row r="75">
      <c r="A75" s="20" t="s">
        <v>351</v>
      </c>
      <c r="B75" s="20" t="s">
        <v>405</v>
      </c>
      <c r="C75" s="21">
        <v>1298.0</v>
      </c>
      <c r="D75" s="22" t="str">
        <f t="shared" si="1"/>
        <v>General</v>
      </c>
      <c r="E75" s="23" t="str">
        <f t="shared" si="2"/>
        <v>Lapsed</v>
      </c>
      <c r="F75" s="24">
        <v>1.0</v>
      </c>
      <c r="G75" s="25">
        <v>45771.0</v>
      </c>
      <c r="H75" s="26">
        <f t="shared" si="9"/>
        <v>46022</v>
      </c>
      <c r="I75" s="21"/>
      <c r="J75" s="29" t="s">
        <v>406</v>
      </c>
      <c r="K75" s="29" t="s">
        <v>407</v>
      </c>
      <c r="L75" s="30" t="s">
        <v>35</v>
      </c>
      <c r="M75" s="42" t="s">
        <v>408</v>
      </c>
      <c r="N75" s="53" t="s">
        <v>409</v>
      </c>
      <c r="O75" s="54">
        <v>2.488909175E9</v>
      </c>
      <c r="P75" s="37"/>
      <c r="Q75" s="38"/>
      <c r="R75" s="22"/>
      <c r="S75" s="22">
        <v>2.0</v>
      </c>
      <c r="T75" s="22"/>
      <c r="U75" s="22"/>
      <c r="V75" s="35"/>
      <c r="W75" s="22"/>
      <c r="X75" s="22"/>
      <c r="Y75" s="36" t="str">
        <f>if(E75="Active","send","renew")</f>
        <v>renew</v>
      </c>
      <c r="Z75" s="21" t="s">
        <v>8</v>
      </c>
      <c r="AA75" s="21"/>
    </row>
    <row r="76">
      <c r="A76" s="20" t="s">
        <v>53</v>
      </c>
      <c r="B76" s="20" t="s">
        <v>309</v>
      </c>
      <c r="C76" s="21">
        <v>1297.0</v>
      </c>
      <c r="D76" s="22" t="str">
        <f t="shared" si="1"/>
        <v>General</v>
      </c>
      <c r="E76" s="23" t="str">
        <f t="shared" si="2"/>
        <v>Active</v>
      </c>
      <c r="F76" s="24">
        <v>1.0</v>
      </c>
      <c r="G76" s="25">
        <v>46129.0</v>
      </c>
      <c r="H76" s="26">
        <f t="shared" si="9"/>
        <v>46387</v>
      </c>
      <c r="I76" s="21"/>
      <c r="J76" s="29" t="s">
        <v>410</v>
      </c>
      <c r="K76" s="29" t="s">
        <v>190</v>
      </c>
      <c r="L76" s="30" t="s">
        <v>35</v>
      </c>
      <c r="M76" s="42" t="s">
        <v>311</v>
      </c>
      <c r="N76" s="53" t="s">
        <v>411</v>
      </c>
      <c r="O76" s="54">
        <v>9.702948448E9</v>
      </c>
      <c r="P76" s="37"/>
      <c r="Q76" s="38"/>
      <c r="R76" s="22"/>
      <c r="S76" s="22">
        <v>2.0</v>
      </c>
      <c r="T76" s="22"/>
      <c r="U76" s="22"/>
      <c r="V76" s="35"/>
      <c r="W76" s="22"/>
      <c r="X76" s="22"/>
      <c r="Y76" s="36" t="s">
        <v>412</v>
      </c>
      <c r="Z76" s="21" t="s">
        <v>8</v>
      </c>
      <c r="AA76" s="21"/>
    </row>
    <row r="77">
      <c r="A77" s="20" t="s">
        <v>413</v>
      </c>
      <c r="B77" s="20" t="s">
        <v>414</v>
      </c>
      <c r="C77" s="21">
        <v>1296.0</v>
      </c>
      <c r="D77" s="22" t="str">
        <f t="shared" si="1"/>
        <v>General</v>
      </c>
      <c r="E77" s="23" t="str">
        <f t="shared" si="2"/>
        <v>Lapsed</v>
      </c>
      <c r="F77" s="24">
        <v>1.0</v>
      </c>
      <c r="G77" s="25">
        <v>45771.0</v>
      </c>
      <c r="H77" s="26">
        <f t="shared" si="9"/>
        <v>46022</v>
      </c>
      <c r="I77" s="27"/>
      <c r="J77" s="29" t="s">
        <v>415</v>
      </c>
      <c r="K77" s="29" t="s">
        <v>416</v>
      </c>
      <c r="L77" s="30" t="s">
        <v>35</v>
      </c>
      <c r="M77" s="42" t="s">
        <v>417</v>
      </c>
      <c r="N77" s="53" t="s">
        <v>418</v>
      </c>
      <c r="O77" s="54" t="s">
        <v>419</v>
      </c>
      <c r="P77" s="37"/>
      <c r="Q77" s="38"/>
      <c r="R77" s="22">
        <v>2025.0</v>
      </c>
      <c r="S77" s="22">
        <v>2.0</v>
      </c>
      <c r="T77" s="22"/>
      <c r="U77" s="22"/>
      <c r="V77" s="35"/>
      <c r="W77" s="22"/>
      <c r="X77" s="22"/>
      <c r="Y77" s="36" t="str">
        <f t="shared" ref="Y77:Y129" si="11">if(E77="Active","send","renew")</f>
        <v>renew</v>
      </c>
      <c r="Z77" s="21" t="s">
        <v>27</v>
      </c>
      <c r="AA77" s="21"/>
    </row>
    <row r="78">
      <c r="A78" s="20" t="s">
        <v>420</v>
      </c>
      <c r="B78" s="20" t="s">
        <v>421</v>
      </c>
      <c r="C78" s="21">
        <v>1295.0</v>
      </c>
      <c r="D78" s="22" t="str">
        <f t="shared" si="1"/>
        <v>General</v>
      </c>
      <c r="E78" s="23" t="str">
        <f t="shared" si="2"/>
        <v>Lapsed</v>
      </c>
      <c r="F78" s="24">
        <v>1.0</v>
      </c>
      <c r="G78" s="25">
        <v>45771.0</v>
      </c>
      <c r="H78" s="26">
        <f t="shared" si="9"/>
        <v>46022</v>
      </c>
      <c r="I78" s="21"/>
      <c r="J78" s="29" t="s">
        <v>422</v>
      </c>
      <c r="K78" s="29" t="s">
        <v>423</v>
      </c>
      <c r="L78" s="30" t="s">
        <v>35</v>
      </c>
      <c r="M78" s="42" t="s">
        <v>424</v>
      </c>
      <c r="N78" s="53" t="s">
        <v>425</v>
      </c>
      <c r="O78" s="54">
        <v>4.05612094E9</v>
      </c>
      <c r="P78" s="37"/>
      <c r="Q78" s="38"/>
      <c r="R78" s="56">
        <v>2025.0</v>
      </c>
      <c r="S78" s="22">
        <v>1.0</v>
      </c>
      <c r="T78" s="22"/>
      <c r="U78" s="22"/>
      <c r="V78" s="35"/>
      <c r="W78" s="22"/>
      <c r="X78" s="22"/>
      <c r="Y78" s="36" t="str">
        <f t="shared" si="11"/>
        <v>renew</v>
      </c>
      <c r="Z78" s="21" t="s">
        <v>72</v>
      </c>
      <c r="AA78" s="21"/>
    </row>
    <row r="79">
      <c r="A79" s="20" t="s">
        <v>426</v>
      </c>
      <c r="B79" s="20" t="s">
        <v>427</v>
      </c>
      <c r="C79" s="21">
        <v>1294.0</v>
      </c>
      <c r="D79" s="22" t="str">
        <f t="shared" si="1"/>
        <v>General</v>
      </c>
      <c r="E79" s="23" t="str">
        <f t="shared" si="2"/>
        <v>Lapsed</v>
      </c>
      <c r="F79" s="24">
        <v>1.0</v>
      </c>
      <c r="G79" s="25">
        <v>45771.0</v>
      </c>
      <c r="H79" s="26">
        <f t="shared" si="9"/>
        <v>46022</v>
      </c>
      <c r="I79" s="21"/>
      <c r="J79" s="29" t="s">
        <v>428</v>
      </c>
      <c r="K79" s="29" t="s">
        <v>429</v>
      </c>
      <c r="L79" s="30" t="s">
        <v>35</v>
      </c>
      <c r="M79" s="42" t="s">
        <v>430</v>
      </c>
      <c r="N79" s="53" t="s">
        <v>431</v>
      </c>
      <c r="O79" s="54">
        <v>9.706400743E9</v>
      </c>
      <c r="P79" s="37"/>
      <c r="Q79" s="38"/>
      <c r="R79" s="22"/>
      <c r="S79" s="22">
        <v>1.0</v>
      </c>
      <c r="T79" s="22"/>
      <c r="U79" s="22"/>
      <c r="V79" s="35"/>
      <c r="W79" s="22"/>
      <c r="X79" s="22"/>
      <c r="Y79" s="36" t="str">
        <f t="shared" si="11"/>
        <v>renew</v>
      </c>
      <c r="Z79" s="21" t="s">
        <v>72</v>
      </c>
      <c r="AA79" s="21"/>
    </row>
    <row r="80">
      <c r="A80" s="20" t="s">
        <v>432</v>
      </c>
      <c r="B80" s="20" t="s">
        <v>433</v>
      </c>
      <c r="C80" s="21">
        <v>1293.0</v>
      </c>
      <c r="D80" s="22" t="str">
        <f t="shared" si="1"/>
        <v>General</v>
      </c>
      <c r="E80" s="23" t="str">
        <f t="shared" si="2"/>
        <v>Lapsed</v>
      </c>
      <c r="F80" s="24">
        <v>1.0</v>
      </c>
      <c r="G80" s="25">
        <v>45771.0</v>
      </c>
      <c r="H80" s="26">
        <f t="shared" si="9"/>
        <v>46022</v>
      </c>
      <c r="I80" s="27"/>
      <c r="J80" s="29" t="s">
        <v>434</v>
      </c>
      <c r="K80" s="29" t="s">
        <v>435</v>
      </c>
      <c r="L80" s="30" t="s">
        <v>35</v>
      </c>
      <c r="M80" s="42" t="s">
        <v>436</v>
      </c>
      <c r="N80" s="53" t="s">
        <v>437</v>
      </c>
      <c r="O80" s="54">
        <v>9.704098785E9</v>
      </c>
      <c r="P80" s="37"/>
      <c r="Q80" s="38"/>
      <c r="R80" s="22"/>
      <c r="S80" s="22">
        <v>1.0</v>
      </c>
      <c r="T80" s="22"/>
      <c r="U80" s="22"/>
      <c r="V80" s="35"/>
      <c r="W80" s="22"/>
      <c r="X80" s="22"/>
      <c r="Y80" s="36" t="str">
        <f t="shared" si="11"/>
        <v>renew</v>
      </c>
      <c r="Z80" s="21" t="s">
        <v>27</v>
      </c>
      <c r="AA80" s="21"/>
    </row>
    <row r="81">
      <c r="A81" s="20" t="s">
        <v>438</v>
      </c>
      <c r="B81" s="20" t="s">
        <v>439</v>
      </c>
      <c r="C81" s="21">
        <v>1292.0</v>
      </c>
      <c r="D81" s="22" t="str">
        <f t="shared" si="1"/>
        <v>General</v>
      </c>
      <c r="E81" s="23" t="str">
        <f t="shared" si="2"/>
        <v>Lapsed</v>
      </c>
      <c r="F81" s="24">
        <v>1.0</v>
      </c>
      <c r="G81" s="25">
        <v>45771.0</v>
      </c>
      <c r="H81" s="26">
        <f t="shared" si="9"/>
        <v>46022</v>
      </c>
      <c r="I81" s="21"/>
      <c r="J81" s="29" t="s">
        <v>440</v>
      </c>
      <c r="K81" s="29" t="s">
        <v>56</v>
      </c>
      <c r="L81" s="30" t="s">
        <v>57</v>
      </c>
      <c r="M81" s="42" t="s">
        <v>63</v>
      </c>
      <c r="N81" s="53" t="s">
        <v>441</v>
      </c>
      <c r="O81" s="54">
        <v>3.073210238E9</v>
      </c>
      <c r="P81" s="37"/>
      <c r="Q81" s="38"/>
      <c r="R81" s="22"/>
      <c r="S81" s="22">
        <v>1.0</v>
      </c>
      <c r="T81" s="22"/>
      <c r="U81" s="22"/>
      <c r="V81" s="35"/>
      <c r="W81" s="22"/>
      <c r="X81" s="22"/>
      <c r="Y81" s="36" t="str">
        <f t="shared" si="11"/>
        <v>renew</v>
      </c>
      <c r="Z81" s="21" t="s">
        <v>72</v>
      </c>
      <c r="AA81" s="21"/>
    </row>
    <row r="82">
      <c r="A82" s="20" t="s">
        <v>186</v>
      </c>
      <c r="B82" s="20" t="s">
        <v>442</v>
      </c>
      <c r="C82" s="21">
        <v>1291.0</v>
      </c>
      <c r="D82" s="22" t="str">
        <f t="shared" si="1"/>
        <v>General</v>
      </c>
      <c r="E82" s="23" t="str">
        <f t="shared" si="2"/>
        <v>Lapsed</v>
      </c>
      <c r="F82" s="24">
        <v>1.0</v>
      </c>
      <c r="G82" s="25">
        <v>45771.0</v>
      </c>
      <c r="H82" s="26">
        <f t="shared" si="9"/>
        <v>46022</v>
      </c>
      <c r="I82" s="21"/>
      <c r="J82" s="29" t="s">
        <v>443</v>
      </c>
      <c r="K82" s="29" t="s">
        <v>276</v>
      </c>
      <c r="L82" s="30" t="s">
        <v>35</v>
      </c>
      <c r="M82" s="42" t="s">
        <v>277</v>
      </c>
      <c r="N82" s="53" t="s">
        <v>444</v>
      </c>
      <c r="O82" s="54">
        <v>8.602878163E9</v>
      </c>
      <c r="P82" s="37"/>
      <c r="Q82" s="38"/>
      <c r="R82" s="22"/>
      <c r="S82" s="22">
        <v>1.0</v>
      </c>
      <c r="T82" s="22"/>
      <c r="U82" s="22"/>
      <c r="V82" s="35"/>
      <c r="W82" s="22"/>
      <c r="X82" s="22"/>
      <c r="Y82" s="36" t="str">
        <f t="shared" si="11"/>
        <v>renew</v>
      </c>
      <c r="Z82" s="21" t="s">
        <v>72</v>
      </c>
      <c r="AA82" s="21"/>
    </row>
    <row r="83">
      <c r="A83" s="20" t="s">
        <v>445</v>
      </c>
      <c r="B83" s="20" t="s">
        <v>446</v>
      </c>
      <c r="C83" s="21">
        <v>1290.0</v>
      </c>
      <c r="D83" s="22" t="str">
        <f t="shared" si="1"/>
        <v>General</v>
      </c>
      <c r="E83" s="23" t="str">
        <f t="shared" si="2"/>
        <v>Lapsed</v>
      </c>
      <c r="F83" s="24">
        <v>1.0</v>
      </c>
      <c r="G83" s="25">
        <v>45771.0</v>
      </c>
      <c r="H83" s="26">
        <f t="shared" si="9"/>
        <v>46022</v>
      </c>
      <c r="I83" s="27"/>
      <c r="J83" s="28" t="s">
        <v>447</v>
      </c>
      <c r="K83" s="29" t="s">
        <v>448</v>
      </c>
      <c r="L83" s="30" t="s">
        <v>35</v>
      </c>
      <c r="M83" s="31" t="s">
        <v>277</v>
      </c>
      <c r="N83" s="57" t="s">
        <v>449</v>
      </c>
      <c r="O83" s="32">
        <v>9.72420181E9</v>
      </c>
      <c r="P83" s="37"/>
      <c r="Q83" s="34"/>
      <c r="R83" s="22"/>
      <c r="S83" s="22">
        <v>1.0</v>
      </c>
      <c r="T83" s="22"/>
      <c r="U83" s="22"/>
      <c r="V83" s="35"/>
      <c r="W83" s="22"/>
      <c r="X83" s="22"/>
      <c r="Y83" s="36" t="str">
        <f t="shared" si="11"/>
        <v>renew</v>
      </c>
      <c r="Z83" s="21" t="s">
        <v>27</v>
      </c>
      <c r="AA83" s="21"/>
    </row>
    <row r="84">
      <c r="A84" s="20" t="s">
        <v>450</v>
      </c>
      <c r="B84" s="20" t="s">
        <v>451</v>
      </c>
      <c r="C84" s="21">
        <v>1289.0</v>
      </c>
      <c r="D84" s="22" t="str">
        <f t="shared" si="1"/>
        <v>General</v>
      </c>
      <c r="E84" s="23" t="str">
        <f t="shared" si="2"/>
        <v>Lapsed</v>
      </c>
      <c r="F84" s="24">
        <v>1.0</v>
      </c>
      <c r="G84" s="25">
        <v>45771.0</v>
      </c>
      <c r="H84" s="26">
        <f t="shared" si="9"/>
        <v>46022</v>
      </c>
      <c r="I84" s="21"/>
      <c r="J84" s="29" t="s">
        <v>452</v>
      </c>
      <c r="K84" s="29" t="s">
        <v>89</v>
      </c>
      <c r="L84" s="30" t="s">
        <v>35</v>
      </c>
      <c r="M84" s="42" t="s">
        <v>90</v>
      </c>
      <c r="N84" s="53" t="s">
        <v>453</v>
      </c>
      <c r="O84" s="54">
        <v>9.705689022E9</v>
      </c>
      <c r="P84" s="37"/>
      <c r="Q84" s="34"/>
      <c r="R84" s="22"/>
      <c r="S84" s="22">
        <v>1.0</v>
      </c>
      <c r="T84" s="22"/>
      <c r="U84" s="22"/>
      <c r="V84" s="35"/>
      <c r="W84" s="22"/>
      <c r="X84" s="22"/>
      <c r="Y84" s="36" t="str">
        <f t="shared" si="11"/>
        <v>renew</v>
      </c>
      <c r="Z84" s="21" t="s">
        <v>72</v>
      </c>
      <c r="AA84" s="21"/>
    </row>
    <row r="85">
      <c r="A85" s="20" t="s">
        <v>454</v>
      </c>
      <c r="B85" s="20" t="s">
        <v>455</v>
      </c>
      <c r="C85" s="21">
        <v>1288.0</v>
      </c>
      <c r="D85" s="22" t="str">
        <f t="shared" si="1"/>
        <v>General</v>
      </c>
      <c r="E85" s="23" t="str">
        <f t="shared" si="2"/>
        <v>Lapsed</v>
      </c>
      <c r="F85" s="24">
        <v>1.0</v>
      </c>
      <c r="G85" s="25">
        <v>45771.0</v>
      </c>
      <c r="H85" s="26">
        <f t="shared" si="9"/>
        <v>46022</v>
      </c>
      <c r="I85" s="21"/>
      <c r="J85" s="29" t="s">
        <v>456</v>
      </c>
      <c r="K85" s="29" t="s">
        <v>457</v>
      </c>
      <c r="L85" s="30" t="s">
        <v>35</v>
      </c>
      <c r="M85" s="42" t="s">
        <v>458</v>
      </c>
      <c r="N85" s="53" t="s">
        <v>459</v>
      </c>
      <c r="O85" s="54">
        <v>7.194312306E9</v>
      </c>
      <c r="P85" s="37"/>
      <c r="Q85" s="34"/>
      <c r="R85" s="22"/>
      <c r="S85" s="22">
        <v>1.0</v>
      </c>
      <c r="T85" s="22"/>
      <c r="U85" s="22"/>
      <c r="V85" s="35"/>
      <c r="W85" s="22"/>
      <c r="X85" s="22"/>
      <c r="Y85" s="36" t="str">
        <f t="shared" si="11"/>
        <v>renew</v>
      </c>
      <c r="Z85" s="21" t="s">
        <v>72</v>
      </c>
      <c r="AA85" s="21"/>
    </row>
    <row r="86">
      <c r="A86" s="20" t="s">
        <v>279</v>
      </c>
      <c r="B86" s="20" t="s">
        <v>460</v>
      </c>
      <c r="C86" s="21">
        <v>1287.0</v>
      </c>
      <c r="D86" s="22" t="str">
        <f t="shared" si="1"/>
        <v>General</v>
      </c>
      <c r="E86" s="23" t="str">
        <f t="shared" si="2"/>
        <v>Lapsed</v>
      </c>
      <c r="F86" s="24">
        <v>1.0</v>
      </c>
      <c r="G86" s="25">
        <v>45771.0</v>
      </c>
      <c r="H86" s="26">
        <f t="shared" si="9"/>
        <v>46022</v>
      </c>
      <c r="I86" s="21"/>
      <c r="J86" s="29" t="s">
        <v>461</v>
      </c>
      <c r="K86" s="29" t="s">
        <v>276</v>
      </c>
      <c r="L86" s="30" t="s">
        <v>35</v>
      </c>
      <c r="M86" s="42" t="s">
        <v>462</v>
      </c>
      <c r="N86" s="53" t="s">
        <v>463</v>
      </c>
      <c r="O86" s="54">
        <v>3.039078855E9</v>
      </c>
      <c r="P86" s="37"/>
      <c r="Q86" s="34"/>
      <c r="R86" s="22"/>
      <c r="S86" s="22">
        <v>1.0</v>
      </c>
      <c r="T86" s="22"/>
      <c r="U86" s="22"/>
      <c r="V86" s="35"/>
      <c r="W86" s="22"/>
      <c r="X86" s="22"/>
      <c r="Y86" s="36" t="str">
        <f t="shared" si="11"/>
        <v>renew</v>
      </c>
      <c r="Z86" s="21" t="s">
        <v>72</v>
      </c>
      <c r="AA86" s="21"/>
    </row>
    <row r="87">
      <c r="A87" s="20" t="s">
        <v>464</v>
      </c>
      <c r="B87" s="20" t="s">
        <v>465</v>
      </c>
      <c r="C87" s="21">
        <v>1286.0</v>
      </c>
      <c r="D87" s="22" t="str">
        <f t="shared" si="1"/>
        <v>General</v>
      </c>
      <c r="E87" s="23" t="str">
        <f t="shared" si="2"/>
        <v>Lapsed</v>
      </c>
      <c r="F87" s="24">
        <v>1.0</v>
      </c>
      <c r="G87" s="25">
        <v>45771.0</v>
      </c>
      <c r="H87" s="26">
        <f t="shared" si="9"/>
        <v>46022</v>
      </c>
      <c r="I87" s="21"/>
      <c r="J87" s="29" t="s">
        <v>466</v>
      </c>
      <c r="K87" s="29" t="s">
        <v>467</v>
      </c>
      <c r="L87" s="30" t="s">
        <v>35</v>
      </c>
      <c r="M87" s="42" t="s">
        <v>468</v>
      </c>
      <c r="N87" s="53" t="s">
        <v>469</v>
      </c>
      <c r="O87" s="54" t="s">
        <v>470</v>
      </c>
      <c r="P87" s="37"/>
      <c r="Q87" s="34"/>
      <c r="R87" s="22"/>
      <c r="S87" s="22">
        <v>1.0</v>
      </c>
      <c r="T87" s="22"/>
      <c r="U87" s="22"/>
      <c r="V87" s="35"/>
      <c r="W87" s="22"/>
      <c r="X87" s="22"/>
      <c r="Y87" s="36" t="str">
        <f t="shared" si="11"/>
        <v>renew</v>
      </c>
      <c r="Z87" s="21" t="s">
        <v>72</v>
      </c>
      <c r="AA87" s="21"/>
    </row>
    <row r="88">
      <c r="A88" s="20" t="s">
        <v>53</v>
      </c>
      <c r="B88" s="20" t="s">
        <v>471</v>
      </c>
      <c r="C88" s="21">
        <v>1285.0</v>
      </c>
      <c r="D88" s="22" t="str">
        <f t="shared" si="1"/>
        <v>Youth</v>
      </c>
      <c r="E88" s="23" t="str">
        <f t="shared" si="2"/>
        <v>Lapsed</v>
      </c>
      <c r="F88" s="24">
        <v>1.0</v>
      </c>
      <c r="G88" s="25">
        <v>45771.0</v>
      </c>
      <c r="H88" s="26">
        <f t="shared" si="9"/>
        <v>46022</v>
      </c>
      <c r="I88" s="21"/>
      <c r="J88" s="29" t="s">
        <v>472</v>
      </c>
      <c r="K88" s="29" t="s">
        <v>473</v>
      </c>
      <c r="L88" s="30" t="s">
        <v>35</v>
      </c>
      <c r="M88" s="42" t="s">
        <v>474</v>
      </c>
      <c r="N88" s="53" t="s">
        <v>475</v>
      </c>
      <c r="O88" s="54" t="s">
        <v>476</v>
      </c>
      <c r="P88" s="48">
        <v>40709.0</v>
      </c>
      <c r="Q88" s="34">
        <f t="shared" ref="Q88:Q90" si="12">datedif(P88,today(),"Y")</f>
        <v>14</v>
      </c>
      <c r="R88" s="22"/>
      <c r="S88" s="22">
        <v>1.0</v>
      </c>
      <c r="T88" s="22"/>
      <c r="U88" s="22"/>
      <c r="V88" s="35"/>
      <c r="W88" s="22"/>
      <c r="X88" s="22"/>
      <c r="Y88" s="36" t="str">
        <f t="shared" si="11"/>
        <v>renew</v>
      </c>
      <c r="Z88" s="21" t="s">
        <v>72</v>
      </c>
      <c r="AA88" s="21"/>
    </row>
    <row r="89">
      <c r="A89" s="20" t="s">
        <v>477</v>
      </c>
      <c r="B89" s="20" t="s">
        <v>478</v>
      </c>
      <c r="C89" s="21">
        <v>1284.0</v>
      </c>
      <c r="D89" s="22" t="str">
        <f t="shared" si="1"/>
        <v>Youth</v>
      </c>
      <c r="E89" s="23" t="str">
        <f t="shared" si="2"/>
        <v>Lapsed</v>
      </c>
      <c r="F89" s="24">
        <v>1.0</v>
      </c>
      <c r="G89" s="25">
        <v>45771.0</v>
      </c>
      <c r="H89" s="26">
        <f t="shared" si="9"/>
        <v>46022</v>
      </c>
      <c r="I89" s="21"/>
      <c r="J89" s="29" t="s">
        <v>479</v>
      </c>
      <c r="K89" s="29" t="s">
        <v>190</v>
      </c>
      <c r="L89" s="30" t="s">
        <v>35</v>
      </c>
      <c r="M89" s="42" t="s">
        <v>311</v>
      </c>
      <c r="N89" s="53" t="s">
        <v>480</v>
      </c>
      <c r="O89" s="54">
        <v>9.704736461E9</v>
      </c>
      <c r="P89" s="48">
        <v>40284.0</v>
      </c>
      <c r="Q89" s="34">
        <f t="shared" si="12"/>
        <v>16</v>
      </c>
      <c r="R89" s="22"/>
      <c r="S89" s="22">
        <v>1.0</v>
      </c>
      <c r="T89" s="22"/>
      <c r="U89" s="22"/>
      <c r="V89" s="35"/>
      <c r="W89" s="22"/>
      <c r="X89" s="22"/>
      <c r="Y89" s="36" t="str">
        <f t="shared" si="11"/>
        <v>renew</v>
      </c>
      <c r="Z89" s="21" t="s">
        <v>72</v>
      </c>
      <c r="AA89" s="21"/>
    </row>
    <row r="90">
      <c r="A90" s="20" t="s">
        <v>481</v>
      </c>
      <c r="B90" s="20" t="s">
        <v>260</v>
      </c>
      <c r="C90" s="21">
        <v>1283.0</v>
      </c>
      <c r="D90" s="22" t="str">
        <f t="shared" si="1"/>
        <v>Youth</v>
      </c>
      <c r="E90" s="23" t="str">
        <f t="shared" si="2"/>
        <v>Lapsed</v>
      </c>
      <c r="F90" s="24">
        <v>1.0</v>
      </c>
      <c r="G90" s="25">
        <v>45771.0</v>
      </c>
      <c r="H90" s="26">
        <f t="shared" si="9"/>
        <v>46022</v>
      </c>
      <c r="I90" s="21"/>
      <c r="J90" s="29" t="s">
        <v>482</v>
      </c>
      <c r="K90" s="29" t="s">
        <v>190</v>
      </c>
      <c r="L90" s="30" t="s">
        <v>35</v>
      </c>
      <c r="M90" s="42" t="s">
        <v>311</v>
      </c>
      <c r="N90" s="53" t="s">
        <v>483</v>
      </c>
      <c r="O90" s="54">
        <v>9.703080856E9</v>
      </c>
      <c r="P90" s="48">
        <v>41565.0</v>
      </c>
      <c r="Q90" s="34">
        <f t="shared" si="12"/>
        <v>12</v>
      </c>
      <c r="R90" s="22"/>
      <c r="S90" s="22">
        <v>1.0</v>
      </c>
      <c r="T90" s="22"/>
      <c r="U90" s="22"/>
      <c r="V90" s="35"/>
      <c r="W90" s="22"/>
      <c r="X90" s="22"/>
      <c r="Y90" s="36" t="str">
        <f t="shared" si="11"/>
        <v>renew</v>
      </c>
      <c r="Z90" s="21" t="s">
        <v>72</v>
      </c>
      <c r="AA90" s="21"/>
    </row>
    <row r="91">
      <c r="A91" s="20" t="s">
        <v>484</v>
      </c>
      <c r="B91" s="20" t="s">
        <v>485</v>
      </c>
      <c r="C91" s="21">
        <v>1282.0</v>
      </c>
      <c r="D91" s="22" t="str">
        <f t="shared" si="1"/>
        <v>General</v>
      </c>
      <c r="E91" s="23" t="str">
        <f t="shared" si="2"/>
        <v>Lapsed</v>
      </c>
      <c r="F91" s="24">
        <v>1.0</v>
      </c>
      <c r="G91" s="25">
        <v>45771.0</v>
      </c>
      <c r="H91" s="26">
        <f t="shared" si="9"/>
        <v>46022</v>
      </c>
      <c r="I91" s="21"/>
      <c r="J91" s="29" t="s">
        <v>486</v>
      </c>
      <c r="K91" s="29" t="s">
        <v>190</v>
      </c>
      <c r="L91" s="30" t="s">
        <v>35</v>
      </c>
      <c r="M91" s="42" t="s">
        <v>191</v>
      </c>
      <c r="N91" s="53" t="s">
        <v>487</v>
      </c>
      <c r="O91" s="54">
        <v>9.706981028E9</v>
      </c>
      <c r="P91" s="37"/>
      <c r="Q91" s="34"/>
      <c r="R91" s="22"/>
      <c r="S91" s="22">
        <v>1.0</v>
      </c>
      <c r="T91" s="22"/>
      <c r="U91" s="22"/>
      <c r="V91" s="35"/>
      <c r="W91" s="22"/>
      <c r="X91" s="22"/>
      <c r="Y91" s="36" t="str">
        <f t="shared" si="11"/>
        <v>renew</v>
      </c>
      <c r="Z91" s="21" t="s">
        <v>72</v>
      </c>
      <c r="AA91" s="21"/>
    </row>
    <row r="92">
      <c r="A92" s="20" t="s">
        <v>488</v>
      </c>
      <c r="B92" s="20" t="s">
        <v>489</v>
      </c>
      <c r="C92" s="21">
        <v>1281.0</v>
      </c>
      <c r="D92" s="22" t="str">
        <f t="shared" si="1"/>
        <v>General</v>
      </c>
      <c r="E92" s="23" t="str">
        <f t="shared" si="2"/>
        <v>Lapsed</v>
      </c>
      <c r="F92" s="24">
        <v>1.0</v>
      </c>
      <c r="G92" s="25">
        <v>45771.0</v>
      </c>
      <c r="H92" s="26">
        <f t="shared" si="9"/>
        <v>46022</v>
      </c>
      <c r="I92" s="21"/>
      <c r="J92" s="29" t="s">
        <v>490</v>
      </c>
      <c r="K92" s="29" t="s">
        <v>491</v>
      </c>
      <c r="L92" s="30" t="s">
        <v>35</v>
      </c>
      <c r="M92" s="42" t="s">
        <v>492</v>
      </c>
      <c r="N92" s="53" t="s">
        <v>493</v>
      </c>
      <c r="O92" s="54">
        <v>2.147331456E9</v>
      </c>
      <c r="P92" s="37"/>
      <c r="Q92" s="34"/>
      <c r="R92" s="22"/>
      <c r="S92" s="22">
        <v>1.0</v>
      </c>
      <c r="T92" s="22"/>
      <c r="U92" s="22"/>
      <c r="V92" s="35"/>
      <c r="W92" s="22"/>
      <c r="X92" s="22"/>
      <c r="Y92" s="36" t="str">
        <f t="shared" si="11"/>
        <v>renew</v>
      </c>
      <c r="Z92" s="21" t="s">
        <v>27</v>
      </c>
      <c r="AA92" s="21"/>
    </row>
    <row r="93">
      <c r="A93" s="20" t="s">
        <v>494</v>
      </c>
      <c r="B93" s="20" t="s">
        <v>495</v>
      </c>
      <c r="C93" s="21">
        <v>1280.0</v>
      </c>
      <c r="D93" s="22" t="str">
        <f t="shared" si="1"/>
        <v>General</v>
      </c>
      <c r="E93" s="23" t="str">
        <f t="shared" si="2"/>
        <v>Lapsed</v>
      </c>
      <c r="F93" s="24">
        <v>1.0</v>
      </c>
      <c r="G93" s="25">
        <v>45771.0</v>
      </c>
      <c r="H93" s="26">
        <f t="shared" si="9"/>
        <v>46022</v>
      </c>
      <c r="I93" s="21"/>
      <c r="J93" s="28" t="s">
        <v>496</v>
      </c>
      <c r="K93" s="29" t="s">
        <v>497</v>
      </c>
      <c r="L93" s="30" t="s">
        <v>35</v>
      </c>
      <c r="M93" s="31" t="s">
        <v>498</v>
      </c>
      <c r="N93" s="28" t="s">
        <v>499</v>
      </c>
      <c r="O93" s="32" t="s">
        <v>500</v>
      </c>
      <c r="P93" s="58"/>
      <c r="Q93" s="34"/>
      <c r="R93" s="22"/>
      <c r="S93" s="22">
        <v>1.0</v>
      </c>
      <c r="T93" s="22"/>
      <c r="U93" s="22"/>
      <c r="V93" s="59"/>
      <c r="W93" s="22"/>
      <c r="X93" s="38"/>
      <c r="Y93" s="36" t="str">
        <f t="shared" si="11"/>
        <v>renew</v>
      </c>
      <c r="Z93" s="21" t="s">
        <v>27</v>
      </c>
      <c r="AA93" s="21"/>
    </row>
    <row r="94">
      <c r="A94" s="20" t="s">
        <v>501</v>
      </c>
      <c r="B94" s="20" t="s">
        <v>124</v>
      </c>
      <c r="C94" s="21">
        <v>1279.0</v>
      </c>
      <c r="D94" s="22" t="str">
        <f t="shared" si="1"/>
        <v>General</v>
      </c>
      <c r="E94" s="23" t="str">
        <f t="shared" si="2"/>
        <v>Lapsed</v>
      </c>
      <c r="F94" s="24">
        <v>1.0</v>
      </c>
      <c r="G94" s="25">
        <v>45737.0</v>
      </c>
      <c r="H94" s="26">
        <f t="shared" si="9"/>
        <v>46022</v>
      </c>
      <c r="I94" s="21"/>
      <c r="J94" s="29" t="s">
        <v>125</v>
      </c>
      <c r="K94" s="29" t="s">
        <v>119</v>
      </c>
      <c r="L94" s="30" t="s">
        <v>35</v>
      </c>
      <c r="M94" s="42" t="s">
        <v>120</v>
      </c>
      <c r="N94" s="53" t="s">
        <v>502</v>
      </c>
      <c r="O94" s="54">
        <v>9.70200701E9</v>
      </c>
      <c r="P94" s="37"/>
      <c r="Q94" s="34"/>
      <c r="R94" s="22"/>
      <c r="S94" s="22">
        <v>1.0</v>
      </c>
      <c r="T94" s="22"/>
      <c r="U94" s="22"/>
      <c r="V94" s="35"/>
      <c r="W94" s="22"/>
      <c r="X94" s="22"/>
      <c r="Y94" s="36" t="str">
        <f t="shared" si="11"/>
        <v>renew</v>
      </c>
      <c r="Z94" s="21" t="s">
        <v>72</v>
      </c>
      <c r="AA94" s="21"/>
    </row>
    <row r="95">
      <c r="A95" s="20" t="s">
        <v>503</v>
      </c>
      <c r="B95" s="20" t="s">
        <v>504</v>
      </c>
      <c r="C95" s="21">
        <v>1278.0</v>
      </c>
      <c r="D95" s="22" t="str">
        <f t="shared" si="1"/>
        <v>General</v>
      </c>
      <c r="E95" s="23" t="str">
        <f t="shared" si="2"/>
        <v>Lapsed</v>
      </c>
      <c r="F95" s="24">
        <v>1.0</v>
      </c>
      <c r="G95" s="25">
        <v>45738.0</v>
      </c>
      <c r="H95" s="26">
        <f t="shared" si="9"/>
        <v>46022</v>
      </c>
      <c r="I95" s="21"/>
      <c r="J95" s="29" t="s">
        <v>505</v>
      </c>
      <c r="K95" s="29" t="s">
        <v>506</v>
      </c>
      <c r="L95" s="30" t="s">
        <v>35</v>
      </c>
      <c r="M95" s="42" t="s">
        <v>507</v>
      </c>
      <c r="N95" s="53" t="s">
        <v>508</v>
      </c>
      <c r="O95" s="54">
        <v>9.703798242E9</v>
      </c>
      <c r="P95" s="37"/>
      <c r="Q95" s="34"/>
      <c r="R95" s="22"/>
      <c r="S95" s="22">
        <v>1.0</v>
      </c>
      <c r="T95" s="22"/>
      <c r="U95" s="22"/>
      <c r="V95" s="35"/>
      <c r="W95" s="22"/>
      <c r="X95" s="22"/>
      <c r="Y95" s="36" t="str">
        <f t="shared" si="11"/>
        <v>renew</v>
      </c>
      <c r="Z95" s="21" t="s">
        <v>72</v>
      </c>
      <c r="AA95" s="21"/>
    </row>
    <row r="96">
      <c r="A96" s="20" t="s">
        <v>509</v>
      </c>
      <c r="B96" s="20" t="s">
        <v>510</v>
      </c>
      <c r="C96" s="21">
        <v>1277.0</v>
      </c>
      <c r="D96" s="22" t="str">
        <f t="shared" si="1"/>
        <v>General</v>
      </c>
      <c r="E96" s="23" t="str">
        <f t="shared" si="2"/>
        <v>Lapsed</v>
      </c>
      <c r="F96" s="24">
        <v>1.0</v>
      </c>
      <c r="G96" s="25">
        <v>45739.0</v>
      </c>
      <c r="H96" s="26">
        <f t="shared" si="9"/>
        <v>46022</v>
      </c>
      <c r="I96" s="21"/>
      <c r="J96" s="29" t="s">
        <v>511</v>
      </c>
      <c r="K96" s="29" t="s">
        <v>512</v>
      </c>
      <c r="L96" s="30" t="s">
        <v>35</v>
      </c>
      <c r="M96" s="42" t="s">
        <v>513</v>
      </c>
      <c r="N96" s="53" t="s">
        <v>514</v>
      </c>
      <c r="O96" s="54">
        <v>9.704970006E9</v>
      </c>
      <c r="P96" s="37"/>
      <c r="Q96" s="34"/>
      <c r="R96" s="22"/>
      <c r="S96" s="22">
        <v>1.0</v>
      </c>
      <c r="T96" s="22"/>
      <c r="U96" s="22"/>
      <c r="V96" s="35"/>
      <c r="W96" s="22"/>
      <c r="X96" s="22"/>
      <c r="Y96" s="36" t="str">
        <f t="shared" si="11"/>
        <v>renew</v>
      </c>
      <c r="Z96" s="21" t="s">
        <v>72</v>
      </c>
      <c r="AA96" s="21"/>
    </row>
    <row r="97">
      <c r="A97" s="20" t="s">
        <v>515</v>
      </c>
      <c r="B97" s="20" t="s">
        <v>516</v>
      </c>
      <c r="C97" s="21">
        <v>1276.0</v>
      </c>
      <c r="D97" s="22" t="str">
        <f t="shared" si="1"/>
        <v>General</v>
      </c>
      <c r="E97" s="23" t="str">
        <f t="shared" si="2"/>
        <v>Lapsed</v>
      </c>
      <c r="F97" s="24">
        <v>1.0</v>
      </c>
      <c r="G97" s="25">
        <v>45740.0</v>
      </c>
      <c r="H97" s="26">
        <f t="shared" si="9"/>
        <v>46022</v>
      </c>
      <c r="I97" s="21"/>
      <c r="J97" s="29" t="s">
        <v>517</v>
      </c>
      <c r="K97" s="29" t="s">
        <v>218</v>
      </c>
      <c r="L97" s="30" t="s">
        <v>35</v>
      </c>
      <c r="M97" s="42" t="s">
        <v>219</v>
      </c>
      <c r="N97" s="53" t="s">
        <v>518</v>
      </c>
      <c r="O97" s="54">
        <v>9.706187208E9</v>
      </c>
      <c r="P97" s="37"/>
      <c r="Q97" s="34"/>
      <c r="R97" s="22"/>
      <c r="S97" s="22">
        <v>1.0</v>
      </c>
      <c r="T97" s="22"/>
      <c r="U97" s="22"/>
      <c r="V97" s="35"/>
      <c r="W97" s="22"/>
      <c r="X97" s="22"/>
      <c r="Y97" s="36" t="str">
        <f t="shared" si="11"/>
        <v>renew</v>
      </c>
      <c r="Z97" s="21" t="s">
        <v>72</v>
      </c>
      <c r="AA97" s="21"/>
    </row>
    <row r="98">
      <c r="A98" s="20" t="s">
        <v>53</v>
      </c>
      <c r="B98" s="20" t="s">
        <v>519</v>
      </c>
      <c r="C98" s="21">
        <v>1275.0</v>
      </c>
      <c r="D98" s="22" t="str">
        <f t="shared" si="1"/>
        <v>General</v>
      </c>
      <c r="E98" s="23" t="str">
        <f t="shared" si="2"/>
        <v>Lapsed</v>
      </c>
      <c r="F98" s="24">
        <v>1.0</v>
      </c>
      <c r="G98" s="25">
        <v>45741.0</v>
      </c>
      <c r="H98" s="26">
        <f t="shared" si="9"/>
        <v>46022</v>
      </c>
      <c r="I98" s="21"/>
      <c r="J98" s="29" t="s">
        <v>520</v>
      </c>
      <c r="K98" s="29" t="s">
        <v>506</v>
      </c>
      <c r="L98" s="30" t="s">
        <v>35</v>
      </c>
      <c r="M98" s="42" t="s">
        <v>521</v>
      </c>
      <c r="N98" s="53" t="s">
        <v>522</v>
      </c>
      <c r="O98" s="54">
        <v>9.703795537E9</v>
      </c>
      <c r="P98" s="37"/>
      <c r="Q98" s="34"/>
      <c r="R98" s="22"/>
      <c r="S98" s="22">
        <v>1.0</v>
      </c>
      <c r="T98" s="22"/>
      <c r="U98" s="22"/>
      <c r="V98" s="35"/>
      <c r="W98" s="22"/>
      <c r="X98" s="22"/>
      <c r="Y98" s="36" t="str">
        <f t="shared" si="11"/>
        <v>renew</v>
      </c>
      <c r="Z98" s="21" t="s">
        <v>72</v>
      </c>
      <c r="AA98" s="21"/>
    </row>
    <row r="99">
      <c r="A99" s="20" t="s">
        <v>523</v>
      </c>
      <c r="B99" s="20" t="s">
        <v>524</v>
      </c>
      <c r="C99" s="21">
        <v>1274.0</v>
      </c>
      <c r="D99" s="22" t="str">
        <f t="shared" si="1"/>
        <v>General</v>
      </c>
      <c r="E99" s="23" t="str">
        <f t="shared" si="2"/>
        <v>Lapsed</v>
      </c>
      <c r="F99" s="24">
        <v>1.0</v>
      </c>
      <c r="G99" s="25">
        <v>45742.0</v>
      </c>
      <c r="H99" s="26">
        <f t="shared" si="9"/>
        <v>46022</v>
      </c>
      <c r="I99" s="21"/>
      <c r="J99" s="29" t="s">
        <v>525</v>
      </c>
      <c r="K99" s="29" t="s">
        <v>526</v>
      </c>
      <c r="L99" s="30" t="s">
        <v>35</v>
      </c>
      <c r="M99" s="42" t="s">
        <v>527</v>
      </c>
      <c r="N99" s="53" t="s">
        <v>528</v>
      </c>
      <c r="O99" s="60" t="s">
        <v>529</v>
      </c>
      <c r="P99" s="37"/>
      <c r="Q99" s="38"/>
      <c r="R99" s="22"/>
      <c r="S99" s="22">
        <v>1.0</v>
      </c>
      <c r="T99" s="22"/>
      <c r="U99" s="22"/>
      <c r="V99" s="35"/>
      <c r="W99" s="22"/>
      <c r="X99" s="22"/>
      <c r="Y99" s="36" t="str">
        <f t="shared" si="11"/>
        <v>renew</v>
      </c>
      <c r="Z99" s="21" t="s">
        <v>72</v>
      </c>
      <c r="AA99" s="21"/>
    </row>
    <row r="100">
      <c r="A100" s="20" t="s">
        <v>420</v>
      </c>
      <c r="B100" s="20" t="s">
        <v>530</v>
      </c>
      <c r="C100" s="21">
        <v>1273.0</v>
      </c>
      <c r="D100" s="22" t="str">
        <f t="shared" si="1"/>
        <v>General</v>
      </c>
      <c r="E100" s="23" t="str">
        <f t="shared" si="2"/>
        <v>Lapsed</v>
      </c>
      <c r="F100" s="24">
        <v>1.0</v>
      </c>
      <c r="G100" s="25">
        <v>45743.0</v>
      </c>
      <c r="H100" s="26">
        <f t="shared" si="9"/>
        <v>46022</v>
      </c>
      <c r="I100" s="21"/>
      <c r="J100" s="29" t="s">
        <v>531</v>
      </c>
      <c r="K100" s="29" t="s">
        <v>119</v>
      </c>
      <c r="L100" s="30" t="s">
        <v>35</v>
      </c>
      <c r="M100" s="42" t="s">
        <v>120</v>
      </c>
      <c r="N100" s="53" t="s">
        <v>532</v>
      </c>
      <c r="O100" s="54">
        <v>9.704176492E9</v>
      </c>
      <c r="P100" s="37"/>
      <c r="Q100" s="38"/>
      <c r="R100" s="22"/>
      <c r="S100" s="22">
        <v>1.0</v>
      </c>
      <c r="T100" s="22"/>
      <c r="U100" s="22"/>
      <c r="V100" s="35"/>
      <c r="W100" s="22"/>
      <c r="X100" s="22"/>
      <c r="Y100" s="36" t="str">
        <f t="shared" si="11"/>
        <v>renew</v>
      </c>
      <c r="Z100" s="21" t="s">
        <v>72</v>
      </c>
      <c r="AA100" s="21"/>
    </row>
    <row r="101">
      <c r="A101" s="20" t="s">
        <v>533</v>
      </c>
      <c r="B101" s="20" t="s">
        <v>534</v>
      </c>
      <c r="C101" s="21">
        <v>1272.0</v>
      </c>
      <c r="D101" s="22" t="str">
        <f t="shared" si="1"/>
        <v>General</v>
      </c>
      <c r="E101" s="23" t="str">
        <f t="shared" si="2"/>
        <v>Lapsed</v>
      </c>
      <c r="F101" s="24">
        <v>1.0</v>
      </c>
      <c r="G101" s="25">
        <v>45744.0</v>
      </c>
      <c r="H101" s="26">
        <f t="shared" si="9"/>
        <v>46022</v>
      </c>
      <c r="I101" s="21"/>
      <c r="J101" s="29" t="s">
        <v>535</v>
      </c>
      <c r="K101" s="29" t="s">
        <v>119</v>
      </c>
      <c r="L101" s="30" t="s">
        <v>35</v>
      </c>
      <c r="M101" s="42" t="s">
        <v>120</v>
      </c>
      <c r="N101" s="53" t="s">
        <v>536</v>
      </c>
      <c r="O101" s="54">
        <v>9.707733358E9</v>
      </c>
      <c r="P101" s="37"/>
      <c r="Q101" s="38"/>
      <c r="R101" s="22"/>
      <c r="S101" s="22">
        <v>1.0</v>
      </c>
      <c r="T101" s="22"/>
      <c r="U101" s="22"/>
      <c r="V101" s="35"/>
      <c r="W101" s="22"/>
      <c r="X101" s="22"/>
      <c r="Y101" s="36" t="str">
        <f t="shared" si="11"/>
        <v>renew</v>
      </c>
      <c r="Z101" s="21" t="s">
        <v>72</v>
      </c>
      <c r="AA101" s="21"/>
    </row>
    <row r="102">
      <c r="A102" s="20" t="s">
        <v>537</v>
      </c>
      <c r="B102" s="20" t="s">
        <v>538</v>
      </c>
      <c r="C102" s="21">
        <v>1271.0</v>
      </c>
      <c r="D102" s="22" t="str">
        <f t="shared" si="1"/>
        <v>Youth</v>
      </c>
      <c r="E102" s="23" t="str">
        <f t="shared" si="2"/>
        <v>Lapsed</v>
      </c>
      <c r="F102" s="24">
        <v>1.0</v>
      </c>
      <c r="G102" s="25">
        <v>45745.0</v>
      </c>
      <c r="H102" s="26">
        <f t="shared" si="9"/>
        <v>46022</v>
      </c>
      <c r="I102" s="21"/>
      <c r="J102" s="29" t="s">
        <v>539</v>
      </c>
      <c r="K102" s="29" t="s">
        <v>512</v>
      </c>
      <c r="L102" s="30" t="s">
        <v>35</v>
      </c>
      <c r="M102" s="42" t="s">
        <v>513</v>
      </c>
      <c r="N102" s="53"/>
      <c r="O102" s="54">
        <v>9.702093284E9</v>
      </c>
      <c r="P102" s="48">
        <v>41570.0</v>
      </c>
      <c r="Q102" s="34">
        <f>datedif(P102,today(),"Y")</f>
        <v>12</v>
      </c>
      <c r="R102" s="22"/>
      <c r="S102" s="22">
        <v>1.0</v>
      </c>
      <c r="T102" s="22"/>
      <c r="U102" s="22"/>
      <c r="V102" s="35"/>
      <c r="W102" s="22"/>
      <c r="X102" s="22"/>
      <c r="Y102" s="36" t="str">
        <f t="shared" si="11"/>
        <v>renew</v>
      </c>
      <c r="Z102" s="21" t="s">
        <v>72</v>
      </c>
      <c r="AA102" s="21"/>
    </row>
    <row r="103">
      <c r="A103" s="20" t="s">
        <v>540</v>
      </c>
      <c r="B103" s="20" t="s">
        <v>538</v>
      </c>
      <c r="C103" s="21">
        <v>1270.0</v>
      </c>
      <c r="D103" s="22" t="str">
        <f t="shared" si="1"/>
        <v>General</v>
      </c>
      <c r="E103" s="23" t="str">
        <f t="shared" si="2"/>
        <v>Lapsed</v>
      </c>
      <c r="F103" s="24">
        <v>1.0</v>
      </c>
      <c r="G103" s="25">
        <v>45746.0</v>
      </c>
      <c r="H103" s="26">
        <f t="shared" si="9"/>
        <v>46022</v>
      </c>
      <c r="I103" s="21"/>
      <c r="J103" s="29" t="s">
        <v>539</v>
      </c>
      <c r="K103" s="29" t="s">
        <v>512</v>
      </c>
      <c r="L103" s="30" t="s">
        <v>35</v>
      </c>
      <c r="M103" s="42" t="s">
        <v>513</v>
      </c>
      <c r="N103" s="53"/>
      <c r="O103" s="54">
        <v>9.702093284E9</v>
      </c>
      <c r="P103" s="37"/>
      <c r="Q103" s="38"/>
      <c r="R103" s="22"/>
      <c r="S103" s="22">
        <v>1.0</v>
      </c>
      <c r="T103" s="22"/>
      <c r="U103" s="22"/>
      <c r="V103" s="35"/>
      <c r="W103" s="22"/>
      <c r="X103" s="22"/>
      <c r="Y103" s="36" t="str">
        <f t="shared" si="11"/>
        <v>renew</v>
      </c>
      <c r="Z103" s="21" t="s">
        <v>72</v>
      </c>
      <c r="AA103" s="21"/>
    </row>
    <row r="104">
      <c r="A104" s="20" t="s">
        <v>541</v>
      </c>
      <c r="B104" s="20" t="s">
        <v>542</v>
      </c>
      <c r="C104" s="21">
        <v>1269.0</v>
      </c>
      <c r="D104" s="22" t="str">
        <f t="shared" si="1"/>
        <v>Youth</v>
      </c>
      <c r="E104" s="23" t="str">
        <f t="shared" si="2"/>
        <v>Lapsed</v>
      </c>
      <c r="F104" s="24">
        <v>1.0</v>
      </c>
      <c r="G104" s="25">
        <v>45747.0</v>
      </c>
      <c r="H104" s="26">
        <f t="shared" si="9"/>
        <v>46022</v>
      </c>
      <c r="I104" s="21"/>
      <c r="J104" s="29" t="s">
        <v>543</v>
      </c>
      <c r="K104" s="29" t="s">
        <v>544</v>
      </c>
      <c r="L104" s="30" t="s">
        <v>35</v>
      </c>
      <c r="M104" s="42" t="s">
        <v>545</v>
      </c>
      <c r="N104" s="53" t="s">
        <v>546</v>
      </c>
      <c r="O104" s="54">
        <v>3.039959705E9</v>
      </c>
      <c r="P104" s="48">
        <v>40343.0</v>
      </c>
      <c r="Q104" s="34">
        <f>datedif(P104,today(),"Y")</f>
        <v>15</v>
      </c>
      <c r="R104" s="22"/>
      <c r="S104" s="22">
        <v>1.0</v>
      </c>
      <c r="T104" s="22"/>
      <c r="U104" s="22"/>
      <c r="V104" s="35"/>
      <c r="W104" s="22"/>
      <c r="X104" s="22"/>
      <c r="Y104" s="36" t="str">
        <f t="shared" si="11"/>
        <v>renew</v>
      </c>
      <c r="Z104" s="21" t="s">
        <v>72</v>
      </c>
      <c r="AA104" s="21"/>
    </row>
    <row r="105">
      <c r="A105" s="20" t="s">
        <v>547</v>
      </c>
      <c r="B105" s="20" t="s">
        <v>548</v>
      </c>
      <c r="C105" s="21">
        <v>1268.0</v>
      </c>
      <c r="D105" s="22" t="str">
        <f t="shared" si="1"/>
        <v>General</v>
      </c>
      <c r="E105" s="23" t="str">
        <f t="shared" si="2"/>
        <v>Lapsed</v>
      </c>
      <c r="F105" s="24">
        <v>1.0</v>
      </c>
      <c r="G105" s="25">
        <v>45748.0</v>
      </c>
      <c r="H105" s="26">
        <f t="shared" si="9"/>
        <v>46022</v>
      </c>
      <c r="I105" s="21"/>
      <c r="J105" s="29" t="s">
        <v>549</v>
      </c>
      <c r="K105" s="29" t="s">
        <v>550</v>
      </c>
      <c r="L105" s="30" t="s">
        <v>35</v>
      </c>
      <c r="M105" s="42" t="s">
        <v>551</v>
      </c>
      <c r="N105" s="53" t="s">
        <v>552</v>
      </c>
      <c r="O105" s="54">
        <v>9.7073461E9</v>
      </c>
      <c r="P105" s="37"/>
      <c r="Q105" s="38"/>
      <c r="R105" s="22"/>
      <c r="S105" s="22">
        <v>1.0</v>
      </c>
      <c r="T105" s="22"/>
      <c r="U105" s="22"/>
      <c r="V105" s="35"/>
      <c r="W105" s="22"/>
      <c r="X105" s="22"/>
      <c r="Y105" s="36" t="str">
        <f t="shared" si="11"/>
        <v>renew</v>
      </c>
      <c r="Z105" s="21" t="s">
        <v>72</v>
      </c>
      <c r="AA105" s="21"/>
    </row>
    <row r="106">
      <c r="A106" s="20" t="s">
        <v>553</v>
      </c>
      <c r="B106" s="20" t="s">
        <v>554</v>
      </c>
      <c r="C106" s="21">
        <v>1267.0</v>
      </c>
      <c r="D106" s="22" t="str">
        <f t="shared" si="1"/>
        <v>General</v>
      </c>
      <c r="E106" s="23" t="str">
        <f t="shared" si="2"/>
        <v>Lapsed</v>
      </c>
      <c r="F106" s="24">
        <v>1.0</v>
      </c>
      <c r="G106" s="25">
        <v>45749.0</v>
      </c>
      <c r="H106" s="26">
        <f t="shared" si="9"/>
        <v>46022</v>
      </c>
      <c r="I106" s="21"/>
      <c r="J106" s="29" t="s">
        <v>555</v>
      </c>
      <c r="K106" s="29" t="s">
        <v>550</v>
      </c>
      <c r="L106" s="30" t="s">
        <v>35</v>
      </c>
      <c r="M106" s="42" t="s">
        <v>551</v>
      </c>
      <c r="N106" s="53" t="s">
        <v>556</v>
      </c>
      <c r="O106" s="54">
        <v>9.704212789E9</v>
      </c>
      <c r="P106" s="37"/>
      <c r="Q106" s="38"/>
      <c r="R106" s="22"/>
      <c r="S106" s="22">
        <v>1.0</v>
      </c>
      <c r="T106" s="22"/>
      <c r="U106" s="22"/>
      <c r="V106" s="35"/>
      <c r="W106" s="22"/>
      <c r="X106" s="22"/>
      <c r="Y106" s="36" t="str">
        <f t="shared" si="11"/>
        <v>renew</v>
      </c>
      <c r="Z106" s="21" t="s">
        <v>72</v>
      </c>
      <c r="AA106" s="21"/>
    </row>
    <row r="107">
      <c r="A107" s="20" t="s">
        <v>284</v>
      </c>
      <c r="B107" s="20" t="s">
        <v>557</v>
      </c>
      <c r="C107" s="21">
        <v>1266.0</v>
      </c>
      <c r="D107" s="22" t="str">
        <f t="shared" si="1"/>
        <v>General</v>
      </c>
      <c r="E107" s="23" t="str">
        <f t="shared" si="2"/>
        <v>Lapsed</v>
      </c>
      <c r="F107" s="24">
        <v>1.0</v>
      </c>
      <c r="G107" s="25">
        <v>45750.0</v>
      </c>
      <c r="H107" s="26">
        <f t="shared" si="9"/>
        <v>46022</v>
      </c>
      <c r="I107" s="21"/>
      <c r="J107" s="29" t="s">
        <v>558</v>
      </c>
      <c r="K107" s="29" t="s">
        <v>119</v>
      </c>
      <c r="L107" s="30" t="s">
        <v>35</v>
      </c>
      <c r="M107" s="42" t="s">
        <v>120</v>
      </c>
      <c r="N107" s="53" t="s">
        <v>559</v>
      </c>
      <c r="O107" s="54">
        <v>9.705882901E9</v>
      </c>
      <c r="P107" s="37"/>
      <c r="Q107" s="38"/>
      <c r="R107" s="22"/>
      <c r="S107" s="22">
        <v>1.0</v>
      </c>
      <c r="T107" s="22"/>
      <c r="U107" s="22"/>
      <c r="V107" s="35"/>
      <c r="W107" s="22"/>
      <c r="X107" s="22"/>
      <c r="Y107" s="36" t="str">
        <f t="shared" si="11"/>
        <v>renew</v>
      </c>
      <c r="Z107" s="21" t="s">
        <v>72</v>
      </c>
      <c r="AA107" s="21"/>
    </row>
    <row r="108">
      <c r="A108" s="20" t="s">
        <v>560</v>
      </c>
      <c r="B108" s="20" t="s">
        <v>557</v>
      </c>
      <c r="C108" s="21">
        <v>1265.0</v>
      </c>
      <c r="D108" s="22" t="str">
        <f t="shared" si="1"/>
        <v>Youth</v>
      </c>
      <c r="E108" s="23" t="str">
        <f t="shared" si="2"/>
        <v>Lapsed</v>
      </c>
      <c r="F108" s="24">
        <v>1.0</v>
      </c>
      <c r="G108" s="25">
        <v>45751.0</v>
      </c>
      <c r="H108" s="26">
        <f t="shared" si="9"/>
        <v>46022</v>
      </c>
      <c r="I108" s="21"/>
      <c r="J108" s="29" t="s">
        <v>558</v>
      </c>
      <c r="K108" s="29" t="s">
        <v>119</v>
      </c>
      <c r="L108" s="30" t="s">
        <v>35</v>
      </c>
      <c r="M108" s="42" t="s">
        <v>120</v>
      </c>
      <c r="N108" s="53" t="s">
        <v>559</v>
      </c>
      <c r="O108" s="54">
        <v>9.705882901E9</v>
      </c>
      <c r="P108" s="33">
        <v>41423.0</v>
      </c>
      <c r="Q108" s="34">
        <f>datedif(P108,today(),"Y")</f>
        <v>12</v>
      </c>
      <c r="R108" s="22"/>
      <c r="S108" s="22">
        <v>1.0</v>
      </c>
      <c r="T108" s="22"/>
      <c r="U108" s="22"/>
      <c r="V108" s="35"/>
      <c r="W108" s="22"/>
      <c r="X108" s="22"/>
      <c r="Y108" s="36" t="str">
        <f t="shared" si="11"/>
        <v>renew</v>
      </c>
      <c r="Z108" s="21" t="s">
        <v>72</v>
      </c>
      <c r="AA108" s="21"/>
    </row>
    <row r="109">
      <c r="A109" s="20" t="s">
        <v>561</v>
      </c>
      <c r="B109" s="20" t="s">
        <v>562</v>
      </c>
      <c r="C109" s="21">
        <v>1264.0</v>
      </c>
      <c r="D109" s="22" t="str">
        <f t="shared" si="1"/>
        <v>General</v>
      </c>
      <c r="E109" s="23" t="str">
        <f t="shared" si="2"/>
        <v>Lapsed</v>
      </c>
      <c r="F109" s="24">
        <v>1.0</v>
      </c>
      <c r="G109" s="25">
        <v>45752.0</v>
      </c>
      <c r="H109" s="26">
        <f t="shared" si="9"/>
        <v>46022</v>
      </c>
      <c r="I109" s="21"/>
      <c r="J109" s="29" t="s">
        <v>563</v>
      </c>
      <c r="K109" s="29" t="s">
        <v>564</v>
      </c>
      <c r="L109" s="30" t="s">
        <v>35</v>
      </c>
      <c r="M109" s="42" t="s">
        <v>565</v>
      </c>
      <c r="N109" s="53" t="s">
        <v>566</v>
      </c>
      <c r="O109" s="54">
        <v>9.70274524E9</v>
      </c>
      <c r="P109" s="37"/>
      <c r="Q109" s="38"/>
      <c r="R109" s="22"/>
      <c r="S109" s="22">
        <v>1.0</v>
      </c>
      <c r="T109" s="22"/>
      <c r="U109" s="22"/>
      <c r="V109" s="35"/>
      <c r="W109" s="22"/>
      <c r="X109" s="22"/>
      <c r="Y109" s="36" t="str">
        <f t="shared" si="11"/>
        <v>renew</v>
      </c>
      <c r="Z109" s="21" t="s">
        <v>72</v>
      </c>
      <c r="AA109" s="21"/>
    </row>
    <row r="110">
      <c r="A110" s="20" t="s">
        <v>567</v>
      </c>
      <c r="B110" s="20" t="s">
        <v>568</v>
      </c>
      <c r="C110" s="21">
        <v>1263.0</v>
      </c>
      <c r="D110" s="22" t="str">
        <f t="shared" si="1"/>
        <v>General</v>
      </c>
      <c r="E110" s="23" t="str">
        <f t="shared" si="2"/>
        <v>Lapsed</v>
      </c>
      <c r="F110" s="24">
        <v>1.0</v>
      </c>
      <c r="G110" s="25">
        <v>45753.0</v>
      </c>
      <c r="H110" s="26">
        <f t="shared" si="9"/>
        <v>46022</v>
      </c>
      <c r="I110" s="21"/>
      <c r="J110" s="29" t="s">
        <v>569</v>
      </c>
      <c r="K110" s="29" t="s">
        <v>570</v>
      </c>
      <c r="L110" s="30" t="s">
        <v>35</v>
      </c>
      <c r="M110" s="42" t="s">
        <v>571</v>
      </c>
      <c r="N110" s="53"/>
      <c r="O110" s="54">
        <v>9.285287898E9</v>
      </c>
      <c r="P110" s="37"/>
      <c r="Q110" s="38"/>
      <c r="R110" s="22"/>
      <c r="S110" s="22">
        <v>1.0</v>
      </c>
      <c r="T110" s="22"/>
      <c r="U110" s="22"/>
      <c r="V110" s="35"/>
      <c r="W110" s="22"/>
      <c r="X110" s="22"/>
      <c r="Y110" s="36" t="str">
        <f t="shared" si="11"/>
        <v>renew</v>
      </c>
      <c r="Z110" s="21" t="s">
        <v>72</v>
      </c>
      <c r="AA110" s="21"/>
    </row>
    <row r="111">
      <c r="A111" s="20" t="s">
        <v>572</v>
      </c>
      <c r="B111" s="20" t="s">
        <v>573</v>
      </c>
      <c r="C111" s="21">
        <v>1262.0</v>
      </c>
      <c r="D111" s="22" t="str">
        <f t="shared" si="1"/>
        <v>Youth</v>
      </c>
      <c r="E111" s="23" t="str">
        <f t="shared" si="2"/>
        <v>Lapsed</v>
      </c>
      <c r="F111" s="24">
        <v>1.0</v>
      </c>
      <c r="G111" s="25">
        <v>45754.0</v>
      </c>
      <c r="H111" s="26">
        <f t="shared" si="9"/>
        <v>46022</v>
      </c>
      <c r="I111" s="21"/>
      <c r="J111" s="29" t="s">
        <v>574</v>
      </c>
      <c r="K111" s="29" t="s">
        <v>575</v>
      </c>
      <c r="L111" s="30" t="s">
        <v>35</v>
      </c>
      <c r="M111" s="42" t="s">
        <v>576</v>
      </c>
      <c r="N111" s="61" t="s">
        <v>577</v>
      </c>
      <c r="O111" s="54">
        <v>9.704045509E9</v>
      </c>
      <c r="P111" s="48">
        <v>40206.0</v>
      </c>
      <c r="Q111" s="34">
        <f>datedif(P111,today(),"Y")</f>
        <v>16</v>
      </c>
      <c r="R111" s="22"/>
      <c r="S111" s="22">
        <v>1.0</v>
      </c>
      <c r="T111" s="22"/>
      <c r="U111" s="22"/>
      <c r="V111" s="35"/>
      <c r="W111" s="22"/>
      <c r="X111" s="22"/>
      <c r="Y111" s="36" t="str">
        <f t="shared" si="11"/>
        <v>renew</v>
      </c>
      <c r="Z111" s="21" t="s">
        <v>72</v>
      </c>
      <c r="AA111" s="21"/>
    </row>
    <row r="112">
      <c r="A112" s="20" t="s">
        <v>578</v>
      </c>
      <c r="B112" s="20" t="s">
        <v>579</v>
      </c>
      <c r="C112" s="21">
        <v>1261.0</v>
      </c>
      <c r="D112" s="22" t="str">
        <f t="shared" si="1"/>
        <v>General</v>
      </c>
      <c r="E112" s="23" t="str">
        <f t="shared" si="2"/>
        <v>Lapsed</v>
      </c>
      <c r="F112" s="24">
        <v>1.0</v>
      </c>
      <c r="G112" s="25">
        <v>45755.0</v>
      </c>
      <c r="H112" s="26">
        <f t="shared" si="9"/>
        <v>46022</v>
      </c>
      <c r="I112" s="21"/>
      <c r="J112" s="29" t="s">
        <v>580</v>
      </c>
      <c r="K112" s="29" t="s">
        <v>581</v>
      </c>
      <c r="L112" s="30" t="s">
        <v>35</v>
      </c>
      <c r="M112" s="42" t="s">
        <v>582</v>
      </c>
      <c r="N112" s="53" t="s">
        <v>583</v>
      </c>
      <c r="O112" s="54">
        <v>9.707730334E9</v>
      </c>
      <c r="P112" s="37"/>
      <c r="Q112" s="38"/>
      <c r="R112" s="22"/>
      <c r="S112" s="22">
        <v>1.0</v>
      </c>
      <c r="T112" s="22"/>
      <c r="U112" s="22"/>
      <c r="V112" s="35"/>
      <c r="W112" s="22"/>
      <c r="X112" s="22"/>
      <c r="Y112" s="36" t="str">
        <f t="shared" si="11"/>
        <v>renew</v>
      </c>
      <c r="Z112" s="21" t="s">
        <v>72</v>
      </c>
      <c r="AA112" s="21"/>
    </row>
    <row r="113">
      <c r="A113" s="20" t="s">
        <v>584</v>
      </c>
      <c r="B113" s="20" t="s">
        <v>585</v>
      </c>
      <c r="C113" s="21">
        <v>1260.0</v>
      </c>
      <c r="D113" s="22" t="str">
        <f t="shared" si="1"/>
        <v>General</v>
      </c>
      <c r="E113" s="23" t="str">
        <f t="shared" si="2"/>
        <v>Lapsed</v>
      </c>
      <c r="F113" s="24">
        <v>1.0</v>
      </c>
      <c r="G113" s="25">
        <v>45756.0</v>
      </c>
      <c r="H113" s="26">
        <f t="shared" si="9"/>
        <v>46022</v>
      </c>
      <c r="I113" s="21"/>
      <c r="J113" s="29" t="s">
        <v>586</v>
      </c>
      <c r="K113" s="29" t="s">
        <v>587</v>
      </c>
      <c r="L113" s="30" t="s">
        <v>35</v>
      </c>
      <c r="M113" s="42" t="s">
        <v>588</v>
      </c>
      <c r="N113" s="53" t="s">
        <v>589</v>
      </c>
      <c r="O113" s="54" t="s">
        <v>590</v>
      </c>
      <c r="P113" s="37"/>
      <c r="Q113" s="38"/>
      <c r="R113" s="22"/>
      <c r="S113" s="22">
        <v>1.0</v>
      </c>
      <c r="T113" s="22"/>
      <c r="U113" s="22"/>
      <c r="V113" s="35"/>
      <c r="W113" s="22"/>
      <c r="X113" s="22"/>
      <c r="Y113" s="36" t="str">
        <f t="shared" si="11"/>
        <v>renew</v>
      </c>
      <c r="Z113" s="21" t="s">
        <v>72</v>
      </c>
      <c r="AA113" s="21"/>
    </row>
    <row r="114">
      <c r="A114" s="20" t="s">
        <v>591</v>
      </c>
      <c r="B114" s="20" t="s">
        <v>592</v>
      </c>
      <c r="C114" s="21">
        <v>1259.0</v>
      </c>
      <c r="D114" s="22" t="str">
        <f t="shared" si="1"/>
        <v>General</v>
      </c>
      <c r="E114" s="23" t="str">
        <f t="shared" si="2"/>
        <v>Lapsed</v>
      </c>
      <c r="F114" s="24">
        <v>1.0</v>
      </c>
      <c r="G114" s="25">
        <v>45757.0</v>
      </c>
      <c r="H114" s="26">
        <f t="shared" si="9"/>
        <v>46022</v>
      </c>
      <c r="I114" s="21"/>
      <c r="J114" s="29" t="s">
        <v>593</v>
      </c>
      <c r="K114" s="29" t="s">
        <v>594</v>
      </c>
      <c r="L114" s="30" t="s">
        <v>35</v>
      </c>
      <c r="M114" s="42" t="s">
        <v>595</v>
      </c>
      <c r="N114" s="53" t="s">
        <v>596</v>
      </c>
      <c r="O114" s="54">
        <v>9.707121139E9</v>
      </c>
      <c r="P114" s="37"/>
      <c r="Q114" s="38"/>
      <c r="R114" s="22"/>
      <c r="S114" s="22">
        <v>1.0</v>
      </c>
      <c r="T114" s="22"/>
      <c r="U114" s="22"/>
      <c r="V114" s="35"/>
      <c r="W114" s="22"/>
      <c r="X114" s="22"/>
      <c r="Y114" s="36" t="str">
        <f t="shared" si="11"/>
        <v>renew</v>
      </c>
      <c r="Z114" s="21" t="s">
        <v>72</v>
      </c>
      <c r="AA114" s="21"/>
    </row>
    <row r="115">
      <c r="A115" s="20" t="s">
        <v>597</v>
      </c>
      <c r="B115" s="20" t="s">
        <v>598</v>
      </c>
      <c r="C115" s="21">
        <v>1258.0</v>
      </c>
      <c r="D115" s="22" t="str">
        <f t="shared" si="1"/>
        <v>General</v>
      </c>
      <c r="E115" s="23" t="str">
        <f t="shared" si="2"/>
        <v>Lapsed</v>
      </c>
      <c r="F115" s="24">
        <v>1.0</v>
      </c>
      <c r="G115" s="25">
        <v>45758.0</v>
      </c>
      <c r="H115" s="26">
        <f t="shared" si="9"/>
        <v>46022</v>
      </c>
      <c r="I115" s="21"/>
      <c r="J115" s="29" t="s">
        <v>599</v>
      </c>
      <c r="K115" s="29" t="s">
        <v>600</v>
      </c>
      <c r="L115" s="30" t="s">
        <v>35</v>
      </c>
      <c r="M115" s="42" t="s">
        <v>601</v>
      </c>
      <c r="N115" s="53" t="s">
        <v>602</v>
      </c>
      <c r="O115" s="54">
        <v>9.70623974E9</v>
      </c>
      <c r="P115" s="37"/>
      <c r="Q115" s="38"/>
      <c r="R115" s="22"/>
      <c r="S115" s="22">
        <v>1.0</v>
      </c>
      <c r="T115" s="22"/>
      <c r="U115" s="22"/>
      <c r="V115" s="35"/>
      <c r="W115" s="22"/>
      <c r="X115" s="22"/>
      <c r="Y115" s="36" t="str">
        <f t="shared" si="11"/>
        <v>renew</v>
      </c>
      <c r="Z115" s="21" t="s">
        <v>72</v>
      </c>
      <c r="AA115" s="21"/>
    </row>
    <row r="116">
      <c r="A116" s="20" t="s">
        <v>603</v>
      </c>
      <c r="B116" s="20" t="s">
        <v>604</v>
      </c>
      <c r="C116" s="21">
        <v>1257.0</v>
      </c>
      <c r="D116" s="22" t="str">
        <f t="shared" si="1"/>
        <v>General</v>
      </c>
      <c r="E116" s="23" t="str">
        <f t="shared" si="2"/>
        <v>Lapsed</v>
      </c>
      <c r="F116" s="24">
        <v>1.0</v>
      </c>
      <c r="G116" s="25">
        <v>45759.0</v>
      </c>
      <c r="H116" s="26">
        <f t="shared" si="9"/>
        <v>46022</v>
      </c>
      <c r="I116" s="21"/>
      <c r="J116" s="29" t="s">
        <v>605</v>
      </c>
      <c r="K116" s="29" t="s">
        <v>506</v>
      </c>
      <c r="L116" s="30" t="s">
        <v>35</v>
      </c>
      <c r="M116" s="42" t="s">
        <v>507</v>
      </c>
      <c r="N116" s="53" t="s">
        <v>606</v>
      </c>
      <c r="O116" s="54">
        <v>2.259376798E9</v>
      </c>
      <c r="P116" s="37"/>
      <c r="Q116" s="38"/>
      <c r="R116" s="22"/>
      <c r="S116" s="22">
        <v>1.0</v>
      </c>
      <c r="T116" s="22"/>
      <c r="U116" s="22"/>
      <c r="V116" s="35"/>
      <c r="W116" s="22"/>
      <c r="X116" s="22"/>
      <c r="Y116" s="36" t="str">
        <f t="shared" si="11"/>
        <v>renew</v>
      </c>
      <c r="Z116" s="21" t="s">
        <v>72</v>
      </c>
      <c r="AA116" s="21"/>
    </row>
    <row r="117">
      <c r="A117" s="20" t="s">
        <v>607</v>
      </c>
      <c r="B117" s="20" t="s">
        <v>608</v>
      </c>
      <c r="C117" s="21">
        <v>1256.0</v>
      </c>
      <c r="D117" s="22" t="str">
        <f t="shared" si="1"/>
        <v>General</v>
      </c>
      <c r="E117" s="23" t="str">
        <f t="shared" si="2"/>
        <v>Lapsed</v>
      </c>
      <c r="F117" s="24">
        <v>1.0</v>
      </c>
      <c r="G117" s="25">
        <v>45760.0</v>
      </c>
      <c r="H117" s="26">
        <f t="shared" si="9"/>
        <v>46022</v>
      </c>
      <c r="I117" s="21"/>
      <c r="J117" s="29" t="s">
        <v>609</v>
      </c>
      <c r="K117" s="29" t="s">
        <v>610</v>
      </c>
      <c r="L117" s="30" t="s">
        <v>35</v>
      </c>
      <c r="M117" s="42" t="s">
        <v>611</v>
      </c>
      <c r="N117" s="53" t="s">
        <v>612</v>
      </c>
      <c r="O117" s="54">
        <v>3.038865827E9</v>
      </c>
      <c r="P117" s="37"/>
      <c r="Q117" s="38"/>
      <c r="R117" s="22"/>
      <c r="S117" s="22">
        <v>1.0</v>
      </c>
      <c r="T117" s="22"/>
      <c r="U117" s="22"/>
      <c r="V117" s="35"/>
      <c r="W117" s="22"/>
      <c r="X117" s="22"/>
      <c r="Y117" s="36" t="str">
        <f t="shared" si="11"/>
        <v>renew</v>
      </c>
      <c r="Z117" s="21" t="s">
        <v>72</v>
      </c>
      <c r="AA117" s="21"/>
    </row>
    <row r="118">
      <c r="A118" s="20" t="s">
        <v>613</v>
      </c>
      <c r="B118" s="20" t="s">
        <v>614</v>
      </c>
      <c r="C118" s="21">
        <v>1255.0</v>
      </c>
      <c r="D118" s="22" t="str">
        <f t="shared" si="1"/>
        <v>General</v>
      </c>
      <c r="E118" s="23" t="str">
        <f t="shared" si="2"/>
        <v>Lapsed</v>
      </c>
      <c r="F118" s="24">
        <v>1.0</v>
      </c>
      <c r="G118" s="25">
        <v>45761.0</v>
      </c>
      <c r="H118" s="26">
        <f t="shared" si="9"/>
        <v>46022</v>
      </c>
      <c r="I118" s="21"/>
      <c r="J118" s="29" t="s">
        <v>615</v>
      </c>
      <c r="K118" s="29" t="s">
        <v>616</v>
      </c>
      <c r="L118" s="30" t="s">
        <v>35</v>
      </c>
      <c r="M118" s="42"/>
      <c r="N118" s="53" t="s">
        <v>617</v>
      </c>
      <c r="O118" s="54" t="s">
        <v>618</v>
      </c>
      <c r="P118" s="37"/>
      <c r="Q118" s="38"/>
      <c r="R118" s="22"/>
      <c r="S118" s="22">
        <v>1.0</v>
      </c>
      <c r="T118" s="22"/>
      <c r="U118" s="22"/>
      <c r="V118" s="35"/>
      <c r="W118" s="22"/>
      <c r="X118" s="22"/>
      <c r="Y118" s="36" t="str">
        <f t="shared" si="11"/>
        <v>renew</v>
      </c>
      <c r="Z118" s="21" t="s">
        <v>72</v>
      </c>
      <c r="AA118" s="21"/>
    </row>
    <row r="119">
      <c r="A119" s="20" t="s">
        <v>619</v>
      </c>
      <c r="B119" s="20" t="s">
        <v>620</v>
      </c>
      <c r="C119" s="21">
        <v>1254.0</v>
      </c>
      <c r="D119" s="22" t="str">
        <f t="shared" si="1"/>
        <v>General</v>
      </c>
      <c r="E119" s="23" t="str">
        <f t="shared" si="2"/>
        <v>Lapsed</v>
      </c>
      <c r="F119" s="24">
        <v>1.0</v>
      </c>
      <c r="G119" s="25">
        <v>45762.0</v>
      </c>
      <c r="H119" s="26">
        <f t="shared" si="9"/>
        <v>46022</v>
      </c>
      <c r="I119" s="21"/>
      <c r="J119" s="29" t="s">
        <v>621</v>
      </c>
      <c r="K119" s="29" t="s">
        <v>298</v>
      </c>
      <c r="L119" s="30" t="s">
        <v>35</v>
      </c>
      <c r="M119" s="42" t="s">
        <v>299</v>
      </c>
      <c r="N119" s="53" t="s">
        <v>622</v>
      </c>
      <c r="O119" s="54">
        <v>3.03720054E9</v>
      </c>
      <c r="P119" s="37"/>
      <c r="Q119" s="38"/>
      <c r="R119" s="22"/>
      <c r="S119" s="22">
        <v>1.0</v>
      </c>
      <c r="T119" s="22"/>
      <c r="U119" s="22"/>
      <c r="V119" s="35"/>
      <c r="W119" s="22"/>
      <c r="X119" s="22"/>
      <c r="Y119" s="36" t="str">
        <f t="shared" si="11"/>
        <v>renew</v>
      </c>
      <c r="Z119" s="21" t="s">
        <v>8</v>
      </c>
      <c r="AA119" s="21"/>
    </row>
    <row r="120">
      <c r="A120" s="20" t="s">
        <v>619</v>
      </c>
      <c r="B120" s="20" t="s">
        <v>623</v>
      </c>
      <c r="C120" s="21">
        <v>1253.0</v>
      </c>
      <c r="D120" s="22" t="str">
        <f t="shared" si="1"/>
        <v>General</v>
      </c>
      <c r="E120" s="23" t="str">
        <f t="shared" si="2"/>
        <v>Lapsed</v>
      </c>
      <c r="F120" s="24">
        <v>1.0</v>
      </c>
      <c r="G120" s="25">
        <v>45763.0</v>
      </c>
      <c r="H120" s="26">
        <f t="shared" si="9"/>
        <v>46022</v>
      </c>
      <c r="I120" s="21"/>
      <c r="J120" s="28" t="s">
        <v>624</v>
      </c>
      <c r="K120" s="29" t="s">
        <v>42</v>
      </c>
      <c r="L120" s="30" t="s">
        <v>35</v>
      </c>
      <c r="M120" s="31" t="s">
        <v>239</v>
      </c>
      <c r="N120" s="28" t="s">
        <v>625</v>
      </c>
      <c r="O120" s="32">
        <v>3.039185232E9</v>
      </c>
      <c r="P120" s="37"/>
      <c r="Q120" s="38"/>
      <c r="R120" s="22"/>
      <c r="S120" s="22">
        <v>1.0</v>
      </c>
      <c r="T120" s="22"/>
      <c r="U120" s="22"/>
      <c r="V120" s="35"/>
      <c r="W120" s="22"/>
      <c r="X120" s="22"/>
      <c r="Y120" s="36" t="str">
        <f t="shared" si="11"/>
        <v>renew</v>
      </c>
      <c r="Z120" s="21" t="s">
        <v>8</v>
      </c>
      <c r="AA120" s="21"/>
    </row>
    <row r="121">
      <c r="A121" s="36" t="s">
        <v>626</v>
      </c>
      <c r="B121" s="20" t="s">
        <v>627</v>
      </c>
      <c r="C121" s="21">
        <v>1252.0</v>
      </c>
      <c r="D121" s="22" t="str">
        <f t="shared" si="1"/>
        <v>General</v>
      </c>
      <c r="E121" s="23" t="str">
        <f t="shared" si="2"/>
        <v>Lapsed</v>
      </c>
      <c r="F121" s="24">
        <v>1.0</v>
      </c>
      <c r="G121" s="25">
        <v>45764.0</v>
      </c>
      <c r="H121" s="26">
        <f t="shared" si="9"/>
        <v>46022</v>
      </c>
      <c r="I121" s="21"/>
      <c r="J121" s="29" t="s">
        <v>628</v>
      </c>
      <c r="K121" s="29" t="s">
        <v>56</v>
      </c>
      <c r="L121" s="30" t="s">
        <v>57</v>
      </c>
      <c r="M121" s="42" t="s">
        <v>63</v>
      </c>
      <c r="N121" s="53" t="s">
        <v>629</v>
      </c>
      <c r="O121" s="54">
        <v>9.073019016E9</v>
      </c>
      <c r="P121" s="37"/>
      <c r="Q121" s="38"/>
      <c r="R121" s="22"/>
      <c r="S121" s="22">
        <v>1.0</v>
      </c>
      <c r="T121" s="22"/>
      <c r="U121" s="22"/>
      <c r="V121" s="35"/>
      <c r="W121" s="22"/>
      <c r="X121" s="22"/>
      <c r="Y121" s="36" t="str">
        <f t="shared" si="11"/>
        <v>renew</v>
      </c>
      <c r="Z121" s="21" t="s">
        <v>8</v>
      </c>
      <c r="AA121" s="21"/>
    </row>
    <row r="122">
      <c r="A122" s="20" t="s">
        <v>630</v>
      </c>
      <c r="B122" s="20" t="s">
        <v>631</v>
      </c>
      <c r="C122" s="21">
        <v>1251.0</v>
      </c>
      <c r="D122" s="22" t="str">
        <f t="shared" si="1"/>
        <v>Youth</v>
      </c>
      <c r="E122" s="23" t="str">
        <f t="shared" si="2"/>
        <v>Lapsed</v>
      </c>
      <c r="F122" s="24">
        <v>1.0</v>
      </c>
      <c r="G122" s="25">
        <v>45765.0</v>
      </c>
      <c r="H122" s="26">
        <f t="shared" si="9"/>
        <v>46022</v>
      </c>
      <c r="I122" s="21"/>
      <c r="J122" s="29" t="s">
        <v>632</v>
      </c>
      <c r="K122" s="29" t="s">
        <v>374</v>
      </c>
      <c r="L122" s="30" t="s">
        <v>35</v>
      </c>
      <c r="M122" s="42" t="s">
        <v>375</v>
      </c>
      <c r="N122" s="53" t="s">
        <v>633</v>
      </c>
      <c r="O122" s="54" t="s">
        <v>634</v>
      </c>
      <c r="P122" s="48">
        <v>41782.0</v>
      </c>
      <c r="Q122" s="34">
        <f t="shared" ref="Q122:Q125" si="13">datedif(P122,today(),"Y")</f>
        <v>11</v>
      </c>
      <c r="R122" s="22"/>
      <c r="S122" s="22">
        <v>1.0</v>
      </c>
      <c r="T122" s="22"/>
      <c r="U122" s="22"/>
      <c r="V122" s="35"/>
      <c r="W122" s="22"/>
      <c r="X122" s="22"/>
      <c r="Y122" s="36" t="str">
        <f t="shared" si="11"/>
        <v>renew</v>
      </c>
      <c r="Z122" s="21" t="s">
        <v>8</v>
      </c>
      <c r="AA122" s="21"/>
    </row>
    <row r="123">
      <c r="A123" s="20" t="s">
        <v>635</v>
      </c>
      <c r="B123" s="20" t="s">
        <v>631</v>
      </c>
      <c r="C123" s="21">
        <v>1250.0</v>
      </c>
      <c r="D123" s="22" t="str">
        <f t="shared" si="1"/>
        <v>Youth</v>
      </c>
      <c r="E123" s="23" t="str">
        <f t="shared" si="2"/>
        <v>Lapsed</v>
      </c>
      <c r="F123" s="24">
        <v>1.0</v>
      </c>
      <c r="G123" s="25">
        <v>45766.0</v>
      </c>
      <c r="H123" s="26">
        <f t="shared" si="9"/>
        <v>46022</v>
      </c>
      <c r="I123" s="21"/>
      <c r="J123" s="29" t="s">
        <v>632</v>
      </c>
      <c r="K123" s="29" t="s">
        <v>374</v>
      </c>
      <c r="L123" s="30" t="s">
        <v>35</v>
      </c>
      <c r="M123" s="42" t="s">
        <v>375</v>
      </c>
      <c r="N123" s="53" t="s">
        <v>633</v>
      </c>
      <c r="O123" s="54" t="s">
        <v>634</v>
      </c>
      <c r="P123" s="48">
        <v>40597.0</v>
      </c>
      <c r="Q123" s="34">
        <f t="shared" si="13"/>
        <v>15</v>
      </c>
      <c r="R123" s="22"/>
      <c r="S123" s="22">
        <v>1.0</v>
      </c>
      <c r="T123" s="22"/>
      <c r="U123" s="22"/>
      <c r="V123" s="35"/>
      <c r="W123" s="22"/>
      <c r="X123" s="22"/>
      <c r="Y123" s="36" t="str">
        <f t="shared" si="11"/>
        <v>renew</v>
      </c>
      <c r="Z123" s="21" t="s">
        <v>8</v>
      </c>
      <c r="AA123" s="21"/>
    </row>
    <row r="124">
      <c r="A124" s="20" t="s">
        <v>636</v>
      </c>
      <c r="B124" s="20" t="s">
        <v>631</v>
      </c>
      <c r="C124" s="21">
        <v>1249.0</v>
      </c>
      <c r="D124" s="22" t="str">
        <f t="shared" si="1"/>
        <v>Youth</v>
      </c>
      <c r="E124" s="23" t="str">
        <f t="shared" si="2"/>
        <v>Lapsed</v>
      </c>
      <c r="F124" s="24">
        <v>1.0</v>
      </c>
      <c r="G124" s="25">
        <v>45767.0</v>
      </c>
      <c r="H124" s="26">
        <f t="shared" si="9"/>
        <v>46022</v>
      </c>
      <c r="I124" s="21"/>
      <c r="J124" s="29" t="s">
        <v>632</v>
      </c>
      <c r="K124" s="29" t="s">
        <v>374</v>
      </c>
      <c r="L124" s="30" t="s">
        <v>35</v>
      </c>
      <c r="M124" s="42" t="s">
        <v>375</v>
      </c>
      <c r="N124" s="53" t="s">
        <v>633</v>
      </c>
      <c r="O124" s="54" t="s">
        <v>634</v>
      </c>
      <c r="P124" s="48">
        <v>39410.0</v>
      </c>
      <c r="Q124" s="34">
        <f t="shared" si="13"/>
        <v>18</v>
      </c>
      <c r="R124" s="22"/>
      <c r="S124" s="22">
        <v>1.0</v>
      </c>
      <c r="T124" s="22"/>
      <c r="U124" s="22"/>
      <c r="V124" s="35"/>
      <c r="W124" s="22"/>
      <c r="X124" s="22"/>
      <c r="Y124" s="36" t="str">
        <f t="shared" si="11"/>
        <v>renew</v>
      </c>
      <c r="Z124" s="21" t="s">
        <v>8</v>
      </c>
      <c r="AA124" s="21"/>
    </row>
    <row r="125">
      <c r="A125" s="20" t="s">
        <v>637</v>
      </c>
      <c r="B125" s="20" t="s">
        <v>638</v>
      </c>
      <c r="C125" s="21">
        <v>1248.0</v>
      </c>
      <c r="D125" s="22" t="str">
        <f t="shared" si="1"/>
        <v>Youth</v>
      </c>
      <c r="E125" s="23" t="str">
        <f t="shared" si="2"/>
        <v>Lapsed</v>
      </c>
      <c r="F125" s="24">
        <v>1.0</v>
      </c>
      <c r="G125" s="25">
        <v>45768.0</v>
      </c>
      <c r="H125" s="26">
        <f t="shared" si="9"/>
        <v>46022</v>
      </c>
      <c r="I125" s="21"/>
      <c r="J125" s="62" t="s">
        <v>639</v>
      </c>
      <c r="K125" s="62" t="s">
        <v>640</v>
      </c>
      <c r="L125" s="63" t="s">
        <v>35</v>
      </c>
      <c r="M125" s="64" t="s">
        <v>641</v>
      </c>
      <c r="N125" s="65" t="s">
        <v>642</v>
      </c>
      <c r="O125" s="66" t="s">
        <v>643</v>
      </c>
      <c r="P125" s="48">
        <v>40430.0</v>
      </c>
      <c r="Q125" s="34">
        <f t="shared" si="13"/>
        <v>15</v>
      </c>
      <c r="R125" s="22"/>
      <c r="S125" s="22">
        <v>1.0</v>
      </c>
      <c r="T125" s="22"/>
      <c r="U125" s="22"/>
      <c r="V125" s="35"/>
      <c r="W125" s="22"/>
      <c r="X125" s="22"/>
      <c r="Y125" s="36" t="str">
        <f t="shared" si="11"/>
        <v>renew</v>
      </c>
      <c r="Z125" s="21" t="s">
        <v>8</v>
      </c>
      <c r="AA125" s="21"/>
    </row>
    <row r="126">
      <c r="A126" s="20" t="s">
        <v>644</v>
      </c>
      <c r="B126" s="20" t="s">
        <v>645</v>
      </c>
      <c r="C126" s="21">
        <v>1247.0</v>
      </c>
      <c r="D126" s="22" t="str">
        <f t="shared" si="1"/>
        <v>General</v>
      </c>
      <c r="E126" s="23" t="str">
        <f t="shared" si="2"/>
        <v>Lapsed</v>
      </c>
      <c r="F126" s="24">
        <v>1.0</v>
      </c>
      <c r="G126" s="25">
        <v>45761.0</v>
      </c>
      <c r="H126" s="26">
        <f t="shared" si="9"/>
        <v>46022</v>
      </c>
      <c r="I126" s="21"/>
      <c r="J126" s="29" t="s">
        <v>646</v>
      </c>
      <c r="K126" s="29" t="s">
        <v>647</v>
      </c>
      <c r="L126" s="30" t="s">
        <v>35</v>
      </c>
      <c r="M126" s="42" t="s">
        <v>137</v>
      </c>
      <c r="N126" s="53" t="s">
        <v>648</v>
      </c>
      <c r="O126" s="54">
        <v>3.038075872E9</v>
      </c>
      <c r="P126" s="37"/>
      <c r="Q126" s="38"/>
      <c r="R126" s="22"/>
      <c r="S126" s="22">
        <v>1.0</v>
      </c>
      <c r="T126" s="22"/>
      <c r="U126" s="22"/>
      <c r="V126" s="35"/>
      <c r="W126" s="22"/>
      <c r="X126" s="22"/>
      <c r="Y126" s="36" t="str">
        <f t="shared" si="11"/>
        <v>renew</v>
      </c>
      <c r="Z126" s="21" t="s">
        <v>8</v>
      </c>
      <c r="AA126" s="21"/>
    </row>
    <row r="127">
      <c r="A127" s="20" t="s">
        <v>133</v>
      </c>
      <c r="B127" s="20" t="s">
        <v>649</v>
      </c>
      <c r="C127" s="21">
        <v>1246.0</v>
      </c>
      <c r="D127" s="22" t="str">
        <f t="shared" si="1"/>
        <v>Youth</v>
      </c>
      <c r="E127" s="23" t="str">
        <f t="shared" si="2"/>
        <v>Lapsed</v>
      </c>
      <c r="F127" s="24">
        <v>1.0</v>
      </c>
      <c r="G127" s="25">
        <v>45761.0</v>
      </c>
      <c r="H127" s="26">
        <f t="shared" si="9"/>
        <v>46022</v>
      </c>
      <c r="I127" s="21"/>
      <c r="J127" s="29" t="s">
        <v>650</v>
      </c>
      <c r="K127" s="29" t="s">
        <v>651</v>
      </c>
      <c r="L127" s="30" t="s">
        <v>35</v>
      </c>
      <c r="M127" s="42" t="s">
        <v>652</v>
      </c>
      <c r="N127" s="53" t="s">
        <v>653</v>
      </c>
      <c r="O127" s="54">
        <v>7.205902353E9</v>
      </c>
      <c r="P127" s="48">
        <v>41460.0</v>
      </c>
      <c r="Q127" s="34">
        <f>datedif(P127,today(),"Y")</f>
        <v>12</v>
      </c>
      <c r="R127" s="22"/>
      <c r="S127" s="22">
        <v>1.0</v>
      </c>
      <c r="T127" s="22"/>
      <c r="U127" s="22"/>
      <c r="V127" s="35"/>
      <c r="W127" s="22"/>
      <c r="X127" s="22"/>
      <c r="Y127" s="36" t="str">
        <f t="shared" si="11"/>
        <v>renew</v>
      </c>
      <c r="Z127" s="21" t="s">
        <v>8</v>
      </c>
      <c r="AA127" s="21"/>
    </row>
    <row r="128">
      <c r="A128" s="20" t="s">
        <v>654</v>
      </c>
      <c r="B128" s="20" t="s">
        <v>655</v>
      </c>
      <c r="C128" s="21">
        <v>1245.0</v>
      </c>
      <c r="D128" s="22" t="str">
        <f t="shared" si="1"/>
        <v>General</v>
      </c>
      <c r="E128" s="23" t="str">
        <f t="shared" si="2"/>
        <v>Lapsed</v>
      </c>
      <c r="F128" s="24">
        <v>1.0</v>
      </c>
      <c r="G128" s="25">
        <v>45756.0</v>
      </c>
      <c r="H128" s="26">
        <f t="shared" si="9"/>
        <v>46022</v>
      </c>
      <c r="I128" s="21"/>
      <c r="J128" s="29" t="s">
        <v>656</v>
      </c>
      <c r="K128" s="29" t="s">
        <v>657</v>
      </c>
      <c r="L128" s="30" t="s">
        <v>35</v>
      </c>
      <c r="M128" s="42" t="s">
        <v>658</v>
      </c>
      <c r="N128" s="53" t="s">
        <v>659</v>
      </c>
      <c r="O128" s="54">
        <v>7.196001687E9</v>
      </c>
      <c r="P128" s="37"/>
      <c r="Q128" s="38"/>
      <c r="R128" s="22"/>
      <c r="S128" s="22">
        <v>1.0</v>
      </c>
      <c r="T128" s="22"/>
      <c r="U128" s="22"/>
      <c r="V128" s="35"/>
      <c r="W128" s="22"/>
      <c r="X128" s="22"/>
      <c r="Y128" s="36" t="str">
        <f t="shared" si="11"/>
        <v>renew</v>
      </c>
      <c r="Z128" s="21" t="s">
        <v>8</v>
      </c>
      <c r="AA128" s="21"/>
    </row>
    <row r="129">
      <c r="A129" s="20" t="s">
        <v>351</v>
      </c>
      <c r="B129" s="20" t="s">
        <v>660</v>
      </c>
      <c r="C129" s="21">
        <v>1244.0</v>
      </c>
      <c r="D129" s="22" t="str">
        <f t="shared" si="1"/>
        <v>General</v>
      </c>
      <c r="E129" s="23" t="str">
        <f t="shared" si="2"/>
        <v>Lapsed</v>
      </c>
      <c r="F129" s="24">
        <v>1.0</v>
      </c>
      <c r="G129" s="25">
        <v>45756.0</v>
      </c>
      <c r="H129" s="26">
        <f t="shared" si="9"/>
        <v>46022</v>
      </c>
      <c r="I129" s="21"/>
      <c r="J129" s="29" t="s">
        <v>661</v>
      </c>
      <c r="K129" s="29" t="s">
        <v>56</v>
      </c>
      <c r="L129" s="30" t="s">
        <v>57</v>
      </c>
      <c r="M129" s="42" t="s">
        <v>63</v>
      </c>
      <c r="N129" s="53" t="s">
        <v>662</v>
      </c>
      <c r="O129" s="54">
        <v>3.077570188E9</v>
      </c>
      <c r="P129" s="37"/>
      <c r="Q129" s="38"/>
      <c r="R129" s="22"/>
      <c r="S129" s="22">
        <v>1.0</v>
      </c>
      <c r="T129" s="22"/>
      <c r="U129" s="22"/>
      <c r="V129" s="35"/>
      <c r="W129" s="22"/>
      <c r="X129" s="22"/>
      <c r="Y129" s="36" t="str">
        <f t="shared" si="11"/>
        <v>renew</v>
      </c>
      <c r="Z129" s="21" t="s">
        <v>8</v>
      </c>
      <c r="AA129" s="21"/>
    </row>
    <row r="130">
      <c r="A130" s="20" t="s">
        <v>663</v>
      </c>
      <c r="B130" s="20" t="s">
        <v>664</v>
      </c>
      <c r="C130" s="21">
        <v>1243.0</v>
      </c>
      <c r="D130" s="22" t="str">
        <f t="shared" si="1"/>
        <v>General</v>
      </c>
      <c r="E130" s="23" t="str">
        <f t="shared" si="2"/>
        <v>Active</v>
      </c>
      <c r="F130" s="24">
        <v>3.0</v>
      </c>
      <c r="G130" s="25">
        <v>45756.0</v>
      </c>
      <c r="H130" s="26">
        <f t="shared" si="9"/>
        <v>46752</v>
      </c>
      <c r="I130" s="21" t="s">
        <v>8</v>
      </c>
      <c r="J130" s="29" t="s">
        <v>665</v>
      </c>
      <c r="K130" s="29" t="s">
        <v>305</v>
      </c>
      <c r="L130" s="30" t="s">
        <v>35</v>
      </c>
      <c r="M130" s="42" t="s">
        <v>306</v>
      </c>
      <c r="N130" s="53" t="s">
        <v>666</v>
      </c>
      <c r="O130" s="54">
        <v>9.705804158E9</v>
      </c>
      <c r="P130" s="37"/>
      <c r="Q130" s="38"/>
      <c r="R130" s="22"/>
      <c r="S130" s="22">
        <v>1.0</v>
      </c>
      <c r="T130" s="22"/>
      <c r="U130" s="22"/>
      <c r="V130" s="35"/>
      <c r="W130" s="22"/>
      <c r="X130" s="22"/>
      <c r="Y130" s="36" t="s">
        <v>45</v>
      </c>
      <c r="Z130" s="21" t="s">
        <v>8</v>
      </c>
      <c r="AA130" s="21"/>
    </row>
    <row r="131">
      <c r="A131" s="20" t="s">
        <v>228</v>
      </c>
      <c r="B131" s="20" t="s">
        <v>667</v>
      </c>
      <c r="C131" s="21">
        <v>1242.0</v>
      </c>
      <c r="D131" s="22" t="str">
        <f t="shared" si="1"/>
        <v>General</v>
      </c>
      <c r="E131" s="23" t="str">
        <f t="shared" si="2"/>
        <v>Lapsed</v>
      </c>
      <c r="F131" s="24">
        <v>1.0</v>
      </c>
      <c r="G131" s="25">
        <v>45738.0</v>
      </c>
      <c r="H131" s="26">
        <f t="shared" si="9"/>
        <v>46022</v>
      </c>
      <c r="I131" s="21"/>
      <c r="J131" s="29" t="s">
        <v>668</v>
      </c>
      <c r="K131" s="29" t="s">
        <v>647</v>
      </c>
      <c r="L131" s="30" t="s">
        <v>35</v>
      </c>
      <c r="M131" s="42" t="s">
        <v>669</v>
      </c>
      <c r="N131" s="53" t="s">
        <v>670</v>
      </c>
      <c r="O131" s="54">
        <v>7.206848287E9</v>
      </c>
      <c r="P131" s="37"/>
      <c r="Q131" s="38"/>
      <c r="R131" s="22"/>
      <c r="S131" s="22">
        <v>1.0</v>
      </c>
      <c r="T131" s="22"/>
      <c r="U131" s="22"/>
      <c r="V131" s="35"/>
      <c r="W131" s="22"/>
      <c r="X131" s="22"/>
      <c r="Y131" s="36" t="str">
        <f t="shared" ref="Y131:Y134" si="14">if(E131="Active","send","renew")</f>
        <v>renew</v>
      </c>
      <c r="Z131" s="21" t="s">
        <v>671</v>
      </c>
      <c r="AA131" s="21"/>
    </row>
    <row r="132">
      <c r="A132" s="20" t="s">
        <v>672</v>
      </c>
      <c r="B132" s="20" t="s">
        <v>673</v>
      </c>
      <c r="C132" s="21">
        <v>1241.0</v>
      </c>
      <c r="D132" s="22" t="str">
        <f t="shared" si="1"/>
        <v>General</v>
      </c>
      <c r="E132" s="23" t="str">
        <f t="shared" si="2"/>
        <v>Lapsed</v>
      </c>
      <c r="F132" s="24">
        <v>1.0</v>
      </c>
      <c r="G132" s="25">
        <v>45738.0</v>
      </c>
      <c r="H132" s="26">
        <f t="shared" si="9"/>
        <v>46022</v>
      </c>
      <c r="I132" s="21"/>
      <c r="J132" s="29" t="s">
        <v>674</v>
      </c>
      <c r="K132" s="29" t="s">
        <v>564</v>
      </c>
      <c r="L132" s="30" t="s">
        <v>35</v>
      </c>
      <c r="M132" s="42" t="s">
        <v>565</v>
      </c>
      <c r="N132" s="53" t="s">
        <v>675</v>
      </c>
      <c r="O132" s="54">
        <v>9.709484536E9</v>
      </c>
      <c r="P132" s="37"/>
      <c r="Q132" s="38"/>
      <c r="R132" s="56" t="s">
        <v>676</v>
      </c>
      <c r="S132" s="22">
        <v>1.0</v>
      </c>
      <c r="T132" s="22"/>
      <c r="U132" s="22"/>
      <c r="V132" s="35"/>
      <c r="W132" s="22"/>
      <c r="X132" s="22"/>
      <c r="Y132" s="36" t="str">
        <f t="shared" si="14"/>
        <v>renew</v>
      </c>
      <c r="Z132" s="21" t="s">
        <v>72</v>
      </c>
      <c r="AA132" s="21"/>
    </row>
    <row r="133">
      <c r="A133" s="20" t="s">
        <v>677</v>
      </c>
      <c r="B133" s="20" t="s">
        <v>516</v>
      </c>
      <c r="C133" s="21">
        <v>1240.0</v>
      </c>
      <c r="D133" s="22" t="str">
        <f t="shared" si="1"/>
        <v>General</v>
      </c>
      <c r="E133" s="23" t="str">
        <f t="shared" si="2"/>
        <v>Lapsed</v>
      </c>
      <c r="F133" s="24">
        <v>1.0</v>
      </c>
      <c r="G133" s="25">
        <v>45738.0</v>
      </c>
      <c r="H133" s="26">
        <f t="shared" si="9"/>
        <v>46022</v>
      </c>
      <c r="I133" s="21"/>
      <c r="J133" s="29" t="s">
        <v>678</v>
      </c>
      <c r="K133" s="29" t="s">
        <v>564</v>
      </c>
      <c r="L133" s="30" t="s">
        <v>35</v>
      </c>
      <c r="M133" s="42" t="s">
        <v>565</v>
      </c>
      <c r="N133" s="53" t="s">
        <v>679</v>
      </c>
      <c r="O133" s="54">
        <v>9.706185633E9</v>
      </c>
      <c r="P133" s="37"/>
      <c r="Q133" s="38"/>
      <c r="R133" s="22"/>
      <c r="S133" s="22">
        <v>1.0</v>
      </c>
      <c r="T133" s="22"/>
      <c r="U133" s="22"/>
      <c r="V133" s="35"/>
      <c r="W133" s="22"/>
      <c r="X133" s="22"/>
      <c r="Y133" s="36" t="str">
        <f t="shared" si="14"/>
        <v>renew</v>
      </c>
      <c r="Z133" s="21" t="s">
        <v>72</v>
      </c>
      <c r="AA133" s="21"/>
    </row>
    <row r="134">
      <c r="A134" s="20" t="s">
        <v>680</v>
      </c>
      <c r="B134" s="20" t="s">
        <v>681</v>
      </c>
      <c r="C134" s="21">
        <v>1239.0</v>
      </c>
      <c r="D134" s="22" t="str">
        <f t="shared" si="1"/>
        <v>General</v>
      </c>
      <c r="E134" s="23" t="str">
        <f t="shared" si="2"/>
        <v>Lapsed</v>
      </c>
      <c r="F134" s="24">
        <v>1.0</v>
      </c>
      <c r="G134" s="25">
        <v>45738.0</v>
      </c>
      <c r="H134" s="26">
        <f t="shared" si="9"/>
        <v>46022</v>
      </c>
      <c r="I134" s="21"/>
      <c r="J134" s="29" t="s">
        <v>682</v>
      </c>
      <c r="K134" s="29" t="s">
        <v>683</v>
      </c>
      <c r="L134" s="30" t="s">
        <v>35</v>
      </c>
      <c r="M134" s="42" t="s">
        <v>684</v>
      </c>
      <c r="N134" s="53" t="s">
        <v>685</v>
      </c>
      <c r="O134" s="54" t="s">
        <v>686</v>
      </c>
      <c r="P134" s="37"/>
      <c r="Q134" s="38"/>
      <c r="R134" s="56" t="s">
        <v>676</v>
      </c>
      <c r="S134" s="22">
        <v>1.0</v>
      </c>
      <c r="T134" s="22"/>
      <c r="U134" s="22"/>
      <c r="V134" s="35"/>
      <c r="W134" s="22"/>
      <c r="X134" s="22"/>
      <c r="Y134" s="36" t="str">
        <f t="shared" si="14"/>
        <v>renew</v>
      </c>
      <c r="Z134" s="21" t="s">
        <v>72</v>
      </c>
      <c r="AA134" s="21"/>
    </row>
    <row r="135">
      <c r="A135" s="20" t="s">
        <v>687</v>
      </c>
      <c r="B135" s="20" t="s">
        <v>688</v>
      </c>
      <c r="C135" s="21">
        <v>1238.0</v>
      </c>
      <c r="D135" s="22" t="str">
        <f t="shared" si="1"/>
        <v>General</v>
      </c>
      <c r="E135" s="23" t="str">
        <f t="shared" si="2"/>
        <v>Active</v>
      </c>
      <c r="F135" s="24">
        <v>3.0</v>
      </c>
      <c r="G135" s="25">
        <v>45740.0</v>
      </c>
      <c r="H135" s="26">
        <f t="shared" si="9"/>
        <v>46752</v>
      </c>
      <c r="I135" s="21" t="s">
        <v>8</v>
      </c>
      <c r="J135" s="29" t="s">
        <v>689</v>
      </c>
      <c r="K135" s="29" t="s">
        <v>690</v>
      </c>
      <c r="L135" s="30" t="s">
        <v>35</v>
      </c>
      <c r="M135" s="42" t="s">
        <v>691</v>
      </c>
      <c r="N135" s="53" t="s">
        <v>692</v>
      </c>
      <c r="O135" s="54" t="s">
        <v>693</v>
      </c>
      <c r="P135" s="37"/>
      <c r="Q135" s="38"/>
      <c r="R135" s="22"/>
      <c r="S135" s="22">
        <v>1.0</v>
      </c>
      <c r="T135" s="22"/>
      <c r="U135" s="22"/>
      <c r="V135" s="35"/>
      <c r="W135" s="22"/>
      <c r="X135" s="22"/>
      <c r="Y135" s="36" t="s">
        <v>45</v>
      </c>
      <c r="Z135" s="21" t="s">
        <v>8</v>
      </c>
      <c r="AA135" s="21"/>
    </row>
    <row r="136">
      <c r="A136" s="67" t="s">
        <v>488</v>
      </c>
      <c r="B136" s="67" t="s">
        <v>694</v>
      </c>
      <c r="C136" s="23">
        <v>1237.0</v>
      </c>
      <c r="D136" s="22" t="str">
        <f t="shared" si="1"/>
        <v>Youth</v>
      </c>
      <c r="E136" s="23" t="str">
        <f t="shared" si="2"/>
        <v>Lapsed</v>
      </c>
      <c r="F136" s="68">
        <v>1.0</v>
      </c>
      <c r="G136" s="69">
        <v>45740.0</v>
      </c>
      <c r="H136" s="26">
        <f t="shared" si="9"/>
        <v>46022</v>
      </c>
      <c r="I136" s="70"/>
      <c r="J136" s="67" t="s">
        <v>695</v>
      </c>
      <c r="K136" s="67" t="s">
        <v>42</v>
      </c>
      <c r="L136" s="23" t="s">
        <v>35</v>
      </c>
      <c r="M136" s="71" t="s">
        <v>293</v>
      </c>
      <c r="N136" s="72" t="s">
        <v>696</v>
      </c>
      <c r="O136" s="73">
        <v>9.708181771E9</v>
      </c>
      <c r="P136" s="74">
        <v>42445.0</v>
      </c>
      <c r="Q136" s="34">
        <f t="shared" ref="Q136:Q137" si="15">datedif(P136,today(),"Y")</f>
        <v>10</v>
      </c>
      <c r="R136" s="22"/>
      <c r="S136" s="22">
        <v>1.0</v>
      </c>
      <c r="T136" s="22"/>
      <c r="U136" s="22"/>
      <c r="V136" s="35"/>
      <c r="W136" s="22"/>
      <c r="X136" s="22"/>
      <c r="Y136" s="36" t="str">
        <f t="shared" ref="Y136:Y137" si="16">if(E136="Active","send","renew")</f>
        <v>renew</v>
      </c>
      <c r="Z136" s="75" t="s">
        <v>8</v>
      </c>
      <c r="AA136" s="21"/>
    </row>
    <row r="137">
      <c r="A137" s="20" t="s">
        <v>697</v>
      </c>
      <c r="B137" s="20" t="s">
        <v>698</v>
      </c>
      <c r="C137" s="21">
        <v>1236.0</v>
      </c>
      <c r="D137" s="22" t="str">
        <f t="shared" si="1"/>
        <v>Youth</v>
      </c>
      <c r="E137" s="23" t="str">
        <f t="shared" si="2"/>
        <v>Lapsed</v>
      </c>
      <c r="F137" s="24">
        <v>1.0</v>
      </c>
      <c r="G137" s="25">
        <v>45724.0</v>
      </c>
      <c r="H137" s="26">
        <f t="shared" si="9"/>
        <v>46022</v>
      </c>
      <c r="I137" s="21"/>
      <c r="J137" s="29" t="s">
        <v>699</v>
      </c>
      <c r="K137" s="29" t="s">
        <v>700</v>
      </c>
      <c r="L137" s="30" t="s">
        <v>701</v>
      </c>
      <c r="M137" s="42" t="s">
        <v>702</v>
      </c>
      <c r="N137" s="76" t="s">
        <v>703</v>
      </c>
      <c r="O137" s="54">
        <v>5.803011957E9</v>
      </c>
      <c r="P137" s="77">
        <v>40119.0</v>
      </c>
      <c r="Q137" s="22">
        <f t="shared" si="15"/>
        <v>16</v>
      </c>
      <c r="R137" s="22"/>
      <c r="S137" s="22">
        <v>1.0</v>
      </c>
      <c r="T137" s="22"/>
      <c r="U137" s="22"/>
      <c r="V137" s="35"/>
      <c r="W137" s="22"/>
      <c r="X137" s="22"/>
      <c r="Y137" s="36" t="str">
        <f t="shared" si="16"/>
        <v>renew</v>
      </c>
      <c r="Z137" s="21" t="s">
        <v>8</v>
      </c>
      <c r="AA137" s="21"/>
    </row>
    <row r="138">
      <c r="A138" s="20" t="s">
        <v>704</v>
      </c>
      <c r="B138" s="20" t="s">
        <v>705</v>
      </c>
      <c r="C138" s="21">
        <v>1235.0</v>
      </c>
      <c r="D138" s="22" t="str">
        <f t="shared" si="1"/>
        <v>General</v>
      </c>
      <c r="E138" s="23" t="str">
        <f t="shared" si="2"/>
        <v>Active</v>
      </c>
      <c r="F138" s="24">
        <v>3.0</v>
      </c>
      <c r="G138" s="25">
        <v>45715.0</v>
      </c>
      <c r="H138" s="26">
        <f t="shared" si="9"/>
        <v>46752</v>
      </c>
      <c r="I138" s="21" t="s">
        <v>8</v>
      </c>
      <c r="J138" s="29" t="s">
        <v>706</v>
      </c>
      <c r="K138" s="29" t="s">
        <v>594</v>
      </c>
      <c r="L138" s="30" t="s">
        <v>35</v>
      </c>
      <c r="M138" s="42" t="s">
        <v>595</v>
      </c>
      <c r="N138" s="78" t="s">
        <v>707</v>
      </c>
      <c r="O138" s="79">
        <v>9.703719826E9</v>
      </c>
      <c r="P138" s="37"/>
      <c r="Q138" s="38"/>
      <c r="R138" s="22"/>
      <c r="S138" s="22">
        <v>1.0</v>
      </c>
      <c r="T138" s="22"/>
      <c r="U138" s="22"/>
      <c r="V138" s="35"/>
      <c r="W138" s="22"/>
      <c r="X138" s="22"/>
      <c r="Y138" s="36" t="s">
        <v>45</v>
      </c>
      <c r="Z138" s="21" t="s">
        <v>8</v>
      </c>
      <c r="AA138" s="21"/>
    </row>
    <row r="139">
      <c r="A139" s="20" t="s">
        <v>708</v>
      </c>
      <c r="B139" s="20" t="s">
        <v>709</v>
      </c>
      <c r="C139" s="21">
        <v>1234.0</v>
      </c>
      <c r="D139" s="22" t="str">
        <f t="shared" si="1"/>
        <v>General</v>
      </c>
      <c r="E139" s="23" t="str">
        <f t="shared" si="2"/>
        <v>Lapsed</v>
      </c>
      <c r="F139" s="24">
        <v>1.0</v>
      </c>
      <c r="G139" s="25">
        <v>45686.0</v>
      </c>
      <c r="H139" s="26">
        <f t="shared" si="9"/>
        <v>46022</v>
      </c>
      <c r="I139" s="21"/>
      <c r="J139" s="29" t="s">
        <v>710</v>
      </c>
      <c r="K139" s="29" t="s">
        <v>68</v>
      </c>
      <c r="L139" s="30" t="s">
        <v>35</v>
      </c>
      <c r="M139" s="42" t="s">
        <v>69</v>
      </c>
      <c r="N139" s="53" t="s">
        <v>711</v>
      </c>
      <c r="O139" s="54">
        <v>9.702193801E9</v>
      </c>
      <c r="P139" s="37"/>
      <c r="Q139" s="38"/>
      <c r="R139" s="22"/>
      <c r="S139" s="22">
        <v>1.0</v>
      </c>
      <c r="T139" s="22"/>
      <c r="U139" s="22"/>
      <c r="V139" s="35"/>
      <c r="W139" s="22"/>
      <c r="X139" s="22"/>
      <c r="Y139" s="36" t="str">
        <f>if(E139="Active","send","renew")</f>
        <v>renew</v>
      </c>
      <c r="Z139" s="21" t="s">
        <v>8</v>
      </c>
      <c r="AA139" s="21"/>
    </row>
    <row r="140">
      <c r="A140" s="20" t="s">
        <v>712</v>
      </c>
      <c r="B140" s="20" t="s">
        <v>713</v>
      </c>
      <c r="C140" s="21">
        <v>1233.0</v>
      </c>
      <c r="D140" s="22" t="str">
        <f t="shared" si="1"/>
        <v>General</v>
      </c>
      <c r="E140" s="23" t="str">
        <f t="shared" si="2"/>
        <v>Active</v>
      </c>
      <c r="F140" s="24">
        <v>3.0</v>
      </c>
      <c r="G140" s="25">
        <v>45658.0</v>
      </c>
      <c r="H140" s="26">
        <f t="shared" si="9"/>
        <v>46752</v>
      </c>
      <c r="I140" s="21" t="s">
        <v>8</v>
      </c>
      <c r="J140" s="29" t="s">
        <v>714</v>
      </c>
      <c r="K140" s="29" t="s">
        <v>497</v>
      </c>
      <c r="L140" s="30" t="s">
        <v>35</v>
      </c>
      <c r="M140" s="42" t="s">
        <v>498</v>
      </c>
      <c r="N140" s="53" t="s">
        <v>715</v>
      </c>
      <c r="O140" s="54">
        <v>7.20842902E9</v>
      </c>
      <c r="P140" s="37"/>
      <c r="Q140" s="38"/>
      <c r="R140" s="22"/>
      <c r="S140" s="22">
        <v>1.0</v>
      </c>
      <c r="T140" s="22">
        <v>2.0</v>
      </c>
      <c r="U140" s="22"/>
      <c r="V140" s="35"/>
      <c r="W140" s="22"/>
      <c r="X140" s="22"/>
      <c r="Y140" s="36" t="s">
        <v>45</v>
      </c>
      <c r="Z140" s="21" t="s">
        <v>8</v>
      </c>
      <c r="AA140" s="21" t="s">
        <v>8</v>
      </c>
    </row>
    <row r="141">
      <c r="A141" s="20"/>
      <c r="B141" s="20" t="s">
        <v>716</v>
      </c>
      <c r="C141" s="21">
        <v>1232.0</v>
      </c>
      <c r="D141" s="22" t="str">
        <f t="shared" si="1"/>
        <v>Business</v>
      </c>
      <c r="E141" s="23" t="str">
        <f t="shared" si="2"/>
        <v>Lapsed</v>
      </c>
      <c r="F141" s="24">
        <v>1.0</v>
      </c>
      <c r="G141" s="25">
        <v>45451.0</v>
      </c>
      <c r="H141" s="26">
        <f t="shared" si="9"/>
        <v>45657</v>
      </c>
      <c r="I141" s="21"/>
      <c r="J141" s="62" t="s">
        <v>717</v>
      </c>
      <c r="K141" s="62" t="s">
        <v>42</v>
      </c>
      <c r="L141" s="63" t="s">
        <v>35</v>
      </c>
      <c r="M141" s="64">
        <v>80524.0</v>
      </c>
      <c r="N141" s="80" t="s">
        <v>718</v>
      </c>
      <c r="O141" s="66"/>
      <c r="P141" s="37"/>
      <c r="Q141" s="38"/>
      <c r="R141" s="22"/>
      <c r="S141" s="22"/>
      <c r="T141" s="22">
        <v>2.0</v>
      </c>
      <c r="U141" s="22"/>
      <c r="V141" s="35"/>
      <c r="W141" s="22"/>
      <c r="X141" s="22"/>
      <c r="Y141" s="36" t="str">
        <f t="shared" ref="Y141:Y142" si="17">if(E141="Active","send","renew")</f>
        <v>renew</v>
      </c>
      <c r="Z141" s="21"/>
      <c r="AA141" s="21" t="s">
        <v>8</v>
      </c>
    </row>
    <row r="142">
      <c r="A142" s="20" t="s">
        <v>379</v>
      </c>
      <c r="B142" s="20" t="s">
        <v>433</v>
      </c>
      <c r="C142" s="21">
        <v>1231.0</v>
      </c>
      <c r="D142" s="22" t="str">
        <f t="shared" si="1"/>
        <v>General</v>
      </c>
      <c r="E142" s="23" t="str">
        <f t="shared" si="2"/>
        <v>Lapsed</v>
      </c>
      <c r="F142" s="24">
        <v>1.0</v>
      </c>
      <c r="G142" s="25">
        <v>45658.0</v>
      </c>
      <c r="H142" s="26">
        <f t="shared" si="9"/>
        <v>46022</v>
      </c>
      <c r="I142" s="21"/>
      <c r="J142" s="29" t="s">
        <v>719</v>
      </c>
      <c r="K142" s="29" t="s">
        <v>720</v>
      </c>
      <c r="L142" s="30" t="s">
        <v>721</v>
      </c>
      <c r="M142" s="42" t="s">
        <v>722</v>
      </c>
      <c r="N142" s="53" t="s">
        <v>723</v>
      </c>
      <c r="O142" s="54">
        <v>8.082270507E9</v>
      </c>
      <c r="P142" s="37"/>
      <c r="Q142" s="38"/>
      <c r="R142" s="22"/>
      <c r="S142" s="22">
        <v>1.0</v>
      </c>
      <c r="T142" s="22">
        <v>2.0</v>
      </c>
      <c r="U142" s="22"/>
      <c r="V142" s="35"/>
      <c r="W142" s="22"/>
      <c r="X142" s="22"/>
      <c r="Y142" s="36" t="str">
        <f t="shared" si="17"/>
        <v>renew</v>
      </c>
      <c r="Z142" s="21" t="s">
        <v>8</v>
      </c>
      <c r="AA142" s="21" t="s">
        <v>8</v>
      </c>
    </row>
    <row r="143">
      <c r="A143" s="20"/>
      <c r="B143" s="20" t="s">
        <v>724</v>
      </c>
      <c r="C143" s="21">
        <v>1230.0</v>
      </c>
      <c r="D143" s="22" t="str">
        <f t="shared" si="1"/>
        <v>Business</v>
      </c>
      <c r="E143" s="23" t="str">
        <f t="shared" si="2"/>
        <v>Active</v>
      </c>
      <c r="F143" s="24">
        <v>3.0</v>
      </c>
      <c r="G143" s="25">
        <v>45589.0</v>
      </c>
      <c r="H143" s="26">
        <f t="shared" si="9"/>
        <v>46387</v>
      </c>
      <c r="I143" s="21" t="s">
        <v>27</v>
      </c>
      <c r="J143" s="29" t="s">
        <v>725</v>
      </c>
      <c r="K143" s="29" t="s">
        <v>726</v>
      </c>
      <c r="L143" s="30" t="s">
        <v>35</v>
      </c>
      <c r="M143" s="42" t="s">
        <v>198</v>
      </c>
      <c r="N143" s="53" t="s">
        <v>727</v>
      </c>
      <c r="O143" s="54">
        <v>9.707690157E9</v>
      </c>
      <c r="P143" s="37"/>
      <c r="Q143" s="38"/>
      <c r="R143" s="22"/>
      <c r="S143" s="22">
        <v>1.0</v>
      </c>
      <c r="T143" s="22">
        <v>2.0</v>
      </c>
      <c r="U143" s="22"/>
      <c r="V143" s="35"/>
      <c r="W143" s="22"/>
      <c r="X143" s="22"/>
      <c r="Y143" s="36" t="s">
        <v>45</v>
      </c>
      <c r="Z143" s="27" t="s">
        <v>27</v>
      </c>
      <c r="AA143" s="27"/>
    </row>
    <row r="144">
      <c r="A144" s="20" t="s">
        <v>728</v>
      </c>
      <c r="B144" s="20" t="s">
        <v>729</v>
      </c>
      <c r="C144" s="21">
        <v>1229.0</v>
      </c>
      <c r="D144" s="22" t="str">
        <f t="shared" si="1"/>
        <v>General</v>
      </c>
      <c r="E144" s="23" t="str">
        <f t="shared" si="2"/>
        <v>Lapsed</v>
      </c>
      <c r="F144" s="24">
        <v>1.0</v>
      </c>
      <c r="G144" s="25">
        <v>45515.0</v>
      </c>
      <c r="H144" s="26">
        <f t="shared" si="9"/>
        <v>45657</v>
      </c>
      <c r="I144" s="21"/>
      <c r="J144" s="29" t="s">
        <v>730</v>
      </c>
      <c r="K144" s="29" t="s">
        <v>731</v>
      </c>
      <c r="L144" s="30" t="s">
        <v>35</v>
      </c>
      <c r="M144" s="42" t="s">
        <v>732</v>
      </c>
      <c r="N144" s="53" t="s">
        <v>733</v>
      </c>
      <c r="O144" s="54">
        <v>3.032430058E9</v>
      </c>
      <c r="P144" s="37"/>
      <c r="Q144" s="38"/>
      <c r="R144" s="22"/>
      <c r="S144" s="22"/>
      <c r="T144" s="22">
        <v>2.0</v>
      </c>
      <c r="U144" s="22"/>
      <c r="V144" s="35"/>
      <c r="W144" s="22"/>
      <c r="X144" s="22"/>
      <c r="Y144" s="36" t="str">
        <f t="shared" ref="Y144:Y187" si="18">if(E144="Active","send","renew")</f>
        <v>renew</v>
      </c>
      <c r="Z144" s="27"/>
      <c r="AA144" s="27"/>
    </row>
    <row r="145">
      <c r="A145" s="20" t="s">
        <v>734</v>
      </c>
      <c r="B145" s="20" t="s">
        <v>735</v>
      </c>
      <c r="C145" s="21">
        <v>1228.0</v>
      </c>
      <c r="D145" s="22" t="str">
        <f t="shared" si="1"/>
        <v>General</v>
      </c>
      <c r="E145" s="23" t="str">
        <f t="shared" si="2"/>
        <v>Lapsed</v>
      </c>
      <c r="F145" s="24">
        <v>1.0</v>
      </c>
      <c r="G145" s="25">
        <v>45817.0</v>
      </c>
      <c r="H145" s="26">
        <f t="shared" si="9"/>
        <v>46022</v>
      </c>
      <c r="I145" s="21"/>
      <c r="J145" s="29" t="s">
        <v>736</v>
      </c>
      <c r="K145" s="29" t="s">
        <v>329</v>
      </c>
      <c r="L145" s="30" t="s">
        <v>35</v>
      </c>
      <c r="M145" s="42" t="s">
        <v>330</v>
      </c>
      <c r="N145" s="53" t="s">
        <v>737</v>
      </c>
      <c r="O145" s="54">
        <v>9.703971695E9</v>
      </c>
      <c r="P145" s="37"/>
      <c r="Q145" s="38"/>
      <c r="R145" s="22"/>
      <c r="S145" s="22">
        <v>2.0</v>
      </c>
      <c r="T145" s="22">
        <v>2.0</v>
      </c>
      <c r="U145" s="22"/>
      <c r="V145" s="35"/>
      <c r="W145" s="22"/>
      <c r="X145" s="22"/>
      <c r="Y145" s="36" t="str">
        <f t="shared" si="18"/>
        <v>renew</v>
      </c>
      <c r="Z145" s="21"/>
      <c r="AA145" s="75"/>
    </row>
    <row r="146">
      <c r="A146" s="20" t="s">
        <v>738</v>
      </c>
      <c r="B146" s="20" t="s">
        <v>314</v>
      </c>
      <c r="C146" s="21">
        <v>1227.0</v>
      </c>
      <c r="D146" s="22" t="str">
        <f t="shared" si="1"/>
        <v>General</v>
      </c>
      <c r="E146" s="23" t="str">
        <f t="shared" si="2"/>
        <v>Lapsed</v>
      </c>
      <c r="F146" s="24">
        <v>1.0</v>
      </c>
      <c r="G146" s="25">
        <v>45817.0</v>
      </c>
      <c r="H146" s="26">
        <f t="shared" si="9"/>
        <v>46022</v>
      </c>
      <c r="I146" s="21"/>
      <c r="J146" s="29" t="s">
        <v>315</v>
      </c>
      <c r="K146" s="29" t="s">
        <v>89</v>
      </c>
      <c r="L146" s="30" t="s">
        <v>35</v>
      </c>
      <c r="M146" s="42" t="s">
        <v>90</v>
      </c>
      <c r="N146" s="53" t="s">
        <v>316</v>
      </c>
      <c r="O146" s="54" t="s">
        <v>739</v>
      </c>
      <c r="P146" s="37"/>
      <c r="Q146" s="38"/>
      <c r="R146" s="22"/>
      <c r="S146" s="22">
        <v>2.0</v>
      </c>
      <c r="T146" s="22">
        <v>2.0</v>
      </c>
      <c r="U146" s="22"/>
      <c r="V146" s="35"/>
      <c r="W146" s="22"/>
      <c r="X146" s="22"/>
      <c r="Y146" s="36" t="str">
        <f t="shared" si="18"/>
        <v>renew</v>
      </c>
      <c r="Z146" s="21"/>
      <c r="AA146" s="75"/>
    </row>
    <row r="147">
      <c r="A147" s="20" t="s">
        <v>740</v>
      </c>
      <c r="B147" s="20" t="s">
        <v>741</v>
      </c>
      <c r="C147" s="21">
        <v>1226.0</v>
      </c>
      <c r="D147" s="22" t="str">
        <f t="shared" si="1"/>
        <v>General</v>
      </c>
      <c r="E147" s="23" t="str">
        <f t="shared" si="2"/>
        <v>Lapsed</v>
      </c>
      <c r="F147" s="24">
        <v>1.0</v>
      </c>
      <c r="G147" s="25">
        <v>45515.0</v>
      </c>
      <c r="H147" s="26">
        <f t="shared" si="9"/>
        <v>45657</v>
      </c>
      <c r="I147" s="21"/>
      <c r="J147" s="29" t="s">
        <v>742</v>
      </c>
      <c r="K147" s="29" t="s">
        <v>743</v>
      </c>
      <c r="L147" s="30" t="s">
        <v>35</v>
      </c>
      <c r="M147" s="42" t="s">
        <v>744</v>
      </c>
      <c r="N147" s="53" t="s">
        <v>745</v>
      </c>
      <c r="O147" s="54" t="s">
        <v>746</v>
      </c>
      <c r="P147" s="37"/>
      <c r="Q147" s="38"/>
      <c r="R147" s="22"/>
      <c r="S147" s="22"/>
      <c r="T147" s="22">
        <v>2.0</v>
      </c>
      <c r="U147" s="22"/>
      <c r="V147" s="35"/>
      <c r="W147" s="22"/>
      <c r="X147" s="22"/>
      <c r="Y147" s="36" t="str">
        <f t="shared" si="18"/>
        <v>renew</v>
      </c>
      <c r="Z147" s="21"/>
      <c r="AA147" s="21" t="s">
        <v>8</v>
      </c>
    </row>
    <row r="148">
      <c r="A148" s="20" t="s">
        <v>747</v>
      </c>
      <c r="B148" s="20" t="s">
        <v>748</v>
      </c>
      <c r="C148" s="21">
        <v>1225.0</v>
      </c>
      <c r="D148" s="22" t="str">
        <f t="shared" si="1"/>
        <v>General</v>
      </c>
      <c r="E148" s="23" t="str">
        <f t="shared" si="2"/>
        <v>Lapsed</v>
      </c>
      <c r="F148" s="24">
        <v>1.0</v>
      </c>
      <c r="G148" s="25">
        <v>45515.0</v>
      </c>
      <c r="H148" s="26">
        <f t="shared" si="9"/>
        <v>45657</v>
      </c>
      <c r="I148" s="21"/>
      <c r="J148" s="29" t="s">
        <v>749</v>
      </c>
      <c r="K148" s="29" t="s">
        <v>750</v>
      </c>
      <c r="L148" s="30" t="s">
        <v>35</v>
      </c>
      <c r="M148" s="42" t="s">
        <v>751</v>
      </c>
      <c r="N148" s="53" t="s">
        <v>752</v>
      </c>
      <c r="O148" s="54" t="s">
        <v>753</v>
      </c>
      <c r="P148" s="37"/>
      <c r="Q148" s="38"/>
      <c r="R148" s="22"/>
      <c r="S148" s="22"/>
      <c r="T148" s="22">
        <v>2.0</v>
      </c>
      <c r="U148" s="22"/>
      <c r="V148" s="35"/>
      <c r="W148" s="22"/>
      <c r="X148" s="22"/>
      <c r="Y148" s="36" t="str">
        <f t="shared" si="18"/>
        <v>renew</v>
      </c>
      <c r="Z148" s="21"/>
      <c r="AA148" s="21" t="s">
        <v>8</v>
      </c>
    </row>
    <row r="149">
      <c r="A149" s="20" t="s">
        <v>445</v>
      </c>
      <c r="B149" s="20" t="s">
        <v>754</v>
      </c>
      <c r="C149" s="21">
        <v>1224.0</v>
      </c>
      <c r="D149" s="22" t="str">
        <f t="shared" si="1"/>
        <v>General</v>
      </c>
      <c r="E149" s="23" t="str">
        <f t="shared" si="2"/>
        <v>Lapsed</v>
      </c>
      <c r="F149" s="24">
        <v>1.0</v>
      </c>
      <c r="G149" s="25">
        <v>45771.0</v>
      </c>
      <c r="H149" s="26">
        <f t="shared" si="9"/>
        <v>46022</v>
      </c>
      <c r="I149" s="21"/>
      <c r="J149" s="29" t="s">
        <v>755</v>
      </c>
      <c r="K149" s="29" t="s">
        <v>42</v>
      </c>
      <c r="L149" s="30" t="s">
        <v>35</v>
      </c>
      <c r="M149" s="42" t="s">
        <v>99</v>
      </c>
      <c r="N149" s="53" t="s">
        <v>756</v>
      </c>
      <c r="O149" s="54" t="s">
        <v>757</v>
      </c>
      <c r="P149" s="37"/>
      <c r="Q149" s="38"/>
      <c r="R149" s="22"/>
      <c r="S149" s="22">
        <v>1.0</v>
      </c>
      <c r="T149" s="22">
        <v>2.0</v>
      </c>
      <c r="U149" s="22"/>
      <c r="V149" s="35"/>
      <c r="W149" s="22"/>
      <c r="X149" s="22"/>
      <c r="Y149" s="36" t="str">
        <f t="shared" si="18"/>
        <v>renew</v>
      </c>
      <c r="Z149" s="21" t="s">
        <v>27</v>
      </c>
      <c r="AA149" s="21" t="s">
        <v>8</v>
      </c>
    </row>
    <row r="150">
      <c r="A150" s="20" t="s">
        <v>758</v>
      </c>
      <c r="B150" s="20" t="s">
        <v>759</v>
      </c>
      <c r="C150" s="21">
        <v>1223.0</v>
      </c>
      <c r="D150" s="22" t="str">
        <f t="shared" si="1"/>
        <v>General</v>
      </c>
      <c r="E150" s="23" t="str">
        <f t="shared" si="2"/>
        <v>Lapsed</v>
      </c>
      <c r="F150" s="24">
        <v>1.0</v>
      </c>
      <c r="G150" s="25">
        <v>45515.0</v>
      </c>
      <c r="H150" s="26">
        <f t="shared" si="9"/>
        <v>45657</v>
      </c>
      <c r="I150" s="21"/>
      <c r="J150" s="29" t="s">
        <v>760</v>
      </c>
      <c r="K150" s="29" t="s">
        <v>761</v>
      </c>
      <c r="L150" s="30" t="s">
        <v>35</v>
      </c>
      <c r="M150" s="42" t="s">
        <v>762</v>
      </c>
      <c r="N150" s="53" t="s">
        <v>763</v>
      </c>
      <c r="O150" s="54" t="s">
        <v>764</v>
      </c>
      <c r="P150" s="37"/>
      <c r="Q150" s="38"/>
      <c r="R150" s="22"/>
      <c r="S150" s="22"/>
      <c r="T150" s="22">
        <v>2.0</v>
      </c>
      <c r="U150" s="22"/>
      <c r="V150" s="35"/>
      <c r="W150" s="22"/>
      <c r="X150" s="22"/>
      <c r="Y150" s="36" t="str">
        <f t="shared" si="18"/>
        <v>renew</v>
      </c>
      <c r="Z150" s="21"/>
      <c r="AA150" s="75"/>
    </row>
    <row r="151">
      <c r="A151" s="20" t="s">
        <v>379</v>
      </c>
      <c r="B151" s="20" t="s">
        <v>765</v>
      </c>
      <c r="C151" s="21">
        <v>1222.0</v>
      </c>
      <c r="D151" s="22" t="str">
        <f t="shared" si="1"/>
        <v>General</v>
      </c>
      <c r="E151" s="23" t="str">
        <f t="shared" si="2"/>
        <v>Lapsed</v>
      </c>
      <c r="F151" s="24">
        <v>1.0</v>
      </c>
      <c r="G151" s="25">
        <v>45771.0</v>
      </c>
      <c r="H151" s="26">
        <f t="shared" si="9"/>
        <v>46022</v>
      </c>
      <c r="I151" s="21"/>
      <c r="J151" s="29" t="s">
        <v>766</v>
      </c>
      <c r="K151" s="29" t="s">
        <v>767</v>
      </c>
      <c r="L151" s="30" t="s">
        <v>35</v>
      </c>
      <c r="M151" s="42" t="s">
        <v>768</v>
      </c>
      <c r="N151" s="53" t="s">
        <v>769</v>
      </c>
      <c r="O151" s="54" t="s">
        <v>770</v>
      </c>
      <c r="P151" s="37"/>
      <c r="Q151" s="38"/>
      <c r="R151" s="22"/>
      <c r="S151" s="22">
        <v>1.0</v>
      </c>
      <c r="T151" s="22">
        <v>2.0</v>
      </c>
      <c r="U151" s="22"/>
      <c r="V151" s="35"/>
      <c r="W151" s="22"/>
      <c r="X151" s="22"/>
      <c r="Y151" s="36" t="str">
        <f t="shared" si="18"/>
        <v>renew</v>
      </c>
      <c r="Z151" s="21" t="s">
        <v>27</v>
      </c>
      <c r="AA151" s="21" t="s">
        <v>27</v>
      </c>
    </row>
    <row r="152">
      <c r="A152" s="20" t="s">
        <v>771</v>
      </c>
      <c r="B152" s="20" t="s">
        <v>772</v>
      </c>
      <c r="C152" s="21">
        <v>1221.0</v>
      </c>
      <c r="D152" s="22" t="str">
        <f t="shared" si="1"/>
        <v>General</v>
      </c>
      <c r="E152" s="23" t="str">
        <f t="shared" si="2"/>
        <v>Lapsed</v>
      </c>
      <c r="F152" s="24">
        <v>1.0</v>
      </c>
      <c r="G152" s="25">
        <v>45515.0</v>
      </c>
      <c r="H152" s="26">
        <f t="shared" si="9"/>
        <v>45657</v>
      </c>
      <c r="I152" s="21"/>
      <c r="J152" s="62"/>
      <c r="K152" s="62"/>
      <c r="L152" s="81"/>
      <c r="M152" s="64"/>
      <c r="N152" s="53"/>
      <c r="O152" s="66"/>
      <c r="P152" s="37"/>
      <c r="Q152" s="38"/>
      <c r="R152" s="22"/>
      <c r="S152" s="22"/>
      <c r="T152" s="22"/>
      <c r="U152" s="22"/>
      <c r="V152" s="35"/>
      <c r="W152" s="22"/>
      <c r="X152" s="22"/>
      <c r="Y152" s="36" t="str">
        <f t="shared" si="18"/>
        <v>renew</v>
      </c>
      <c r="Z152" s="27"/>
      <c r="AA152" s="27" t="s">
        <v>27</v>
      </c>
    </row>
    <row r="153">
      <c r="A153" s="20" t="s">
        <v>773</v>
      </c>
      <c r="B153" s="20" t="s">
        <v>774</v>
      </c>
      <c r="C153" s="21">
        <v>1220.0</v>
      </c>
      <c r="D153" s="22" t="str">
        <f t="shared" si="1"/>
        <v>General</v>
      </c>
      <c r="E153" s="23" t="str">
        <f t="shared" si="2"/>
        <v>Lapsed</v>
      </c>
      <c r="F153" s="24">
        <v>1.0</v>
      </c>
      <c r="G153" s="25">
        <v>45771.0</v>
      </c>
      <c r="H153" s="26">
        <f t="shared" si="9"/>
        <v>46022</v>
      </c>
      <c r="I153" s="21"/>
      <c r="J153" s="29" t="s">
        <v>775</v>
      </c>
      <c r="K153" s="29" t="s">
        <v>776</v>
      </c>
      <c r="L153" s="30" t="s">
        <v>35</v>
      </c>
      <c r="M153" s="42" t="s">
        <v>777</v>
      </c>
      <c r="N153" s="53" t="s">
        <v>778</v>
      </c>
      <c r="O153" s="54">
        <v>7.209798893E9</v>
      </c>
      <c r="P153" s="37"/>
      <c r="Q153" s="38"/>
      <c r="R153" s="22"/>
      <c r="S153" s="22">
        <v>1.0</v>
      </c>
      <c r="T153" s="22">
        <v>2.0</v>
      </c>
      <c r="U153" s="22"/>
      <c r="V153" s="35"/>
      <c r="W153" s="22"/>
      <c r="X153" s="22"/>
      <c r="Y153" s="36" t="str">
        <f t="shared" si="18"/>
        <v>renew</v>
      </c>
      <c r="Z153" s="27" t="s">
        <v>27</v>
      </c>
      <c r="AA153" s="27" t="s">
        <v>27</v>
      </c>
    </row>
    <row r="154">
      <c r="A154" s="20" t="s">
        <v>779</v>
      </c>
      <c r="B154" s="20" t="s">
        <v>780</v>
      </c>
      <c r="C154" s="21">
        <v>1219.0</v>
      </c>
      <c r="D154" s="22" t="str">
        <f t="shared" si="1"/>
        <v>General</v>
      </c>
      <c r="E154" s="23" t="str">
        <f t="shared" si="2"/>
        <v>Lapsed</v>
      </c>
      <c r="F154" s="24">
        <v>1.0</v>
      </c>
      <c r="G154" s="25">
        <v>45545.0</v>
      </c>
      <c r="H154" s="26">
        <f t="shared" si="9"/>
        <v>45657</v>
      </c>
      <c r="I154" s="21"/>
      <c r="J154" s="29" t="s">
        <v>781</v>
      </c>
      <c r="K154" s="29" t="s">
        <v>782</v>
      </c>
      <c r="L154" s="30" t="s">
        <v>35</v>
      </c>
      <c r="M154" s="42" t="s">
        <v>783</v>
      </c>
      <c r="N154" s="53" t="s">
        <v>784</v>
      </c>
      <c r="O154" s="54">
        <v>7.19207659E9</v>
      </c>
      <c r="P154" s="37"/>
      <c r="Q154" s="38"/>
      <c r="R154" s="22"/>
      <c r="S154" s="22"/>
      <c r="T154" s="22">
        <v>2.0</v>
      </c>
      <c r="U154" s="22"/>
      <c r="V154" s="35"/>
      <c r="W154" s="22"/>
      <c r="X154" s="22"/>
      <c r="Y154" s="36" t="str">
        <f t="shared" si="18"/>
        <v>renew</v>
      </c>
      <c r="Z154" s="27"/>
      <c r="AA154" s="27" t="s">
        <v>27</v>
      </c>
    </row>
    <row r="155">
      <c r="A155" s="20" t="s">
        <v>785</v>
      </c>
      <c r="B155" s="20" t="s">
        <v>786</v>
      </c>
      <c r="C155" s="21">
        <v>1217.0</v>
      </c>
      <c r="D155" s="22" t="str">
        <f t="shared" si="1"/>
        <v>General</v>
      </c>
      <c r="E155" s="23" t="str">
        <f t="shared" si="2"/>
        <v>Lapsed</v>
      </c>
      <c r="F155" s="24">
        <v>1.0</v>
      </c>
      <c r="G155" s="25">
        <v>45562.0</v>
      </c>
      <c r="H155" s="26">
        <f t="shared" si="9"/>
        <v>45657</v>
      </c>
      <c r="I155" s="21"/>
      <c r="J155" s="29" t="s">
        <v>787</v>
      </c>
      <c r="K155" s="29" t="s">
        <v>761</v>
      </c>
      <c r="L155" s="30" t="s">
        <v>35</v>
      </c>
      <c r="M155" s="42" t="s">
        <v>762</v>
      </c>
      <c r="N155" s="53" t="s">
        <v>788</v>
      </c>
      <c r="O155" s="54">
        <v>3.037202824E9</v>
      </c>
      <c r="P155" s="37"/>
      <c r="Q155" s="38"/>
      <c r="R155" s="22"/>
      <c r="S155" s="22"/>
      <c r="T155" s="22">
        <v>2.0</v>
      </c>
      <c r="U155" s="22"/>
      <c r="V155" s="35"/>
      <c r="W155" s="22"/>
      <c r="X155" s="22"/>
      <c r="Y155" s="36" t="str">
        <f t="shared" si="18"/>
        <v>renew</v>
      </c>
      <c r="Z155" s="82"/>
      <c r="AA155" s="83" t="s">
        <v>27</v>
      </c>
    </row>
    <row r="156">
      <c r="A156" s="20" t="s">
        <v>789</v>
      </c>
      <c r="B156" s="20" t="s">
        <v>790</v>
      </c>
      <c r="C156" s="21">
        <v>1216.0</v>
      </c>
      <c r="D156" s="22" t="str">
        <f t="shared" si="1"/>
        <v>General</v>
      </c>
      <c r="E156" s="23" t="str">
        <f t="shared" si="2"/>
        <v>Lapsed</v>
      </c>
      <c r="F156" s="24">
        <v>1.0</v>
      </c>
      <c r="G156" s="25">
        <v>45515.0</v>
      </c>
      <c r="H156" s="26">
        <f t="shared" si="9"/>
        <v>45657</v>
      </c>
      <c r="I156" s="21"/>
      <c r="J156" s="28" t="s">
        <v>791</v>
      </c>
      <c r="K156" s="29" t="s">
        <v>792</v>
      </c>
      <c r="L156" s="30" t="s">
        <v>35</v>
      </c>
      <c r="M156" s="31" t="s">
        <v>793</v>
      </c>
      <c r="N156" s="53" t="s">
        <v>794</v>
      </c>
      <c r="O156" s="32">
        <v>7.195688667E9</v>
      </c>
      <c r="P156" s="37"/>
      <c r="Q156" s="38"/>
      <c r="R156" s="22"/>
      <c r="S156" s="22"/>
      <c r="T156" s="22">
        <v>1.0</v>
      </c>
      <c r="U156" s="22"/>
      <c r="V156" s="35"/>
      <c r="W156" s="22"/>
      <c r="X156" s="22"/>
      <c r="Y156" s="36" t="str">
        <f t="shared" si="18"/>
        <v>renew</v>
      </c>
      <c r="Z156" s="27"/>
      <c r="AA156" s="27" t="s">
        <v>8</v>
      </c>
    </row>
    <row r="157">
      <c r="A157" s="20" t="s">
        <v>795</v>
      </c>
      <c r="B157" s="20" t="s">
        <v>796</v>
      </c>
      <c r="C157" s="21">
        <v>1215.0</v>
      </c>
      <c r="D157" s="22" t="str">
        <f t="shared" si="1"/>
        <v>General</v>
      </c>
      <c r="E157" s="23" t="str">
        <f t="shared" si="2"/>
        <v>Lapsed</v>
      </c>
      <c r="F157" s="24">
        <v>1.0</v>
      </c>
      <c r="G157" s="25">
        <v>45515.0</v>
      </c>
      <c r="H157" s="26">
        <f t="shared" si="9"/>
        <v>45657</v>
      </c>
      <c r="I157" s="21"/>
      <c r="J157" s="28" t="s">
        <v>791</v>
      </c>
      <c r="K157" s="29" t="s">
        <v>792</v>
      </c>
      <c r="L157" s="30" t="s">
        <v>35</v>
      </c>
      <c r="M157" s="31" t="s">
        <v>793</v>
      </c>
      <c r="N157" s="53" t="s">
        <v>794</v>
      </c>
      <c r="O157" s="32">
        <v>7.195688667E9</v>
      </c>
      <c r="P157" s="37"/>
      <c r="Q157" s="38"/>
      <c r="R157" s="22"/>
      <c r="S157" s="22"/>
      <c r="T157" s="22">
        <v>1.0</v>
      </c>
      <c r="U157" s="22"/>
      <c r="V157" s="35"/>
      <c r="W157" s="22"/>
      <c r="X157" s="22"/>
      <c r="Y157" s="36" t="str">
        <f t="shared" si="18"/>
        <v>renew</v>
      </c>
      <c r="Z157" s="27"/>
      <c r="AA157" s="27" t="s">
        <v>8</v>
      </c>
    </row>
    <row r="158">
      <c r="A158" s="20" t="s">
        <v>797</v>
      </c>
      <c r="B158" s="20" t="s">
        <v>798</v>
      </c>
      <c r="C158" s="21">
        <v>1214.0</v>
      </c>
      <c r="D158" s="22" t="str">
        <f t="shared" si="1"/>
        <v>General</v>
      </c>
      <c r="E158" s="23" t="str">
        <f t="shared" si="2"/>
        <v>Lapsed</v>
      </c>
      <c r="F158" s="24">
        <v>1.0</v>
      </c>
      <c r="G158" s="25">
        <v>45771.0</v>
      </c>
      <c r="H158" s="26">
        <f t="shared" si="9"/>
        <v>46022</v>
      </c>
      <c r="I158" s="21"/>
      <c r="J158" s="62" t="s">
        <v>799</v>
      </c>
      <c r="K158" s="62" t="s">
        <v>89</v>
      </c>
      <c r="L158" s="63" t="s">
        <v>35</v>
      </c>
      <c r="M158" s="64" t="s">
        <v>90</v>
      </c>
      <c r="N158" s="53" t="s">
        <v>94</v>
      </c>
      <c r="O158" s="66" t="s">
        <v>95</v>
      </c>
      <c r="P158" s="37"/>
      <c r="Q158" s="38"/>
      <c r="R158" s="22"/>
      <c r="S158" s="22">
        <v>1.0</v>
      </c>
      <c r="T158" s="22">
        <v>1.0</v>
      </c>
      <c r="U158" s="22">
        <v>2.0</v>
      </c>
      <c r="V158" s="35">
        <v>45068.0</v>
      </c>
      <c r="W158" s="22" t="s">
        <v>800</v>
      </c>
      <c r="X158" s="22" t="s">
        <v>800</v>
      </c>
      <c r="Y158" s="36" t="str">
        <f t="shared" si="18"/>
        <v>renew</v>
      </c>
      <c r="Z158" s="21" t="s">
        <v>27</v>
      </c>
      <c r="AA158" s="21" t="s">
        <v>27</v>
      </c>
    </row>
    <row r="159">
      <c r="A159" s="84" t="s">
        <v>801</v>
      </c>
      <c r="B159" s="84" t="s">
        <v>802</v>
      </c>
      <c r="C159" s="21">
        <v>1213.0</v>
      </c>
      <c r="D159" s="22" t="str">
        <f t="shared" si="1"/>
        <v>General</v>
      </c>
      <c r="E159" s="23" t="str">
        <f t="shared" si="2"/>
        <v>Lapsed</v>
      </c>
      <c r="F159" s="24">
        <v>1.0</v>
      </c>
      <c r="G159" s="25">
        <v>45849.0</v>
      </c>
      <c r="H159" s="26">
        <f t="shared" si="9"/>
        <v>46022</v>
      </c>
      <c r="I159" s="21"/>
      <c r="J159" s="28" t="s">
        <v>803</v>
      </c>
      <c r="K159" s="29" t="s">
        <v>56</v>
      </c>
      <c r="L159" s="30" t="s">
        <v>57</v>
      </c>
      <c r="M159" s="31" t="s">
        <v>804</v>
      </c>
      <c r="N159" s="57"/>
      <c r="O159" s="32" t="s">
        <v>805</v>
      </c>
      <c r="P159" s="58"/>
      <c r="Q159" s="22"/>
      <c r="R159" s="85"/>
      <c r="S159" s="22">
        <v>4.0</v>
      </c>
      <c r="T159" s="22">
        <v>1.0</v>
      </c>
      <c r="U159" s="22"/>
      <c r="V159" s="86"/>
      <c r="W159" s="22"/>
      <c r="X159" s="38"/>
      <c r="Y159" s="36" t="str">
        <f t="shared" si="18"/>
        <v>renew</v>
      </c>
      <c r="Z159" s="21" t="s">
        <v>27</v>
      </c>
      <c r="AA159" s="21" t="s">
        <v>27</v>
      </c>
    </row>
    <row r="160">
      <c r="A160" s="20" t="s">
        <v>806</v>
      </c>
      <c r="B160" s="87" t="s">
        <v>807</v>
      </c>
      <c r="C160" s="21">
        <v>1212.0</v>
      </c>
      <c r="D160" s="22" t="str">
        <f t="shared" si="1"/>
        <v>General</v>
      </c>
      <c r="E160" s="23" t="str">
        <f t="shared" si="2"/>
        <v>Lapsed</v>
      </c>
      <c r="F160" s="24">
        <v>1.0</v>
      </c>
      <c r="G160" s="25">
        <v>45515.0</v>
      </c>
      <c r="H160" s="26">
        <f t="shared" si="9"/>
        <v>45657</v>
      </c>
      <c r="I160" s="21"/>
      <c r="J160" s="62" t="s">
        <v>808</v>
      </c>
      <c r="K160" s="62" t="s">
        <v>157</v>
      </c>
      <c r="L160" s="63" t="s">
        <v>35</v>
      </c>
      <c r="M160" s="64" t="s">
        <v>158</v>
      </c>
      <c r="N160" s="80" t="s">
        <v>809</v>
      </c>
      <c r="O160" s="66" t="s">
        <v>810</v>
      </c>
      <c r="P160" s="37"/>
      <c r="Q160" s="38"/>
      <c r="R160" s="85"/>
      <c r="S160" s="22"/>
      <c r="T160" s="22">
        <v>1.0</v>
      </c>
      <c r="U160" s="38"/>
      <c r="V160" s="59"/>
      <c r="W160" s="38"/>
      <c r="X160" s="38"/>
      <c r="Y160" s="36" t="str">
        <f t="shared" si="18"/>
        <v>renew</v>
      </c>
      <c r="Z160" s="21"/>
      <c r="AA160" s="21" t="s">
        <v>27</v>
      </c>
    </row>
    <row r="161">
      <c r="A161" s="84" t="s">
        <v>326</v>
      </c>
      <c r="B161" s="84" t="s">
        <v>811</v>
      </c>
      <c r="C161" s="21">
        <v>1211.0</v>
      </c>
      <c r="D161" s="22" t="str">
        <f t="shared" si="1"/>
        <v>General</v>
      </c>
      <c r="E161" s="23" t="str">
        <f t="shared" si="2"/>
        <v>Lapsed</v>
      </c>
      <c r="F161" s="24">
        <v>1.0</v>
      </c>
      <c r="G161" s="25">
        <v>45515.0</v>
      </c>
      <c r="H161" s="26">
        <f t="shared" si="9"/>
        <v>45657</v>
      </c>
      <c r="I161" s="21"/>
      <c r="J161" s="28"/>
      <c r="K161" s="29"/>
      <c r="L161" s="30"/>
      <c r="M161" s="31"/>
      <c r="N161" s="57"/>
      <c r="O161" s="32"/>
      <c r="P161" s="58"/>
      <c r="Q161" s="22"/>
      <c r="R161" s="85"/>
      <c r="S161" s="22"/>
      <c r="T161" s="22">
        <v>1.0</v>
      </c>
      <c r="U161" s="22"/>
      <c r="V161" s="86"/>
      <c r="W161" s="22"/>
      <c r="X161" s="38"/>
      <c r="Y161" s="36" t="str">
        <f t="shared" si="18"/>
        <v>renew</v>
      </c>
      <c r="Z161" s="21"/>
      <c r="AA161" s="21" t="s">
        <v>27</v>
      </c>
    </row>
    <row r="162">
      <c r="A162" s="84" t="s">
        <v>738</v>
      </c>
      <c r="B162" s="84" t="s">
        <v>812</v>
      </c>
      <c r="C162" s="21">
        <v>1210.0</v>
      </c>
      <c r="D162" s="22" t="str">
        <f t="shared" si="1"/>
        <v>General</v>
      </c>
      <c r="E162" s="23" t="str">
        <f t="shared" si="2"/>
        <v>Lapsed</v>
      </c>
      <c r="F162" s="24">
        <v>1.0</v>
      </c>
      <c r="G162" s="25">
        <v>45515.0</v>
      </c>
      <c r="H162" s="26">
        <f t="shared" si="9"/>
        <v>45657</v>
      </c>
      <c r="I162" s="21"/>
      <c r="J162" s="28" t="s">
        <v>813</v>
      </c>
      <c r="K162" s="29" t="s">
        <v>164</v>
      </c>
      <c r="L162" s="30" t="s">
        <v>35</v>
      </c>
      <c r="M162" s="31" t="s">
        <v>165</v>
      </c>
      <c r="N162" s="57" t="s">
        <v>814</v>
      </c>
      <c r="O162" s="32" t="s">
        <v>815</v>
      </c>
      <c r="P162" s="58"/>
      <c r="Q162" s="22"/>
      <c r="R162" s="85"/>
      <c r="S162" s="22"/>
      <c r="T162" s="22">
        <v>1.0</v>
      </c>
      <c r="U162" s="22"/>
      <c r="V162" s="86"/>
      <c r="W162" s="22"/>
      <c r="X162" s="38"/>
      <c r="Y162" s="36" t="str">
        <f t="shared" si="18"/>
        <v>renew</v>
      </c>
      <c r="Z162" s="21"/>
      <c r="AA162" s="21" t="s">
        <v>27</v>
      </c>
    </row>
    <row r="163">
      <c r="A163" s="84" t="s">
        <v>816</v>
      </c>
      <c r="B163" s="84" t="s">
        <v>817</v>
      </c>
      <c r="C163" s="21">
        <v>1209.0</v>
      </c>
      <c r="D163" s="22" t="str">
        <f t="shared" si="1"/>
        <v>General</v>
      </c>
      <c r="E163" s="23" t="str">
        <f t="shared" si="2"/>
        <v>Lapsed</v>
      </c>
      <c r="F163" s="24">
        <v>1.0</v>
      </c>
      <c r="G163" s="25">
        <v>45515.0</v>
      </c>
      <c r="H163" s="26">
        <f t="shared" si="9"/>
        <v>45657</v>
      </c>
      <c r="I163" s="21"/>
      <c r="J163" s="28" t="s">
        <v>818</v>
      </c>
      <c r="K163" s="29" t="s">
        <v>819</v>
      </c>
      <c r="L163" s="30" t="s">
        <v>35</v>
      </c>
      <c r="M163" s="31" t="s">
        <v>820</v>
      </c>
      <c r="N163" s="57" t="s">
        <v>821</v>
      </c>
      <c r="O163" s="32" t="s">
        <v>822</v>
      </c>
      <c r="P163" s="58"/>
      <c r="Q163" s="22"/>
      <c r="R163" s="85"/>
      <c r="S163" s="22"/>
      <c r="T163" s="22">
        <v>1.0</v>
      </c>
      <c r="U163" s="22"/>
      <c r="V163" s="86"/>
      <c r="W163" s="22"/>
      <c r="X163" s="38"/>
      <c r="Y163" s="36" t="str">
        <f t="shared" si="18"/>
        <v>renew</v>
      </c>
      <c r="Z163" s="21"/>
      <c r="AA163" s="21" t="s">
        <v>27</v>
      </c>
    </row>
    <row r="164">
      <c r="A164" s="84" t="s">
        <v>823</v>
      </c>
      <c r="B164" s="84" t="s">
        <v>824</v>
      </c>
      <c r="C164" s="21">
        <v>1208.0</v>
      </c>
      <c r="D164" s="22" t="str">
        <f t="shared" si="1"/>
        <v>General</v>
      </c>
      <c r="E164" s="23" t="str">
        <f t="shared" si="2"/>
        <v>Lapsed</v>
      </c>
      <c r="F164" s="24">
        <v>1.0</v>
      </c>
      <c r="G164" s="25">
        <v>45515.0</v>
      </c>
      <c r="H164" s="26">
        <f t="shared" si="9"/>
        <v>45657</v>
      </c>
      <c r="I164" s="21"/>
      <c r="J164" s="28" t="s">
        <v>825</v>
      </c>
      <c r="K164" s="29" t="s">
        <v>826</v>
      </c>
      <c r="L164" s="30" t="s">
        <v>57</v>
      </c>
      <c r="M164" s="31" t="s">
        <v>827</v>
      </c>
      <c r="N164" s="57" t="s">
        <v>828</v>
      </c>
      <c r="O164" s="32" t="s">
        <v>829</v>
      </c>
      <c r="P164" s="58"/>
      <c r="Q164" s="22"/>
      <c r="R164" s="85"/>
      <c r="S164" s="22"/>
      <c r="T164" s="22">
        <v>1.0</v>
      </c>
      <c r="U164" s="22"/>
      <c r="V164" s="86"/>
      <c r="W164" s="22"/>
      <c r="X164" s="38"/>
      <c r="Y164" s="36" t="str">
        <f t="shared" si="18"/>
        <v>renew</v>
      </c>
      <c r="Z164" s="21"/>
      <c r="AA164" s="21" t="s">
        <v>27</v>
      </c>
    </row>
    <row r="165">
      <c r="A165" s="84" t="s">
        <v>540</v>
      </c>
      <c r="B165" s="84" t="s">
        <v>830</v>
      </c>
      <c r="C165" s="21">
        <v>1207.0</v>
      </c>
      <c r="D165" s="22" t="str">
        <f t="shared" si="1"/>
        <v>General</v>
      </c>
      <c r="E165" s="23" t="str">
        <f t="shared" si="2"/>
        <v>Lapsed</v>
      </c>
      <c r="F165" s="24">
        <v>1.0</v>
      </c>
      <c r="G165" s="25">
        <v>45515.0</v>
      </c>
      <c r="H165" s="26">
        <f t="shared" si="9"/>
        <v>45657</v>
      </c>
      <c r="I165" s="21"/>
      <c r="J165" s="88" t="s">
        <v>831</v>
      </c>
      <c r="K165" s="29" t="s">
        <v>832</v>
      </c>
      <c r="L165" s="30" t="s">
        <v>35</v>
      </c>
      <c r="M165" s="89" t="s">
        <v>330</v>
      </c>
      <c r="N165" s="90" t="s">
        <v>833</v>
      </c>
      <c r="O165" s="91" t="s">
        <v>834</v>
      </c>
      <c r="P165" s="92"/>
      <c r="Q165" s="22"/>
      <c r="R165" s="85"/>
      <c r="S165" s="22"/>
      <c r="T165" s="22">
        <v>1.0</v>
      </c>
      <c r="U165" s="22"/>
      <c r="V165" s="86"/>
      <c r="W165" s="22"/>
      <c r="X165" s="38"/>
      <c r="Y165" s="36" t="str">
        <f t="shared" si="18"/>
        <v>renew</v>
      </c>
      <c r="Z165" s="21"/>
      <c r="AA165" s="21" t="s">
        <v>27</v>
      </c>
    </row>
    <row r="166">
      <c r="A166" s="84" t="s">
        <v>352</v>
      </c>
      <c r="B166" s="84" t="s">
        <v>835</v>
      </c>
      <c r="C166" s="21">
        <v>1206.0</v>
      </c>
      <c r="D166" s="22" t="str">
        <f t="shared" si="1"/>
        <v>General</v>
      </c>
      <c r="E166" s="23" t="str">
        <f t="shared" si="2"/>
        <v>Lapsed</v>
      </c>
      <c r="F166" s="24">
        <v>1.0</v>
      </c>
      <c r="G166" s="25">
        <v>45515.0</v>
      </c>
      <c r="H166" s="26">
        <f t="shared" si="9"/>
        <v>45657</v>
      </c>
      <c r="I166" s="21"/>
      <c r="J166" s="28" t="s">
        <v>836</v>
      </c>
      <c r="K166" s="29" t="s">
        <v>640</v>
      </c>
      <c r="L166" s="30" t="s">
        <v>35</v>
      </c>
      <c r="M166" s="31" t="s">
        <v>641</v>
      </c>
      <c r="N166" s="57"/>
      <c r="O166" s="32"/>
      <c r="P166" s="58"/>
      <c r="Q166" s="22"/>
      <c r="R166" s="85"/>
      <c r="S166" s="22"/>
      <c r="T166" s="22">
        <v>1.0</v>
      </c>
      <c r="U166" s="22"/>
      <c r="V166" s="86"/>
      <c r="W166" s="22"/>
      <c r="X166" s="38"/>
      <c r="Y166" s="36" t="str">
        <f t="shared" si="18"/>
        <v>renew</v>
      </c>
      <c r="Z166" s="21"/>
      <c r="AA166" s="21" t="s">
        <v>27</v>
      </c>
    </row>
    <row r="167">
      <c r="A167" s="84" t="s">
        <v>837</v>
      </c>
      <c r="B167" s="84" t="s">
        <v>838</v>
      </c>
      <c r="C167" s="21">
        <v>1205.0</v>
      </c>
      <c r="D167" s="22" t="str">
        <f t="shared" si="1"/>
        <v>General</v>
      </c>
      <c r="E167" s="23" t="str">
        <f t="shared" si="2"/>
        <v>Lapsed</v>
      </c>
      <c r="F167" s="24">
        <v>1.0</v>
      </c>
      <c r="G167" s="25">
        <v>45515.0</v>
      </c>
      <c r="H167" s="26">
        <f t="shared" si="9"/>
        <v>45657</v>
      </c>
      <c r="I167" s="21"/>
      <c r="J167" s="28" t="s">
        <v>839</v>
      </c>
      <c r="K167" s="29" t="s">
        <v>42</v>
      </c>
      <c r="L167" s="30" t="s">
        <v>35</v>
      </c>
      <c r="M167" s="31" t="s">
        <v>99</v>
      </c>
      <c r="N167" s="57" t="s">
        <v>840</v>
      </c>
      <c r="O167" s="32" t="s">
        <v>841</v>
      </c>
      <c r="P167" s="58"/>
      <c r="Q167" s="22"/>
      <c r="R167" s="85"/>
      <c r="S167" s="22"/>
      <c r="T167" s="22">
        <v>1.0</v>
      </c>
      <c r="U167" s="22"/>
      <c r="V167" s="86"/>
      <c r="W167" s="22"/>
      <c r="X167" s="38"/>
      <c r="Y167" s="36" t="str">
        <f t="shared" si="18"/>
        <v>renew</v>
      </c>
      <c r="Z167" s="21"/>
      <c r="AA167" s="21" t="s">
        <v>27</v>
      </c>
    </row>
    <row r="168">
      <c r="A168" s="84" t="s">
        <v>842</v>
      </c>
      <c r="B168" s="84" t="s">
        <v>843</v>
      </c>
      <c r="C168" s="21">
        <v>1204.0</v>
      </c>
      <c r="D168" s="22" t="str">
        <f t="shared" si="1"/>
        <v>General</v>
      </c>
      <c r="E168" s="23" t="str">
        <f t="shared" si="2"/>
        <v>Lapsed</v>
      </c>
      <c r="F168" s="24">
        <v>1.0</v>
      </c>
      <c r="G168" s="25">
        <v>45515.0</v>
      </c>
      <c r="H168" s="26">
        <f t="shared" si="9"/>
        <v>45657</v>
      </c>
      <c r="I168" s="21"/>
      <c r="J168" s="28" t="s">
        <v>844</v>
      </c>
      <c r="K168" s="29" t="s">
        <v>845</v>
      </c>
      <c r="L168" s="30" t="s">
        <v>846</v>
      </c>
      <c r="M168" s="31" t="s">
        <v>847</v>
      </c>
      <c r="N168" s="57" t="s">
        <v>848</v>
      </c>
      <c r="O168" s="32" t="s">
        <v>849</v>
      </c>
      <c r="P168" s="58"/>
      <c r="Q168" s="22"/>
      <c r="R168" s="85"/>
      <c r="S168" s="22"/>
      <c r="T168" s="22">
        <v>1.0</v>
      </c>
      <c r="U168" s="22"/>
      <c r="V168" s="86"/>
      <c r="W168" s="22"/>
      <c r="X168" s="38"/>
      <c r="Y168" s="36" t="str">
        <f t="shared" si="18"/>
        <v>renew</v>
      </c>
      <c r="Z168" s="21"/>
      <c r="AA168" s="21" t="s">
        <v>27</v>
      </c>
    </row>
    <row r="169">
      <c r="A169" s="84" t="s">
        <v>850</v>
      </c>
      <c r="B169" s="84" t="s">
        <v>851</v>
      </c>
      <c r="C169" s="21">
        <v>1203.0</v>
      </c>
      <c r="D169" s="22" t="str">
        <f t="shared" si="1"/>
        <v>General</v>
      </c>
      <c r="E169" s="23" t="str">
        <f t="shared" si="2"/>
        <v>Lapsed</v>
      </c>
      <c r="F169" s="24">
        <v>1.0</v>
      </c>
      <c r="G169" s="25">
        <v>45515.0</v>
      </c>
      <c r="H169" s="26">
        <f t="shared" si="9"/>
        <v>45657</v>
      </c>
      <c r="I169" s="21"/>
      <c r="J169" s="28" t="s">
        <v>852</v>
      </c>
      <c r="K169" s="29" t="s">
        <v>853</v>
      </c>
      <c r="L169" s="30" t="s">
        <v>35</v>
      </c>
      <c r="M169" s="31" t="s">
        <v>854</v>
      </c>
      <c r="N169" s="57" t="s">
        <v>855</v>
      </c>
      <c r="O169" s="32"/>
      <c r="P169" s="58"/>
      <c r="Q169" s="22"/>
      <c r="R169" s="85"/>
      <c r="S169" s="22"/>
      <c r="T169" s="22">
        <v>1.0</v>
      </c>
      <c r="U169" s="22"/>
      <c r="V169" s="86"/>
      <c r="W169" s="22"/>
      <c r="X169" s="38"/>
      <c r="Y169" s="36" t="str">
        <f t="shared" si="18"/>
        <v>renew</v>
      </c>
      <c r="Z169" s="21"/>
      <c r="AA169" s="21" t="s">
        <v>27</v>
      </c>
    </row>
    <row r="170">
      <c r="A170" s="84" t="s">
        <v>856</v>
      </c>
      <c r="B170" s="84" t="s">
        <v>857</v>
      </c>
      <c r="C170" s="21">
        <v>1202.0</v>
      </c>
      <c r="D170" s="22" t="str">
        <f t="shared" si="1"/>
        <v>General</v>
      </c>
      <c r="E170" s="23" t="str">
        <f t="shared" si="2"/>
        <v>Lapsed</v>
      </c>
      <c r="F170" s="24">
        <v>1.0</v>
      </c>
      <c r="G170" s="25">
        <v>45515.0</v>
      </c>
      <c r="H170" s="26">
        <f t="shared" si="9"/>
        <v>45657</v>
      </c>
      <c r="I170" s="21"/>
      <c r="J170" s="28" t="s">
        <v>858</v>
      </c>
      <c r="K170" s="29" t="s">
        <v>859</v>
      </c>
      <c r="L170" s="30" t="s">
        <v>35</v>
      </c>
      <c r="M170" s="31" t="s">
        <v>860</v>
      </c>
      <c r="N170" s="57" t="s">
        <v>861</v>
      </c>
      <c r="O170" s="32" t="s">
        <v>862</v>
      </c>
      <c r="P170" s="58">
        <v>39041.0</v>
      </c>
      <c r="Q170" s="22">
        <f>datedif(P170,today(),"Y")</f>
        <v>19</v>
      </c>
      <c r="R170" s="85"/>
      <c r="S170" s="22"/>
      <c r="T170" s="22">
        <v>1.0</v>
      </c>
      <c r="U170" s="22"/>
      <c r="V170" s="86"/>
      <c r="W170" s="22"/>
      <c r="X170" s="38"/>
      <c r="Y170" s="36" t="str">
        <f t="shared" si="18"/>
        <v>renew</v>
      </c>
      <c r="Z170" s="21"/>
      <c r="AA170" s="21" t="s">
        <v>27</v>
      </c>
    </row>
    <row r="171">
      <c r="A171" s="84" t="s">
        <v>863</v>
      </c>
      <c r="B171" s="84" t="s">
        <v>864</v>
      </c>
      <c r="C171" s="21">
        <v>1201.0</v>
      </c>
      <c r="D171" s="22" t="str">
        <f t="shared" si="1"/>
        <v>General</v>
      </c>
      <c r="E171" s="23" t="str">
        <f t="shared" si="2"/>
        <v>Lapsed</v>
      </c>
      <c r="F171" s="24">
        <v>1.0</v>
      </c>
      <c r="G171" s="25">
        <v>45817.0</v>
      </c>
      <c r="H171" s="26">
        <f t="shared" si="9"/>
        <v>46022</v>
      </c>
      <c r="I171" s="21"/>
      <c r="J171" s="28" t="s">
        <v>865</v>
      </c>
      <c r="K171" s="29" t="s">
        <v>866</v>
      </c>
      <c r="L171" s="30" t="s">
        <v>35</v>
      </c>
      <c r="M171" s="31" t="s">
        <v>867</v>
      </c>
      <c r="N171" s="57" t="s">
        <v>727</v>
      </c>
      <c r="O171" s="32" t="s">
        <v>868</v>
      </c>
      <c r="P171" s="58"/>
      <c r="Q171" s="22"/>
      <c r="R171" s="85"/>
      <c r="S171" s="22">
        <v>2.0</v>
      </c>
      <c r="T171" s="22">
        <v>1.0</v>
      </c>
      <c r="U171" s="22"/>
      <c r="V171" s="86"/>
      <c r="W171" s="22"/>
      <c r="X171" s="38"/>
      <c r="Y171" s="36" t="str">
        <f t="shared" si="18"/>
        <v>renew</v>
      </c>
      <c r="Z171" s="21"/>
      <c r="AA171" s="21" t="s">
        <v>27</v>
      </c>
    </row>
    <row r="172">
      <c r="A172" s="84" t="s">
        <v>869</v>
      </c>
      <c r="B172" s="84" t="s">
        <v>870</v>
      </c>
      <c r="C172" s="21">
        <v>1200.0</v>
      </c>
      <c r="D172" s="22" t="str">
        <f t="shared" si="1"/>
        <v>General</v>
      </c>
      <c r="E172" s="23" t="str">
        <f t="shared" si="2"/>
        <v>Lapsed</v>
      </c>
      <c r="F172" s="24">
        <v>1.0</v>
      </c>
      <c r="G172" s="25">
        <v>45771.0</v>
      </c>
      <c r="H172" s="26">
        <f t="shared" si="9"/>
        <v>46022</v>
      </c>
      <c r="I172" s="21"/>
      <c r="J172" s="28" t="s">
        <v>871</v>
      </c>
      <c r="K172" s="29" t="s">
        <v>726</v>
      </c>
      <c r="L172" s="30" t="s">
        <v>35</v>
      </c>
      <c r="M172" s="31" t="s">
        <v>198</v>
      </c>
      <c r="N172" s="57" t="s">
        <v>872</v>
      </c>
      <c r="O172" s="32">
        <v>9.707690157E9</v>
      </c>
      <c r="P172" s="58"/>
      <c r="Q172" s="22"/>
      <c r="R172" s="85"/>
      <c r="S172" s="22">
        <v>1.0</v>
      </c>
      <c r="T172" s="22">
        <v>1.0</v>
      </c>
      <c r="U172" s="22"/>
      <c r="V172" s="86"/>
      <c r="W172" s="22"/>
      <c r="X172" s="38"/>
      <c r="Y172" s="36" t="str">
        <f t="shared" si="18"/>
        <v>renew</v>
      </c>
      <c r="Z172" s="21" t="s">
        <v>27</v>
      </c>
      <c r="AA172" s="21" t="s">
        <v>27</v>
      </c>
    </row>
    <row r="173">
      <c r="A173" s="84" t="s">
        <v>560</v>
      </c>
      <c r="B173" s="84" t="s">
        <v>303</v>
      </c>
      <c r="C173" s="21">
        <v>1198.0</v>
      </c>
      <c r="D173" s="22" t="str">
        <f t="shared" si="1"/>
        <v>General</v>
      </c>
      <c r="E173" s="23" t="str">
        <f t="shared" si="2"/>
        <v>Lapsed</v>
      </c>
      <c r="F173" s="24">
        <v>1.0</v>
      </c>
      <c r="G173" s="25">
        <v>45474.0</v>
      </c>
      <c r="H173" s="26">
        <f t="shared" si="9"/>
        <v>45657</v>
      </c>
      <c r="I173" s="21"/>
      <c r="J173" s="28"/>
      <c r="K173" s="29"/>
      <c r="L173" s="30"/>
      <c r="M173" s="31"/>
      <c r="N173" s="57"/>
      <c r="O173" s="32"/>
      <c r="P173" s="58"/>
      <c r="Q173" s="22"/>
      <c r="R173" s="85"/>
      <c r="S173" s="22"/>
      <c r="T173" s="22">
        <v>1.0</v>
      </c>
      <c r="U173" s="22"/>
      <c r="V173" s="86"/>
      <c r="W173" s="22"/>
      <c r="X173" s="38"/>
      <c r="Y173" s="36" t="str">
        <f t="shared" si="18"/>
        <v>renew</v>
      </c>
      <c r="Z173" s="21"/>
      <c r="AA173" s="21" t="s">
        <v>27</v>
      </c>
    </row>
    <row r="174">
      <c r="A174" s="84" t="s">
        <v>873</v>
      </c>
      <c r="B174" s="84" t="s">
        <v>874</v>
      </c>
      <c r="C174" s="21">
        <v>1197.0</v>
      </c>
      <c r="D174" s="22" t="str">
        <f t="shared" si="1"/>
        <v>General</v>
      </c>
      <c r="E174" s="23" t="str">
        <f t="shared" si="2"/>
        <v>Lapsed</v>
      </c>
      <c r="F174" s="24">
        <v>1.0</v>
      </c>
      <c r="G174" s="25">
        <v>45771.0</v>
      </c>
      <c r="H174" s="26">
        <f t="shared" si="9"/>
        <v>46022</v>
      </c>
      <c r="I174" s="21"/>
      <c r="J174" s="93" t="s">
        <v>875</v>
      </c>
      <c r="K174" s="29" t="s">
        <v>42</v>
      </c>
      <c r="L174" s="29" t="s">
        <v>35</v>
      </c>
      <c r="M174" s="94" t="s">
        <v>239</v>
      </c>
      <c r="N174" s="95" t="s">
        <v>876</v>
      </c>
      <c r="O174" s="91" t="s">
        <v>877</v>
      </c>
      <c r="P174" s="58"/>
      <c r="Q174" s="22"/>
      <c r="R174" s="85"/>
      <c r="S174" s="22">
        <v>1.0</v>
      </c>
      <c r="T174" s="22">
        <v>1.0</v>
      </c>
      <c r="U174" s="22"/>
      <c r="V174" s="86"/>
      <c r="W174" s="22"/>
      <c r="X174" s="38"/>
      <c r="Y174" s="36" t="str">
        <f t="shared" si="18"/>
        <v>renew</v>
      </c>
      <c r="Z174" s="21" t="s">
        <v>27</v>
      </c>
      <c r="AA174" s="21" t="s">
        <v>27</v>
      </c>
    </row>
    <row r="175">
      <c r="A175" s="84" t="s">
        <v>878</v>
      </c>
      <c r="B175" s="84" t="s">
        <v>879</v>
      </c>
      <c r="C175" s="21">
        <v>1196.0</v>
      </c>
      <c r="D175" s="22" t="str">
        <f t="shared" si="1"/>
        <v>General</v>
      </c>
      <c r="E175" s="23" t="str">
        <f t="shared" si="2"/>
        <v>Lapsed</v>
      </c>
      <c r="F175" s="24">
        <v>1.0</v>
      </c>
      <c r="G175" s="25">
        <v>45849.0</v>
      </c>
      <c r="H175" s="26">
        <f t="shared" si="9"/>
        <v>46022</v>
      </c>
      <c r="I175" s="21"/>
      <c r="J175" s="28"/>
      <c r="K175" s="29"/>
      <c r="L175" s="30"/>
      <c r="M175" s="31"/>
      <c r="N175" s="57"/>
      <c r="O175" s="32"/>
      <c r="P175" s="58"/>
      <c r="Q175" s="22"/>
      <c r="R175" s="85"/>
      <c r="S175" s="22">
        <v>4.0</v>
      </c>
      <c r="T175" s="22">
        <v>1.0</v>
      </c>
      <c r="U175" s="22"/>
      <c r="V175" s="86"/>
      <c r="W175" s="22"/>
      <c r="X175" s="38"/>
      <c r="Y175" s="36" t="str">
        <f t="shared" si="18"/>
        <v>renew</v>
      </c>
      <c r="Z175" s="21" t="s">
        <v>27</v>
      </c>
      <c r="AA175" s="21" t="s">
        <v>27</v>
      </c>
    </row>
    <row r="176">
      <c r="A176" s="84" t="s">
        <v>880</v>
      </c>
      <c r="B176" s="84" t="s">
        <v>881</v>
      </c>
      <c r="C176" s="21">
        <v>1195.0</v>
      </c>
      <c r="D176" s="22" t="str">
        <f t="shared" si="1"/>
        <v>General</v>
      </c>
      <c r="E176" s="23" t="str">
        <f t="shared" si="2"/>
        <v>Lapsed</v>
      </c>
      <c r="F176" s="24">
        <v>1.0</v>
      </c>
      <c r="G176" s="25">
        <v>45849.0</v>
      </c>
      <c r="H176" s="26">
        <f t="shared" si="9"/>
        <v>46022</v>
      </c>
      <c r="I176" s="21"/>
      <c r="J176" s="28"/>
      <c r="K176" s="29"/>
      <c r="L176" s="30"/>
      <c r="M176" s="31"/>
      <c r="N176" s="57" t="s">
        <v>235</v>
      </c>
      <c r="O176" s="32"/>
      <c r="P176" s="58"/>
      <c r="Q176" s="22"/>
      <c r="R176" s="85"/>
      <c r="S176" s="22">
        <v>4.0</v>
      </c>
      <c r="T176" s="22">
        <v>1.0</v>
      </c>
      <c r="U176" s="22"/>
      <c r="V176" s="86"/>
      <c r="W176" s="22"/>
      <c r="X176" s="38"/>
      <c r="Y176" s="36" t="str">
        <f t="shared" si="18"/>
        <v>renew</v>
      </c>
      <c r="Z176" s="21" t="s">
        <v>27</v>
      </c>
      <c r="AA176" s="21" t="s">
        <v>27</v>
      </c>
    </row>
    <row r="177">
      <c r="A177" s="84" t="s">
        <v>882</v>
      </c>
      <c r="B177" s="84" t="s">
        <v>881</v>
      </c>
      <c r="C177" s="21">
        <v>1194.0</v>
      </c>
      <c r="D177" s="22" t="str">
        <f t="shared" si="1"/>
        <v>General</v>
      </c>
      <c r="E177" s="23" t="str">
        <f t="shared" si="2"/>
        <v>Lapsed</v>
      </c>
      <c r="F177" s="24">
        <v>1.0</v>
      </c>
      <c r="G177" s="25">
        <v>45849.0</v>
      </c>
      <c r="H177" s="26">
        <f t="shared" si="9"/>
        <v>46022</v>
      </c>
      <c r="I177" s="21"/>
      <c r="J177" s="28"/>
      <c r="K177" s="29"/>
      <c r="L177" s="30"/>
      <c r="M177" s="31"/>
      <c r="N177" s="57" t="s">
        <v>235</v>
      </c>
      <c r="O177" s="32"/>
      <c r="P177" s="58"/>
      <c r="Q177" s="22"/>
      <c r="R177" s="85"/>
      <c r="S177" s="22">
        <v>4.0</v>
      </c>
      <c r="T177" s="22">
        <v>1.0</v>
      </c>
      <c r="U177" s="22"/>
      <c r="V177" s="86"/>
      <c r="W177" s="22"/>
      <c r="X177" s="38"/>
      <c r="Y177" s="36" t="str">
        <f t="shared" si="18"/>
        <v>renew</v>
      </c>
      <c r="Z177" s="21" t="s">
        <v>27</v>
      </c>
      <c r="AA177" s="21" t="s">
        <v>27</v>
      </c>
    </row>
    <row r="178">
      <c r="A178" s="84" t="s">
        <v>883</v>
      </c>
      <c r="B178" s="84" t="s">
        <v>884</v>
      </c>
      <c r="C178" s="21">
        <v>1193.0</v>
      </c>
      <c r="D178" s="22" t="str">
        <f t="shared" si="1"/>
        <v>General</v>
      </c>
      <c r="E178" s="23" t="str">
        <f t="shared" si="2"/>
        <v>Lapsed</v>
      </c>
      <c r="F178" s="24">
        <v>1.0</v>
      </c>
      <c r="G178" s="25">
        <v>45817.0</v>
      </c>
      <c r="H178" s="26">
        <f t="shared" si="9"/>
        <v>46022</v>
      </c>
      <c r="I178" s="21"/>
      <c r="J178" s="28"/>
      <c r="K178" s="29"/>
      <c r="L178" s="30"/>
      <c r="M178" s="31"/>
      <c r="N178" s="95" t="s">
        <v>885</v>
      </c>
      <c r="O178" s="32"/>
      <c r="P178" s="58"/>
      <c r="Q178" s="22"/>
      <c r="R178" s="85"/>
      <c r="S178" s="22">
        <v>2.0</v>
      </c>
      <c r="T178" s="22">
        <v>1.0</v>
      </c>
      <c r="U178" s="22"/>
      <c r="V178" s="86"/>
      <c r="W178" s="22"/>
      <c r="X178" s="38"/>
      <c r="Y178" s="36" t="str">
        <f t="shared" si="18"/>
        <v>renew</v>
      </c>
      <c r="Z178" s="21"/>
      <c r="AA178" s="21" t="s">
        <v>27</v>
      </c>
    </row>
    <row r="179">
      <c r="A179" s="84" t="s">
        <v>886</v>
      </c>
      <c r="B179" s="84" t="s">
        <v>887</v>
      </c>
      <c r="C179" s="21">
        <v>1192.0</v>
      </c>
      <c r="D179" s="22" t="str">
        <f t="shared" si="1"/>
        <v>General</v>
      </c>
      <c r="E179" s="23" t="str">
        <f t="shared" si="2"/>
        <v>Lapsed</v>
      </c>
      <c r="F179" s="24">
        <v>1.0</v>
      </c>
      <c r="G179" s="25">
        <v>45480.0</v>
      </c>
      <c r="H179" s="26">
        <f t="shared" si="9"/>
        <v>45657</v>
      </c>
      <c r="I179" s="21"/>
      <c r="J179" s="28"/>
      <c r="K179" s="29"/>
      <c r="L179" s="30"/>
      <c r="M179" s="31"/>
      <c r="N179" s="57"/>
      <c r="O179" s="32"/>
      <c r="P179" s="58"/>
      <c r="Q179" s="22"/>
      <c r="R179" s="85"/>
      <c r="S179" s="22"/>
      <c r="T179" s="22">
        <v>1.0</v>
      </c>
      <c r="U179" s="22"/>
      <c r="V179" s="86"/>
      <c r="W179" s="22"/>
      <c r="X179" s="38"/>
      <c r="Y179" s="36" t="str">
        <f t="shared" si="18"/>
        <v>renew</v>
      </c>
      <c r="Z179" s="21"/>
      <c r="AA179" s="21" t="s">
        <v>27</v>
      </c>
    </row>
    <row r="180">
      <c r="A180" s="84" t="s">
        <v>888</v>
      </c>
      <c r="B180" s="84" t="s">
        <v>889</v>
      </c>
      <c r="C180" s="21">
        <v>1191.0</v>
      </c>
      <c r="D180" s="22" t="str">
        <f t="shared" si="1"/>
        <v>General</v>
      </c>
      <c r="E180" s="23" t="str">
        <f t="shared" si="2"/>
        <v>Lapsed</v>
      </c>
      <c r="F180" s="24">
        <v>1.0</v>
      </c>
      <c r="G180" s="25">
        <v>45423.0</v>
      </c>
      <c r="H180" s="26">
        <f t="shared" si="9"/>
        <v>45657</v>
      </c>
      <c r="I180" s="21"/>
      <c r="J180" s="28" t="s">
        <v>890</v>
      </c>
      <c r="K180" s="29" t="s">
        <v>891</v>
      </c>
      <c r="L180" s="42" t="s">
        <v>892</v>
      </c>
      <c r="M180" s="31" t="s">
        <v>893</v>
      </c>
      <c r="N180" s="57" t="s">
        <v>894</v>
      </c>
      <c r="O180" s="32" t="s">
        <v>895</v>
      </c>
      <c r="P180" s="58"/>
      <c r="Q180" s="22"/>
      <c r="R180" s="56" t="s">
        <v>896</v>
      </c>
      <c r="S180" s="22"/>
      <c r="T180" s="22">
        <v>1.0</v>
      </c>
      <c r="U180" s="22"/>
      <c r="V180" s="86"/>
      <c r="W180" s="22"/>
      <c r="X180" s="38"/>
      <c r="Y180" s="36" t="str">
        <f t="shared" si="18"/>
        <v>renew</v>
      </c>
      <c r="Z180" s="21"/>
      <c r="AA180" s="21" t="s">
        <v>27</v>
      </c>
    </row>
    <row r="181">
      <c r="A181" s="84" t="s">
        <v>423</v>
      </c>
      <c r="B181" s="84" t="s">
        <v>660</v>
      </c>
      <c r="C181" s="21">
        <v>1190.0</v>
      </c>
      <c r="D181" s="22" t="str">
        <f t="shared" si="1"/>
        <v>General</v>
      </c>
      <c r="E181" s="23" t="str">
        <f t="shared" si="2"/>
        <v>Lapsed</v>
      </c>
      <c r="F181" s="24">
        <v>1.0</v>
      </c>
      <c r="G181" s="25">
        <v>45508.0</v>
      </c>
      <c r="H181" s="26">
        <f t="shared" si="9"/>
        <v>45657</v>
      </c>
      <c r="I181" s="21"/>
      <c r="J181" s="28" t="s">
        <v>897</v>
      </c>
      <c r="K181" s="29" t="s">
        <v>898</v>
      </c>
      <c r="L181" s="30" t="s">
        <v>35</v>
      </c>
      <c r="M181" s="31" t="s">
        <v>899</v>
      </c>
      <c r="N181" s="57" t="s">
        <v>900</v>
      </c>
      <c r="O181" s="32">
        <v>9.702224344E9</v>
      </c>
      <c r="P181" s="58"/>
      <c r="Q181" s="22"/>
      <c r="R181" s="85"/>
      <c r="S181" s="22"/>
      <c r="T181" s="22">
        <v>1.0</v>
      </c>
      <c r="U181" s="22"/>
      <c r="V181" s="86"/>
      <c r="W181" s="22"/>
      <c r="X181" s="38"/>
      <c r="Y181" s="36" t="str">
        <f t="shared" si="18"/>
        <v>renew</v>
      </c>
      <c r="Z181" s="21"/>
      <c r="AA181" s="21" t="s">
        <v>27</v>
      </c>
    </row>
    <row r="182">
      <c r="A182" s="84" t="s">
        <v>901</v>
      </c>
      <c r="B182" s="84" t="s">
        <v>902</v>
      </c>
      <c r="C182" s="21">
        <v>1189.0</v>
      </c>
      <c r="D182" s="22" t="str">
        <f t="shared" si="1"/>
        <v>General</v>
      </c>
      <c r="E182" s="23" t="str">
        <f t="shared" si="2"/>
        <v>Lapsed</v>
      </c>
      <c r="F182" s="24">
        <v>1.0</v>
      </c>
      <c r="G182" s="25">
        <v>45508.0</v>
      </c>
      <c r="H182" s="26">
        <f t="shared" si="9"/>
        <v>45657</v>
      </c>
      <c r="I182" s="21"/>
      <c r="J182" s="28" t="s">
        <v>903</v>
      </c>
      <c r="K182" s="29" t="s">
        <v>859</v>
      </c>
      <c r="L182" s="30" t="s">
        <v>35</v>
      </c>
      <c r="M182" s="31" t="s">
        <v>860</v>
      </c>
      <c r="N182" s="57" t="s">
        <v>904</v>
      </c>
      <c r="O182" s="32">
        <v>9.702916591E9</v>
      </c>
      <c r="P182" s="58"/>
      <c r="Q182" s="22"/>
      <c r="R182" s="85"/>
      <c r="S182" s="22"/>
      <c r="T182" s="22">
        <v>1.0</v>
      </c>
      <c r="U182" s="22"/>
      <c r="V182" s="86"/>
      <c r="W182" s="22"/>
      <c r="X182" s="38"/>
      <c r="Y182" s="36" t="str">
        <f t="shared" si="18"/>
        <v>renew</v>
      </c>
      <c r="Z182" s="21"/>
      <c r="AA182" s="21" t="s">
        <v>27</v>
      </c>
    </row>
    <row r="183">
      <c r="A183" s="84" t="s">
        <v>905</v>
      </c>
      <c r="B183" s="84" t="s">
        <v>902</v>
      </c>
      <c r="C183" s="21">
        <v>1188.0</v>
      </c>
      <c r="D183" s="22" t="str">
        <f t="shared" si="1"/>
        <v>Youth</v>
      </c>
      <c r="E183" s="23" t="str">
        <f t="shared" si="2"/>
        <v>Lapsed</v>
      </c>
      <c r="F183" s="24">
        <v>1.0</v>
      </c>
      <c r="G183" s="25">
        <v>45508.0</v>
      </c>
      <c r="H183" s="26">
        <f t="shared" si="9"/>
        <v>45657</v>
      </c>
      <c r="I183" s="21"/>
      <c r="J183" s="28" t="s">
        <v>906</v>
      </c>
      <c r="K183" s="29" t="s">
        <v>859</v>
      </c>
      <c r="L183" s="30" t="s">
        <v>35</v>
      </c>
      <c r="M183" s="31" t="s">
        <v>860</v>
      </c>
      <c r="N183" s="57" t="s">
        <v>907</v>
      </c>
      <c r="O183" s="32">
        <v>9.702916591E9</v>
      </c>
      <c r="P183" s="58">
        <v>39535.0</v>
      </c>
      <c r="Q183" s="22">
        <f>datedif(P183,today(),"Y")</f>
        <v>18</v>
      </c>
      <c r="R183" s="85"/>
      <c r="S183" s="22"/>
      <c r="T183" s="22">
        <v>1.0</v>
      </c>
      <c r="U183" s="22"/>
      <c r="V183" s="86"/>
      <c r="W183" s="22"/>
      <c r="X183" s="38"/>
      <c r="Y183" s="36" t="str">
        <f t="shared" si="18"/>
        <v>renew</v>
      </c>
      <c r="Z183" s="27"/>
      <c r="AA183" s="27" t="s">
        <v>27</v>
      </c>
    </row>
    <row r="184">
      <c r="A184" s="84" t="s">
        <v>908</v>
      </c>
      <c r="B184" s="84" t="s">
        <v>909</v>
      </c>
      <c r="C184" s="21">
        <v>1187.0</v>
      </c>
      <c r="D184" s="22" t="str">
        <f t="shared" si="1"/>
        <v>General</v>
      </c>
      <c r="E184" s="23" t="str">
        <f t="shared" si="2"/>
        <v>Lapsed</v>
      </c>
      <c r="F184" s="24">
        <v>1.0</v>
      </c>
      <c r="G184" s="25">
        <v>45449.0</v>
      </c>
      <c r="H184" s="26">
        <f t="shared" si="9"/>
        <v>45657</v>
      </c>
      <c r="I184" s="21"/>
      <c r="J184" s="28" t="s">
        <v>910</v>
      </c>
      <c r="K184" s="29" t="s">
        <v>911</v>
      </c>
      <c r="L184" s="30" t="s">
        <v>35</v>
      </c>
      <c r="M184" s="31" t="s">
        <v>912</v>
      </c>
      <c r="N184" s="57" t="s">
        <v>913</v>
      </c>
      <c r="O184" s="32"/>
      <c r="P184" s="58"/>
      <c r="Q184" s="22"/>
      <c r="R184" s="85"/>
      <c r="S184" s="22"/>
      <c r="T184" s="22">
        <v>1.0</v>
      </c>
      <c r="U184" s="22"/>
      <c r="V184" s="86"/>
      <c r="W184" s="22"/>
      <c r="X184" s="38"/>
      <c r="Y184" s="36" t="str">
        <f t="shared" si="18"/>
        <v>renew</v>
      </c>
      <c r="Z184" s="27"/>
      <c r="AA184" s="27" t="s">
        <v>27</v>
      </c>
    </row>
    <row r="185">
      <c r="A185" s="84" t="s">
        <v>86</v>
      </c>
      <c r="B185" s="84" t="s">
        <v>914</v>
      </c>
      <c r="C185" s="21">
        <v>1186.0</v>
      </c>
      <c r="D185" s="22" t="str">
        <f t="shared" si="1"/>
        <v>General</v>
      </c>
      <c r="E185" s="23" t="str">
        <f t="shared" si="2"/>
        <v>Lapsed</v>
      </c>
      <c r="F185" s="24">
        <v>1.0</v>
      </c>
      <c r="G185" s="25">
        <v>45480.0</v>
      </c>
      <c r="H185" s="26">
        <f t="shared" si="9"/>
        <v>45657</v>
      </c>
      <c r="I185" s="21"/>
      <c r="J185" s="28" t="s">
        <v>915</v>
      </c>
      <c r="K185" s="29" t="s">
        <v>916</v>
      </c>
      <c r="L185" s="30" t="s">
        <v>244</v>
      </c>
      <c r="M185" s="31" t="s">
        <v>917</v>
      </c>
      <c r="N185" s="57" t="s">
        <v>918</v>
      </c>
      <c r="O185" s="32">
        <v>9.705717792E9</v>
      </c>
      <c r="P185" s="58"/>
      <c r="Q185" s="22"/>
      <c r="R185" s="85"/>
      <c r="S185" s="22"/>
      <c r="T185" s="22">
        <v>1.0</v>
      </c>
      <c r="U185" s="22"/>
      <c r="V185" s="86"/>
      <c r="W185" s="22"/>
      <c r="X185" s="38"/>
      <c r="Y185" s="36" t="str">
        <f t="shared" si="18"/>
        <v>renew</v>
      </c>
      <c r="Z185" s="27"/>
      <c r="AA185" s="27" t="s">
        <v>27</v>
      </c>
    </row>
    <row r="186">
      <c r="A186" s="84" t="s">
        <v>39</v>
      </c>
      <c r="B186" s="84" t="s">
        <v>364</v>
      </c>
      <c r="C186" s="21">
        <v>1185.0</v>
      </c>
      <c r="D186" s="22" t="str">
        <f t="shared" si="1"/>
        <v>General</v>
      </c>
      <c r="E186" s="23" t="str">
        <f t="shared" si="2"/>
        <v>Lapsed</v>
      </c>
      <c r="F186" s="24">
        <v>1.0</v>
      </c>
      <c r="G186" s="25">
        <v>45817.0</v>
      </c>
      <c r="H186" s="26">
        <f t="shared" si="9"/>
        <v>46022</v>
      </c>
      <c r="I186" s="21"/>
      <c r="J186" s="28" t="s">
        <v>365</v>
      </c>
      <c r="K186" s="29" t="s">
        <v>56</v>
      </c>
      <c r="L186" s="30" t="s">
        <v>57</v>
      </c>
      <c r="M186" s="31" t="s">
        <v>63</v>
      </c>
      <c r="N186" s="57" t="s">
        <v>919</v>
      </c>
      <c r="O186" s="32" t="s">
        <v>366</v>
      </c>
      <c r="P186" s="58"/>
      <c r="Q186" s="22"/>
      <c r="R186" s="85"/>
      <c r="S186" s="22">
        <v>2.0</v>
      </c>
      <c r="T186" s="22">
        <v>1.0</v>
      </c>
      <c r="U186" s="22"/>
      <c r="V186" s="86"/>
      <c r="W186" s="22"/>
      <c r="X186" s="38"/>
      <c r="Y186" s="36" t="str">
        <f t="shared" si="18"/>
        <v>renew</v>
      </c>
      <c r="Z186" s="21"/>
      <c r="AA186" s="21" t="s">
        <v>27</v>
      </c>
    </row>
    <row r="187">
      <c r="A187" s="84" t="s">
        <v>920</v>
      </c>
      <c r="B187" s="84" t="s">
        <v>902</v>
      </c>
      <c r="C187" s="21">
        <v>1184.0</v>
      </c>
      <c r="D187" s="22" t="str">
        <f t="shared" si="1"/>
        <v>General</v>
      </c>
      <c r="E187" s="23" t="str">
        <f t="shared" si="2"/>
        <v>Lapsed</v>
      </c>
      <c r="F187" s="24">
        <v>1.0</v>
      </c>
      <c r="G187" s="25">
        <v>45500.0</v>
      </c>
      <c r="H187" s="26">
        <f t="shared" si="9"/>
        <v>45657</v>
      </c>
      <c r="I187" s="21"/>
      <c r="J187" s="28" t="s">
        <v>903</v>
      </c>
      <c r="K187" s="29" t="s">
        <v>859</v>
      </c>
      <c r="L187" s="30" t="s">
        <v>35</v>
      </c>
      <c r="M187" s="31" t="s">
        <v>860</v>
      </c>
      <c r="N187" s="57" t="s">
        <v>921</v>
      </c>
      <c r="O187" s="32">
        <v>7.195800136E9</v>
      </c>
      <c r="P187" s="58"/>
      <c r="Q187" s="22"/>
      <c r="R187" s="85"/>
      <c r="S187" s="22"/>
      <c r="T187" s="22">
        <v>1.0</v>
      </c>
      <c r="U187" s="22"/>
      <c r="V187" s="86"/>
      <c r="W187" s="22"/>
      <c r="X187" s="38"/>
      <c r="Y187" s="36" t="str">
        <f t="shared" si="18"/>
        <v>renew</v>
      </c>
      <c r="Z187" s="21"/>
      <c r="AA187" s="21" t="s">
        <v>27</v>
      </c>
    </row>
    <row r="188">
      <c r="A188" s="84" t="s">
        <v>922</v>
      </c>
      <c r="B188" s="84" t="s">
        <v>923</v>
      </c>
      <c r="C188" s="21">
        <v>1183.0</v>
      </c>
      <c r="D188" s="22" t="str">
        <f t="shared" si="1"/>
        <v>General</v>
      </c>
      <c r="E188" s="23" t="str">
        <f t="shared" si="2"/>
        <v>Active</v>
      </c>
      <c r="F188" s="24">
        <v>3.0</v>
      </c>
      <c r="G188" s="25">
        <v>45878.0</v>
      </c>
      <c r="H188" s="26">
        <f t="shared" si="9"/>
        <v>46752</v>
      </c>
      <c r="I188" s="21" t="s">
        <v>27</v>
      </c>
      <c r="J188" s="28" t="s">
        <v>924</v>
      </c>
      <c r="K188" s="29" t="s">
        <v>925</v>
      </c>
      <c r="L188" s="30" t="s">
        <v>35</v>
      </c>
      <c r="M188" s="31" t="s">
        <v>926</v>
      </c>
      <c r="N188" s="57" t="s">
        <v>927</v>
      </c>
      <c r="O188" s="32" t="s">
        <v>928</v>
      </c>
      <c r="P188" s="58"/>
      <c r="Q188" s="22"/>
      <c r="R188" s="85"/>
      <c r="S188" s="22">
        <v>1.0</v>
      </c>
      <c r="T188" s="22">
        <v>1.0</v>
      </c>
      <c r="U188" s="22"/>
      <c r="V188" s="86"/>
      <c r="W188" s="22"/>
      <c r="X188" s="38"/>
      <c r="Y188" s="36" t="s">
        <v>45</v>
      </c>
      <c r="Z188" s="21" t="s">
        <v>27</v>
      </c>
      <c r="AA188" s="21" t="s">
        <v>27</v>
      </c>
    </row>
    <row r="189">
      <c r="A189" s="84" t="s">
        <v>929</v>
      </c>
      <c r="B189" s="84" t="s">
        <v>930</v>
      </c>
      <c r="C189" s="21">
        <v>1182.0</v>
      </c>
      <c r="D189" s="22" t="str">
        <f t="shared" si="1"/>
        <v>Youth</v>
      </c>
      <c r="E189" s="23" t="str">
        <f t="shared" si="2"/>
        <v>Lapsed</v>
      </c>
      <c r="F189" s="24">
        <v>1.0</v>
      </c>
      <c r="G189" s="25">
        <v>45817.0</v>
      </c>
      <c r="H189" s="26">
        <f t="shared" si="9"/>
        <v>46022</v>
      </c>
      <c r="I189" s="21"/>
      <c r="J189" s="28" t="s">
        <v>931</v>
      </c>
      <c r="K189" s="29" t="s">
        <v>56</v>
      </c>
      <c r="L189" s="30" t="s">
        <v>57</v>
      </c>
      <c r="M189" s="31" t="s">
        <v>63</v>
      </c>
      <c r="N189" s="57" t="s">
        <v>932</v>
      </c>
      <c r="O189" s="32">
        <v>3.075787921E9</v>
      </c>
      <c r="P189" s="96">
        <v>40424.0</v>
      </c>
      <c r="Q189" s="22">
        <f>datedif(P189,today(),"Y")</f>
        <v>15</v>
      </c>
      <c r="R189" s="85"/>
      <c r="S189" s="22">
        <v>2.0</v>
      </c>
      <c r="T189" s="22">
        <v>1.0</v>
      </c>
      <c r="U189" s="22"/>
      <c r="V189" s="86"/>
      <c r="W189" s="22"/>
      <c r="X189" s="38"/>
      <c r="Y189" s="36" t="str">
        <f t="shared" ref="Y189:Y218" si="19">if(E189="Active","send","renew")</f>
        <v>renew</v>
      </c>
      <c r="Z189" s="21" t="s">
        <v>27</v>
      </c>
      <c r="AA189" s="21" t="s">
        <v>27</v>
      </c>
    </row>
    <row r="190">
      <c r="A190" s="84" t="s">
        <v>933</v>
      </c>
      <c r="B190" s="84" t="s">
        <v>934</v>
      </c>
      <c r="C190" s="21">
        <v>1181.0</v>
      </c>
      <c r="D190" s="22" t="str">
        <f t="shared" si="1"/>
        <v>General</v>
      </c>
      <c r="E190" s="23" t="str">
        <f t="shared" si="2"/>
        <v>Lapsed</v>
      </c>
      <c r="F190" s="24">
        <v>1.0</v>
      </c>
      <c r="G190" s="25">
        <v>45849.0</v>
      </c>
      <c r="H190" s="26">
        <f t="shared" si="9"/>
        <v>46022</v>
      </c>
      <c r="I190" s="21"/>
      <c r="J190" s="88" t="s">
        <v>81</v>
      </c>
      <c r="K190" s="88" t="s">
        <v>82</v>
      </c>
      <c r="L190" s="97" t="s">
        <v>57</v>
      </c>
      <c r="M190" s="98" t="s">
        <v>83</v>
      </c>
      <c r="N190" s="95" t="s">
        <v>84</v>
      </c>
      <c r="O190" s="91" t="s">
        <v>935</v>
      </c>
      <c r="P190" s="58"/>
      <c r="Q190" s="22"/>
      <c r="R190" s="85"/>
      <c r="S190" s="22">
        <v>4.0</v>
      </c>
      <c r="T190" s="22">
        <v>1.0</v>
      </c>
      <c r="U190" s="22"/>
      <c r="V190" s="86"/>
      <c r="W190" s="22"/>
      <c r="X190" s="38"/>
      <c r="Y190" s="36" t="str">
        <f t="shared" si="19"/>
        <v>renew</v>
      </c>
      <c r="Z190" s="21" t="s">
        <v>27</v>
      </c>
      <c r="AA190" s="21" t="s">
        <v>27</v>
      </c>
    </row>
    <row r="191">
      <c r="A191" s="84" t="s">
        <v>936</v>
      </c>
      <c r="B191" s="84" t="s">
        <v>937</v>
      </c>
      <c r="C191" s="21">
        <v>1180.0</v>
      </c>
      <c r="D191" s="22" t="str">
        <f t="shared" si="1"/>
        <v>General</v>
      </c>
      <c r="E191" s="23" t="str">
        <f t="shared" si="2"/>
        <v>Lapsed</v>
      </c>
      <c r="F191" s="24">
        <v>1.0</v>
      </c>
      <c r="G191" s="25">
        <v>45878.0</v>
      </c>
      <c r="H191" s="26">
        <f t="shared" si="9"/>
        <v>46022</v>
      </c>
      <c r="I191" s="21"/>
      <c r="J191" s="88" t="s">
        <v>938</v>
      </c>
      <c r="K191" s="88" t="s">
        <v>939</v>
      </c>
      <c r="L191" s="30" t="s">
        <v>35</v>
      </c>
      <c r="M191" s="98" t="s">
        <v>940</v>
      </c>
      <c r="N191" s="95" t="s">
        <v>941</v>
      </c>
      <c r="O191" s="91" t="s">
        <v>942</v>
      </c>
      <c r="P191" s="58"/>
      <c r="Q191" s="22"/>
      <c r="R191" s="56">
        <v>2024.0</v>
      </c>
      <c r="S191" s="22">
        <v>4.0</v>
      </c>
      <c r="T191" s="22">
        <v>1.0</v>
      </c>
      <c r="U191" s="22"/>
      <c r="V191" s="86"/>
      <c r="W191" s="22"/>
      <c r="X191" s="38"/>
      <c r="Y191" s="36" t="str">
        <f t="shared" si="19"/>
        <v>renew</v>
      </c>
      <c r="Z191" s="21"/>
      <c r="AA191" s="21" t="s">
        <v>27</v>
      </c>
    </row>
    <row r="192">
      <c r="A192" s="84" t="s">
        <v>943</v>
      </c>
      <c r="B192" s="84" t="s">
        <v>473</v>
      </c>
      <c r="C192" s="21">
        <v>1179.0</v>
      </c>
      <c r="D192" s="22" t="str">
        <f t="shared" si="1"/>
        <v>General</v>
      </c>
      <c r="E192" s="23" t="str">
        <f t="shared" si="2"/>
        <v>Lapsed</v>
      </c>
      <c r="F192" s="24">
        <v>1.0</v>
      </c>
      <c r="G192" s="25">
        <v>45435.0</v>
      </c>
      <c r="H192" s="26">
        <f t="shared" si="9"/>
        <v>45657</v>
      </c>
      <c r="I192" s="21"/>
      <c r="J192" s="88" t="s">
        <v>944</v>
      </c>
      <c r="K192" s="88" t="s">
        <v>945</v>
      </c>
      <c r="L192" s="30" t="s">
        <v>35</v>
      </c>
      <c r="M192" s="98" t="s">
        <v>239</v>
      </c>
      <c r="N192" s="95" t="s">
        <v>946</v>
      </c>
      <c r="O192" s="91" t="s">
        <v>947</v>
      </c>
      <c r="P192" s="58"/>
      <c r="Q192" s="22"/>
      <c r="R192" s="85"/>
      <c r="S192" s="22"/>
      <c r="T192" s="22">
        <v>1.0</v>
      </c>
      <c r="U192" s="22"/>
      <c r="V192" s="86"/>
      <c r="W192" s="22"/>
      <c r="X192" s="38"/>
      <c r="Y192" s="36" t="str">
        <f t="shared" si="19"/>
        <v>renew</v>
      </c>
      <c r="Z192" s="21"/>
      <c r="AA192" s="21" t="s">
        <v>27</v>
      </c>
    </row>
    <row r="193">
      <c r="A193" s="84" t="s">
        <v>948</v>
      </c>
      <c r="B193" s="84" t="s">
        <v>949</v>
      </c>
      <c r="C193" s="21">
        <v>1178.0</v>
      </c>
      <c r="D193" s="22" t="str">
        <f t="shared" si="1"/>
        <v>General</v>
      </c>
      <c r="E193" s="23" t="str">
        <f t="shared" si="2"/>
        <v>Lapsed</v>
      </c>
      <c r="F193" s="24">
        <v>1.0</v>
      </c>
      <c r="G193" s="25">
        <v>45436.0</v>
      </c>
      <c r="H193" s="26">
        <f t="shared" si="9"/>
        <v>45657</v>
      </c>
      <c r="I193" s="21"/>
      <c r="J193" s="88" t="s">
        <v>950</v>
      </c>
      <c r="K193" s="88" t="s">
        <v>951</v>
      </c>
      <c r="L193" s="30" t="s">
        <v>35</v>
      </c>
      <c r="M193" s="98" t="s">
        <v>952</v>
      </c>
      <c r="N193" s="95" t="s">
        <v>953</v>
      </c>
      <c r="O193" s="91" t="s">
        <v>954</v>
      </c>
      <c r="P193" s="96">
        <v>38979.0</v>
      </c>
      <c r="Q193" s="22">
        <f t="shared" ref="Q193:Q194" si="20">datedif(P193,today(),"Y")</f>
        <v>19</v>
      </c>
      <c r="R193" s="85"/>
      <c r="S193" s="22"/>
      <c r="T193" s="22">
        <v>1.0</v>
      </c>
      <c r="U193" s="22"/>
      <c r="V193" s="86"/>
      <c r="W193" s="22"/>
      <c r="X193" s="38"/>
      <c r="Y193" s="36" t="str">
        <f t="shared" si="19"/>
        <v>renew</v>
      </c>
      <c r="Z193" s="21"/>
      <c r="AA193" s="21" t="s">
        <v>27</v>
      </c>
    </row>
    <row r="194">
      <c r="A194" s="84" t="s">
        <v>776</v>
      </c>
      <c r="B194" s="84" t="s">
        <v>955</v>
      </c>
      <c r="C194" s="21">
        <v>1177.0</v>
      </c>
      <c r="D194" s="22" t="str">
        <f t="shared" si="1"/>
        <v>General</v>
      </c>
      <c r="E194" s="23" t="str">
        <f t="shared" si="2"/>
        <v>Lapsed</v>
      </c>
      <c r="F194" s="24">
        <v>1.0</v>
      </c>
      <c r="G194" s="25">
        <v>45437.0</v>
      </c>
      <c r="H194" s="26">
        <f t="shared" si="9"/>
        <v>45657</v>
      </c>
      <c r="I194" s="21"/>
      <c r="J194" s="88" t="s">
        <v>956</v>
      </c>
      <c r="K194" s="88" t="s">
        <v>594</v>
      </c>
      <c r="L194" s="30" t="s">
        <v>35</v>
      </c>
      <c r="M194" s="98" t="s">
        <v>595</v>
      </c>
      <c r="N194" s="95" t="s">
        <v>957</v>
      </c>
      <c r="O194" s="91" t="s">
        <v>958</v>
      </c>
      <c r="P194" s="96">
        <v>38779.0</v>
      </c>
      <c r="Q194" s="22">
        <f t="shared" si="20"/>
        <v>20</v>
      </c>
      <c r="R194" s="85"/>
      <c r="S194" s="22"/>
      <c r="T194" s="22">
        <v>1.0</v>
      </c>
      <c r="U194" s="22"/>
      <c r="V194" s="86"/>
      <c r="W194" s="22"/>
      <c r="X194" s="38"/>
      <c r="Y194" s="36" t="str">
        <f t="shared" si="19"/>
        <v>renew</v>
      </c>
      <c r="Z194" s="21"/>
      <c r="AA194" s="21" t="s">
        <v>27</v>
      </c>
    </row>
    <row r="195">
      <c r="A195" s="84" t="s">
        <v>959</v>
      </c>
      <c r="B195" s="84" t="s">
        <v>955</v>
      </c>
      <c r="C195" s="21">
        <v>1176.0</v>
      </c>
      <c r="D195" s="22" t="str">
        <f t="shared" si="1"/>
        <v>General</v>
      </c>
      <c r="E195" s="23" t="str">
        <f t="shared" si="2"/>
        <v>Lapsed</v>
      </c>
      <c r="F195" s="24">
        <v>1.0</v>
      </c>
      <c r="G195" s="25">
        <v>45438.0</v>
      </c>
      <c r="H195" s="26">
        <f t="shared" si="9"/>
        <v>45657</v>
      </c>
      <c r="I195" s="21"/>
      <c r="J195" s="88" t="s">
        <v>956</v>
      </c>
      <c r="K195" s="88" t="s">
        <v>594</v>
      </c>
      <c r="L195" s="30" t="s">
        <v>35</v>
      </c>
      <c r="M195" s="98" t="s">
        <v>595</v>
      </c>
      <c r="N195" s="95" t="s">
        <v>957</v>
      </c>
      <c r="O195" s="91" t="s">
        <v>958</v>
      </c>
      <c r="P195" s="58"/>
      <c r="Q195" s="22"/>
      <c r="R195" s="85"/>
      <c r="S195" s="22"/>
      <c r="T195" s="22">
        <v>1.0</v>
      </c>
      <c r="U195" s="22"/>
      <c r="V195" s="86"/>
      <c r="W195" s="22"/>
      <c r="X195" s="38"/>
      <c r="Y195" s="36" t="str">
        <f t="shared" si="19"/>
        <v>renew</v>
      </c>
      <c r="Z195" s="27"/>
      <c r="AA195" s="27"/>
    </row>
    <row r="196">
      <c r="A196" s="84" t="s">
        <v>960</v>
      </c>
      <c r="B196" s="84" t="s">
        <v>961</v>
      </c>
      <c r="C196" s="21">
        <v>1175.0</v>
      </c>
      <c r="D196" s="22" t="str">
        <f t="shared" si="1"/>
        <v>General</v>
      </c>
      <c r="E196" s="23" t="str">
        <f t="shared" si="2"/>
        <v>Lapsed</v>
      </c>
      <c r="F196" s="24">
        <v>1.0</v>
      </c>
      <c r="G196" s="25">
        <v>45439.0</v>
      </c>
      <c r="H196" s="26">
        <f t="shared" si="9"/>
        <v>45657</v>
      </c>
      <c r="I196" s="21"/>
      <c r="J196" s="88" t="s">
        <v>962</v>
      </c>
      <c r="K196" s="88" t="s">
        <v>429</v>
      </c>
      <c r="L196" s="30" t="s">
        <v>35</v>
      </c>
      <c r="M196" s="98" t="s">
        <v>430</v>
      </c>
      <c r="N196" s="95" t="s">
        <v>963</v>
      </c>
      <c r="O196" s="91" t="s">
        <v>964</v>
      </c>
      <c r="P196" s="58"/>
      <c r="Q196" s="22"/>
      <c r="R196" s="85"/>
      <c r="S196" s="22"/>
      <c r="T196" s="22">
        <v>1.0</v>
      </c>
      <c r="U196" s="22"/>
      <c r="V196" s="86"/>
      <c r="W196" s="22"/>
      <c r="X196" s="38"/>
      <c r="Y196" s="36" t="str">
        <f t="shared" si="19"/>
        <v>renew</v>
      </c>
      <c r="Z196" s="27"/>
      <c r="AA196" s="27" t="s">
        <v>27</v>
      </c>
    </row>
    <row r="197">
      <c r="A197" s="84" t="s">
        <v>965</v>
      </c>
      <c r="B197" s="84" t="s">
        <v>966</v>
      </c>
      <c r="C197" s="21">
        <v>1174.0</v>
      </c>
      <c r="D197" s="22" t="str">
        <f t="shared" si="1"/>
        <v>General</v>
      </c>
      <c r="E197" s="23" t="str">
        <f t="shared" si="2"/>
        <v>Lapsed</v>
      </c>
      <c r="F197" s="24">
        <v>1.0</v>
      </c>
      <c r="G197" s="25">
        <v>45440.0</v>
      </c>
      <c r="H197" s="26">
        <f t="shared" si="9"/>
        <v>45657</v>
      </c>
      <c r="I197" s="21"/>
      <c r="J197" s="88" t="s">
        <v>967</v>
      </c>
      <c r="K197" s="88" t="s">
        <v>968</v>
      </c>
      <c r="L197" s="30" t="s">
        <v>35</v>
      </c>
      <c r="M197" s="98" t="s">
        <v>969</v>
      </c>
      <c r="N197" s="95" t="s">
        <v>970</v>
      </c>
      <c r="O197" s="91" t="s">
        <v>971</v>
      </c>
      <c r="P197" s="58"/>
      <c r="Q197" s="22"/>
      <c r="R197" s="85"/>
      <c r="S197" s="22"/>
      <c r="T197" s="22">
        <v>1.0</v>
      </c>
      <c r="U197" s="22"/>
      <c r="V197" s="86"/>
      <c r="W197" s="22"/>
      <c r="X197" s="38"/>
      <c r="Y197" s="36" t="str">
        <f t="shared" si="19"/>
        <v>renew</v>
      </c>
      <c r="Z197" s="21"/>
      <c r="AA197" s="21" t="s">
        <v>8</v>
      </c>
    </row>
    <row r="198">
      <c r="A198" s="84" t="s">
        <v>972</v>
      </c>
      <c r="B198" s="84" t="s">
        <v>973</v>
      </c>
      <c r="C198" s="21">
        <v>1173.0</v>
      </c>
      <c r="D198" s="22" t="str">
        <f t="shared" si="1"/>
        <v>Youth</v>
      </c>
      <c r="E198" s="23" t="str">
        <f t="shared" si="2"/>
        <v>Lapsed</v>
      </c>
      <c r="F198" s="24">
        <v>1.0</v>
      </c>
      <c r="G198" s="25">
        <v>45441.0</v>
      </c>
      <c r="H198" s="26">
        <f t="shared" si="9"/>
        <v>45657</v>
      </c>
      <c r="I198" s="21"/>
      <c r="J198" s="88" t="s">
        <v>974</v>
      </c>
      <c r="K198" s="88" t="s">
        <v>305</v>
      </c>
      <c r="L198" s="30" t="s">
        <v>35</v>
      </c>
      <c r="M198" s="98" t="s">
        <v>306</v>
      </c>
      <c r="N198" s="95" t="s">
        <v>975</v>
      </c>
      <c r="O198" s="91" t="s">
        <v>976</v>
      </c>
      <c r="P198" s="96">
        <v>41211.0</v>
      </c>
      <c r="Q198" s="22">
        <f>datedif(P198,today(),"Y")</f>
        <v>13</v>
      </c>
      <c r="R198" s="85"/>
      <c r="S198" s="22"/>
      <c r="T198" s="22">
        <v>1.0</v>
      </c>
      <c r="U198" s="22"/>
      <c r="V198" s="86"/>
      <c r="W198" s="22"/>
      <c r="X198" s="38"/>
      <c r="Y198" s="36" t="str">
        <f t="shared" si="19"/>
        <v>renew</v>
      </c>
      <c r="Z198" s="21"/>
      <c r="AA198" s="21" t="s">
        <v>8</v>
      </c>
    </row>
    <row r="199">
      <c r="A199" s="84" t="s">
        <v>977</v>
      </c>
      <c r="B199" s="84" t="s">
        <v>978</v>
      </c>
      <c r="C199" s="21">
        <v>1172.0</v>
      </c>
      <c r="D199" s="22" t="str">
        <f t="shared" si="1"/>
        <v>General</v>
      </c>
      <c r="E199" s="23" t="str">
        <f t="shared" si="2"/>
        <v>Lapsed</v>
      </c>
      <c r="F199" s="24">
        <v>1.0</v>
      </c>
      <c r="G199" s="25">
        <v>45442.0</v>
      </c>
      <c r="H199" s="26">
        <f t="shared" si="9"/>
        <v>45657</v>
      </c>
      <c r="I199" s="21"/>
      <c r="J199" s="88" t="s">
        <v>979</v>
      </c>
      <c r="K199" s="88" t="s">
        <v>980</v>
      </c>
      <c r="L199" s="30" t="s">
        <v>35</v>
      </c>
      <c r="M199" s="98" t="s">
        <v>981</v>
      </c>
      <c r="N199" s="95" t="s">
        <v>982</v>
      </c>
      <c r="O199" s="91" t="s">
        <v>983</v>
      </c>
      <c r="P199" s="58"/>
      <c r="Q199" s="22"/>
      <c r="R199" s="85"/>
      <c r="S199" s="22"/>
      <c r="T199" s="22">
        <v>1.0</v>
      </c>
      <c r="U199" s="22"/>
      <c r="V199" s="86"/>
      <c r="W199" s="22"/>
      <c r="X199" s="38"/>
      <c r="Y199" s="36" t="str">
        <f t="shared" si="19"/>
        <v>renew</v>
      </c>
      <c r="Z199" s="21"/>
      <c r="AA199" s="21" t="s">
        <v>8</v>
      </c>
    </row>
    <row r="200">
      <c r="A200" s="84" t="s">
        <v>984</v>
      </c>
      <c r="B200" s="84" t="s">
        <v>985</v>
      </c>
      <c r="C200" s="21">
        <v>1171.0</v>
      </c>
      <c r="D200" s="22" t="str">
        <f t="shared" si="1"/>
        <v>Youth</v>
      </c>
      <c r="E200" s="23" t="str">
        <f t="shared" si="2"/>
        <v>Lapsed</v>
      </c>
      <c r="F200" s="24">
        <v>1.0</v>
      </c>
      <c r="G200" s="25">
        <v>45443.0</v>
      </c>
      <c r="H200" s="26">
        <f t="shared" si="9"/>
        <v>45657</v>
      </c>
      <c r="I200" s="21"/>
      <c r="J200" s="28" t="s">
        <v>986</v>
      </c>
      <c r="K200" s="29" t="s">
        <v>305</v>
      </c>
      <c r="L200" s="30" t="s">
        <v>35</v>
      </c>
      <c r="M200" s="31" t="s">
        <v>306</v>
      </c>
      <c r="N200" s="57" t="s">
        <v>987</v>
      </c>
      <c r="O200" s="91" t="s">
        <v>988</v>
      </c>
      <c r="P200" s="96">
        <v>41043.0</v>
      </c>
      <c r="Q200" s="22">
        <f>datedif(P200,today(),"Y")</f>
        <v>13</v>
      </c>
      <c r="R200" s="85"/>
      <c r="S200" s="22"/>
      <c r="T200" s="22">
        <v>1.0</v>
      </c>
      <c r="U200" s="22"/>
      <c r="V200" s="86"/>
      <c r="W200" s="22"/>
      <c r="X200" s="38"/>
      <c r="Y200" s="36" t="str">
        <f t="shared" si="19"/>
        <v>renew</v>
      </c>
      <c r="Z200" s="21"/>
      <c r="AA200" s="21" t="s">
        <v>8</v>
      </c>
    </row>
    <row r="201">
      <c r="A201" s="84" t="s">
        <v>989</v>
      </c>
      <c r="B201" s="84" t="s">
        <v>990</v>
      </c>
      <c r="C201" s="21">
        <v>1170.0</v>
      </c>
      <c r="D201" s="22" t="str">
        <f t="shared" si="1"/>
        <v>General</v>
      </c>
      <c r="E201" s="23" t="str">
        <f t="shared" si="2"/>
        <v>Lapsed</v>
      </c>
      <c r="F201" s="24">
        <v>1.0</v>
      </c>
      <c r="G201" s="25">
        <v>45444.0</v>
      </c>
      <c r="H201" s="26">
        <f t="shared" si="9"/>
        <v>45657</v>
      </c>
      <c r="I201" s="21"/>
      <c r="J201" s="28" t="s">
        <v>991</v>
      </c>
      <c r="K201" s="29" t="s">
        <v>992</v>
      </c>
      <c r="L201" s="30" t="s">
        <v>57</v>
      </c>
      <c r="M201" s="31" t="s">
        <v>993</v>
      </c>
      <c r="N201" s="57" t="s">
        <v>994</v>
      </c>
      <c r="O201" s="32">
        <v>3.074410486E9</v>
      </c>
      <c r="P201" s="58"/>
      <c r="Q201" s="22"/>
      <c r="R201" s="85"/>
      <c r="S201" s="22"/>
      <c r="T201" s="22">
        <v>1.0</v>
      </c>
      <c r="U201" s="22"/>
      <c r="V201" s="86"/>
      <c r="W201" s="22"/>
      <c r="X201" s="38"/>
      <c r="Y201" s="36" t="str">
        <f t="shared" si="19"/>
        <v>renew</v>
      </c>
      <c r="Z201" s="21"/>
      <c r="AA201" s="21" t="s">
        <v>8</v>
      </c>
    </row>
    <row r="202">
      <c r="A202" s="84" t="s">
        <v>995</v>
      </c>
      <c r="B202" s="84" t="s">
        <v>996</v>
      </c>
      <c r="C202" s="21">
        <v>1169.0</v>
      </c>
      <c r="D202" s="22" t="str">
        <f t="shared" si="1"/>
        <v>General</v>
      </c>
      <c r="E202" s="23" t="str">
        <f t="shared" si="2"/>
        <v>Lapsed</v>
      </c>
      <c r="F202" s="24">
        <v>1.0</v>
      </c>
      <c r="G202" s="25">
        <v>45771.0</v>
      </c>
      <c r="H202" s="26">
        <f t="shared" si="9"/>
        <v>46022</v>
      </c>
      <c r="I202" s="21"/>
      <c r="J202" s="28" t="s">
        <v>997</v>
      </c>
      <c r="K202" s="29" t="s">
        <v>190</v>
      </c>
      <c r="L202" s="30" t="s">
        <v>35</v>
      </c>
      <c r="M202" s="31" t="s">
        <v>311</v>
      </c>
      <c r="N202" s="57" t="s">
        <v>998</v>
      </c>
      <c r="O202" s="32">
        <v>9.704308183E9</v>
      </c>
      <c r="P202" s="58"/>
      <c r="Q202" s="22"/>
      <c r="R202" s="85"/>
      <c r="S202" s="22">
        <v>2.0</v>
      </c>
      <c r="T202" s="22">
        <v>1.0</v>
      </c>
      <c r="U202" s="22"/>
      <c r="V202" s="86"/>
      <c r="W202" s="22"/>
      <c r="X202" s="38"/>
      <c r="Y202" s="36" t="str">
        <f t="shared" si="19"/>
        <v>renew</v>
      </c>
      <c r="Z202" s="27"/>
      <c r="AA202" s="27" t="s">
        <v>8</v>
      </c>
    </row>
    <row r="203">
      <c r="A203" s="84" t="s">
        <v>999</v>
      </c>
      <c r="B203" s="84" t="s">
        <v>1000</v>
      </c>
      <c r="C203" s="21">
        <v>1167.0</v>
      </c>
      <c r="D203" s="22" t="str">
        <f t="shared" si="1"/>
        <v>Youth</v>
      </c>
      <c r="E203" s="23" t="str">
        <f t="shared" si="2"/>
        <v>Lapsed</v>
      </c>
      <c r="F203" s="24">
        <v>1.0</v>
      </c>
      <c r="G203" s="25">
        <v>45447.0</v>
      </c>
      <c r="H203" s="26">
        <f t="shared" si="9"/>
        <v>45657</v>
      </c>
      <c r="I203" s="21"/>
      <c r="J203" s="28" t="s">
        <v>1001</v>
      </c>
      <c r="K203" s="29" t="s">
        <v>720</v>
      </c>
      <c r="L203" s="30" t="s">
        <v>721</v>
      </c>
      <c r="M203" s="31" t="s">
        <v>722</v>
      </c>
      <c r="N203" s="57" t="s">
        <v>1002</v>
      </c>
      <c r="O203" s="32">
        <v>8.085517922E9</v>
      </c>
      <c r="P203" s="58">
        <v>40554.0</v>
      </c>
      <c r="Q203" s="22">
        <f>datedif(P203,today(),"Y")</f>
        <v>15</v>
      </c>
      <c r="R203" s="85"/>
      <c r="S203" s="22"/>
      <c r="T203" s="22">
        <v>1.0</v>
      </c>
      <c r="U203" s="22"/>
      <c r="V203" s="86"/>
      <c r="W203" s="22"/>
      <c r="X203" s="38"/>
      <c r="Y203" s="36" t="str">
        <f t="shared" si="19"/>
        <v>renew</v>
      </c>
      <c r="Z203" s="21"/>
      <c r="AA203" s="21" t="s">
        <v>8</v>
      </c>
    </row>
    <row r="204">
      <c r="A204" s="84" t="s">
        <v>1003</v>
      </c>
      <c r="B204" s="84" t="s">
        <v>1004</v>
      </c>
      <c r="C204" s="21">
        <v>1166.0</v>
      </c>
      <c r="D204" s="22" t="str">
        <f t="shared" si="1"/>
        <v>General</v>
      </c>
      <c r="E204" s="23" t="str">
        <f t="shared" si="2"/>
        <v>Lapsed</v>
      </c>
      <c r="F204" s="24">
        <v>1.0</v>
      </c>
      <c r="G204" s="25">
        <v>45399.0</v>
      </c>
      <c r="H204" s="26">
        <f t="shared" si="9"/>
        <v>45657</v>
      </c>
      <c r="I204" s="21"/>
      <c r="J204" s="28" t="s">
        <v>1005</v>
      </c>
      <c r="K204" s="29" t="s">
        <v>1006</v>
      </c>
      <c r="L204" s="30" t="s">
        <v>1007</v>
      </c>
      <c r="M204" s="31" t="s">
        <v>1008</v>
      </c>
      <c r="N204" s="28" t="s">
        <v>1009</v>
      </c>
      <c r="O204" s="32">
        <v>4.326387122E9</v>
      </c>
      <c r="P204" s="58"/>
      <c r="Q204" s="22"/>
      <c r="R204" s="85"/>
      <c r="S204" s="22"/>
      <c r="T204" s="22">
        <v>1.0</v>
      </c>
      <c r="U204" s="22"/>
      <c r="V204" s="86"/>
      <c r="W204" s="22"/>
      <c r="X204" s="38"/>
      <c r="Y204" s="36" t="str">
        <f t="shared" si="19"/>
        <v>renew</v>
      </c>
      <c r="Z204" s="21"/>
      <c r="AA204" s="21" t="s">
        <v>27</v>
      </c>
    </row>
    <row r="205">
      <c r="A205" s="84" t="s">
        <v>1010</v>
      </c>
      <c r="B205" s="84" t="s">
        <v>1011</v>
      </c>
      <c r="C205" s="21">
        <v>1165.0</v>
      </c>
      <c r="D205" s="22" t="str">
        <f t="shared" si="1"/>
        <v>General</v>
      </c>
      <c r="E205" s="23" t="str">
        <f t="shared" si="2"/>
        <v>Lapsed</v>
      </c>
      <c r="F205" s="24">
        <v>1.0</v>
      </c>
      <c r="G205" s="25">
        <v>45817.0</v>
      </c>
      <c r="H205" s="26">
        <f t="shared" si="9"/>
        <v>46022</v>
      </c>
      <c r="I205" s="21"/>
      <c r="J205" s="28" t="s">
        <v>1012</v>
      </c>
      <c r="K205" s="29" t="s">
        <v>56</v>
      </c>
      <c r="L205" s="30" t="s">
        <v>57</v>
      </c>
      <c r="M205" s="31" t="s">
        <v>63</v>
      </c>
      <c r="N205" s="28"/>
      <c r="O205" s="32">
        <v>3.074140505E9</v>
      </c>
      <c r="P205" s="58"/>
      <c r="Q205" s="22"/>
      <c r="R205" s="85"/>
      <c r="S205" s="22">
        <v>2.0</v>
      </c>
      <c r="T205" s="22">
        <v>1.0</v>
      </c>
      <c r="U205" s="22"/>
      <c r="V205" s="86"/>
      <c r="W205" s="22"/>
      <c r="X205" s="38"/>
      <c r="Y205" s="36" t="str">
        <f t="shared" si="19"/>
        <v>renew</v>
      </c>
      <c r="Z205" s="21"/>
      <c r="AA205" s="21" t="s">
        <v>8</v>
      </c>
    </row>
    <row r="206">
      <c r="A206" s="84" t="s">
        <v>1013</v>
      </c>
      <c r="B206" s="84" t="s">
        <v>1014</v>
      </c>
      <c r="C206" s="21">
        <v>1164.0</v>
      </c>
      <c r="D206" s="22" t="str">
        <f t="shared" si="1"/>
        <v>General</v>
      </c>
      <c r="E206" s="23" t="str">
        <f t="shared" si="2"/>
        <v>Lapsed</v>
      </c>
      <c r="F206" s="24">
        <v>1.0</v>
      </c>
      <c r="G206" s="25">
        <v>45401.0</v>
      </c>
      <c r="H206" s="26">
        <f t="shared" si="9"/>
        <v>45657</v>
      </c>
      <c r="I206" s="21"/>
      <c r="J206" s="28" t="s">
        <v>1015</v>
      </c>
      <c r="K206" s="29" t="s">
        <v>1016</v>
      </c>
      <c r="L206" s="30" t="s">
        <v>1017</v>
      </c>
      <c r="M206" s="31" t="s">
        <v>1018</v>
      </c>
      <c r="N206" s="28" t="s">
        <v>1019</v>
      </c>
      <c r="O206" s="32">
        <v>9.284602241E9</v>
      </c>
      <c r="P206" s="58"/>
      <c r="Q206" s="22"/>
      <c r="R206" s="85"/>
      <c r="S206" s="22"/>
      <c r="T206" s="22">
        <v>1.0</v>
      </c>
      <c r="U206" s="22"/>
      <c r="V206" s="86"/>
      <c r="W206" s="22"/>
      <c r="X206" s="38"/>
      <c r="Y206" s="36" t="str">
        <f t="shared" si="19"/>
        <v>renew</v>
      </c>
      <c r="Z206" s="21"/>
      <c r="AA206" s="21" t="s">
        <v>27</v>
      </c>
    </row>
    <row r="207">
      <c r="A207" s="84" t="s">
        <v>1020</v>
      </c>
      <c r="B207" s="84" t="s">
        <v>1021</v>
      </c>
      <c r="C207" s="21">
        <v>1163.0</v>
      </c>
      <c r="D207" s="22" t="str">
        <f t="shared" si="1"/>
        <v>General</v>
      </c>
      <c r="E207" s="23" t="str">
        <f t="shared" si="2"/>
        <v>Lapsed</v>
      </c>
      <c r="F207" s="24">
        <v>1.0</v>
      </c>
      <c r="G207" s="25">
        <v>45402.0</v>
      </c>
      <c r="H207" s="26">
        <f t="shared" si="9"/>
        <v>45657</v>
      </c>
      <c r="I207" s="21"/>
      <c r="J207" s="28" t="s">
        <v>1022</v>
      </c>
      <c r="K207" s="29" t="s">
        <v>56</v>
      </c>
      <c r="L207" s="30" t="s">
        <v>57</v>
      </c>
      <c r="M207" s="31" t="s">
        <v>804</v>
      </c>
      <c r="N207" s="28" t="s">
        <v>1023</v>
      </c>
      <c r="O207" s="32">
        <v>3.074013193E9</v>
      </c>
      <c r="P207" s="58"/>
      <c r="Q207" s="22"/>
      <c r="R207" s="85"/>
      <c r="S207" s="22"/>
      <c r="T207" s="22">
        <v>1.0</v>
      </c>
      <c r="U207" s="22"/>
      <c r="V207" s="86"/>
      <c r="W207" s="22"/>
      <c r="X207" s="38"/>
      <c r="Y207" s="36" t="str">
        <f t="shared" si="19"/>
        <v>renew</v>
      </c>
      <c r="Z207" s="21"/>
      <c r="AA207" s="21" t="s">
        <v>27</v>
      </c>
    </row>
    <row r="208">
      <c r="A208" s="84" t="s">
        <v>154</v>
      </c>
      <c r="B208" s="84" t="s">
        <v>1024</v>
      </c>
      <c r="C208" s="21">
        <v>1162.0</v>
      </c>
      <c r="D208" s="22" t="str">
        <f t="shared" si="1"/>
        <v>General</v>
      </c>
      <c r="E208" s="23" t="str">
        <f t="shared" si="2"/>
        <v>Lapsed</v>
      </c>
      <c r="F208" s="24">
        <v>1.0</v>
      </c>
      <c r="G208" s="25">
        <v>45403.0</v>
      </c>
      <c r="H208" s="26">
        <f t="shared" si="9"/>
        <v>45657</v>
      </c>
      <c r="I208" s="21"/>
      <c r="J208" s="28" t="s">
        <v>1025</v>
      </c>
      <c r="K208" s="29" t="s">
        <v>42</v>
      </c>
      <c r="L208" s="30" t="s">
        <v>35</v>
      </c>
      <c r="M208" s="31" t="s">
        <v>239</v>
      </c>
      <c r="N208" s="28" t="s">
        <v>1026</v>
      </c>
      <c r="O208" s="32">
        <v>3.032617891E9</v>
      </c>
      <c r="P208" s="58"/>
      <c r="Q208" s="22"/>
      <c r="R208" s="56">
        <v>2024.0</v>
      </c>
      <c r="S208" s="22"/>
      <c r="T208" s="22">
        <v>1.0</v>
      </c>
      <c r="U208" s="22"/>
      <c r="V208" s="86"/>
      <c r="W208" s="22"/>
      <c r="X208" s="38"/>
      <c r="Y208" s="36" t="str">
        <f t="shared" si="19"/>
        <v>renew</v>
      </c>
      <c r="Z208" s="27"/>
      <c r="AA208" s="27" t="s">
        <v>27</v>
      </c>
    </row>
    <row r="209">
      <c r="A209" s="84" t="s">
        <v>1027</v>
      </c>
      <c r="B209" s="84" t="s">
        <v>1028</v>
      </c>
      <c r="C209" s="21">
        <v>1161.0</v>
      </c>
      <c r="D209" s="22" t="str">
        <f t="shared" si="1"/>
        <v>General</v>
      </c>
      <c r="E209" s="23" t="str">
        <f t="shared" si="2"/>
        <v>Lapsed</v>
      </c>
      <c r="F209" s="24">
        <v>1.0</v>
      </c>
      <c r="G209" s="25">
        <v>45404.0</v>
      </c>
      <c r="H209" s="26">
        <f t="shared" si="9"/>
        <v>45657</v>
      </c>
      <c r="I209" s="21"/>
      <c r="J209" s="28" t="s">
        <v>1029</v>
      </c>
      <c r="K209" s="29" t="s">
        <v>832</v>
      </c>
      <c r="L209" s="30" t="s">
        <v>35</v>
      </c>
      <c r="M209" s="31" t="s">
        <v>330</v>
      </c>
      <c r="N209" s="28" t="s">
        <v>1030</v>
      </c>
      <c r="O209" s="32">
        <v>4.047491297E9</v>
      </c>
      <c r="P209" s="58"/>
      <c r="Q209" s="22"/>
      <c r="R209" s="85"/>
      <c r="S209" s="22"/>
      <c r="T209" s="22">
        <v>1.0</v>
      </c>
      <c r="U209" s="22"/>
      <c r="V209" s="86"/>
      <c r="W209" s="22"/>
      <c r="X209" s="38"/>
      <c r="Y209" s="36" t="str">
        <f t="shared" si="19"/>
        <v>renew</v>
      </c>
      <c r="Z209" s="27"/>
      <c r="AA209" s="27" t="s">
        <v>27</v>
      </c>
    </row>
    <row r="210">
      <c r="A210" s="84" t="s">
        <v>186</v>
      </c>
      <c r="B210" s="84" t="s">
        <v>1031</v>
      </c>
      <c r="C210" s="21">
        <v>1160.0</v>
      </c>
      <c r="D210" s="22" t="str">
        <f t="shared" si="1"/>
        <v>General</v>
      </c>
      <c r="E210" s="23" t="str">
        <f t="shared" si="2"/>
        <v>Lapsed</v>
      </c>
      <c r="F210" s="24">
        <v>1.0</v>
      </c>
      <c r="G210" s="25">
        <v>45405.0</v>
      </c>
      <c r="H210" s="26">
        <f t="shared" si="9"/>
        <v>45657</v>
      </c>
      <c r="I210" s="21"/>
      <c r="J210" s="28" t="s">
        <v>1032</v>
      </c>
      <c r="K210" s="29" t="s">
        <v>429</v>
      </c>
      <c r="L210" s="30" t="s">
        <v>35</v>
      </c>
      <c r="M210" s="31" t="s">
        <v>430</v>
      </c>
      <c r="N210" s="28" t="s">
        <v>1033</v>
      </c>
      <c r="O210" s="32">
        <v>3.038686266E9</v>
      </c>
      <c r="P210" s="58"/>
      <c r="Q210" s="22"/>
      <c r="R210" s="85"/>
      <c r="S210" s="22"/>
      <c r="T210" s="22">
        <v>1.0</v>
      </c>
      <c r="U210" s="22"/>
      <c r="V210" s="86"/>
      <c r="W210" s="22"/>
      <c r="X210" s="38"/>
      <c r="Y210" s="36" t="str">
        <f t="shared" si="19"/>
        <v>renew</v>
      </c>
      <c r="Z210" s="27"/>
      <c r="AA210" s="27" t="s">
        <v>27</v>
      </c>
    </row>
    <row r="211">
      <c r="A211" s="84" t="s">
        <v>1034</v>
      </c>
      <c r="B211" s="84" t="s">
        <v>902</v>
      </c>
      <c r="C211" s="21">
        <v>1159.0</v>
      </c>
      <c r="D211" s="22" t="str">
        <f t="shared" si="1"/>
        <v>General</v>
      </c>
      <c r="E211" s="23" t="str">
        <f t="shared" si="2"/>
        <v>Lapsed</v>
      </c>
      <c r="F211" s="24">
        <v>1.0</v>
      </c>
      <c r="G211" s="25">
        <v>45406.0</v>
      </c>
      <c r="H211" s="26">
        <f t="shared" si="9"/>
        <v>45657</v>
      </c>
      <c r="I211" s="21"/>
      <c r="J211" s="28" t="s">
        <v>1012</v>
      </c>
      <c r="K211" s="29" t="s">
        <v>56</v>
      </c>
      <c r="L211" s="30" t="s">
        <v>57</v>
      </c>
      <c r="M211" s="31" t="s">
        <v>63</v>
      </c>
      <c r="N211" s="28" t="s">
        <v>1035</v>
      </c>
      <c r="O211" s="32">
        <v>3.076403512E9</v>
      </c>
      <c r="P211" s="58"/>
      <c r="Q211" s="22"/>
      <c r="R211" s="85"/>
      <c r="S211" s="22"/>
      <c r="T211" s="22">
        <v>1.0</v>
      </c>
      <c r="U211" s="22"/>
      <c r="V211" s="86"/>
      <c r="W211" s="22"/>
      <c r="X211" s="38"/>
      <c r="Y211" s="36" t="str">
        <f t="shared" si="19"/>
        <v>renew</v>
      </c>
      <c r="Z211" s="27"/>
      <c r="AA211" s="27" t="s">
        <v>27</v>
      </c>
    </row>
    <row r="212">
      <c r="A212" s="84" t="s">
        <v>1036</v>
      </c>
      <c r="B212" s="84" t="s">
        <v>1037</v>
      </c>
      <c r="C212" s="21">
        <v>1158.0</v>
      </c>
      <c r="D212" s="22" t="str">
        <f t="shared" si="1"/>
        <v>General</v>
      </c>
      <c r="E212" s="23" t="str">
        <f t="shared" si="2"/>
        <v>Lapsed</v>
      </c>
      <c r="F212" s="24">
        <v>1.0</v>
      </c>
      <c r="G212" s="25">
        <v>45406.0</v>
      </c>
      <c r="H212" s="26">
        <f t="shared" si="9"/>
        <v>45657</v>
      </c>
      <c r="I212" s="21"/>
      <c r="J212" s="28" t="s">
        <v>1038</v>
      </c>
      <c r="K212" s="29" t="s">
        <v>651</v>
      </c>
      <c r="L212" s="30" t="s">
        <v>35</v>
      </c>
      <c r="M212" s="31" t="s">
        <v>1039</v>
      </c>
      <c r="N212" s="28" t="s">
        <v>1040</v>
      </c>
      <c r="O212" s="32">
        <v>3.039059377E9</v>
      </c>
      <c r="P212" s="58"/>
      <c r="Q212" s="22"/>
      <c r="R212" s="85"/>
      <c r="S212" s="22"/>
      <c r="T212" s="22">
        <v>1.0</v>
      </c>
      <c r="U212" s="22"/>
      <c r="V212" s="86"/>
      <c r="W212" s="22"/>
      <c r="X212" s="38"/>
      <c r="Y212" s="36" t="str">
        <f t="shared" si="19"/>
        <v>renew</v>
      </c>
      <c r="Z212" s="27"/>
      <c r="AA212" s="27" t="s">
        <v>27</v>
      </c>
    </row>
    <row r="213">
      <c r="A213" s="84" t="s">
        <v>1041</v>
      </c>
      <c r="B213" s="84" t="s">
        <v>1042</v>
      </c>
      <c r="C213" s="21">
        <v>1157.0</v>
      </c>
      <c r="D213" s="22" t="str">
        <f t="shared" si="1"/>
        <v>General</v>
      </c>
      <c r="E213" s="23" t="str">
        <f t="shared" si="2"/>
        <v>Lapsed</v>
      </c>
      <c r="F213" s="24">
        <v>1.0</v>
      </c>
      <c r="G213" s="25">
        <v>45406.0</v>
      </c>
      <c r="H213" s="26">
        <f t="shared" si="9"/>
        <v>45657</v>
      </c>
      <c r="I213" s="21"/>
      <c r="J213" s="28" t="s">
        <v>1043</v>
      </c>
      <c r="K213" s="29" t="s">
        <v>1044</v>
      </c>
      <c r="L213" s="30" t="s">
        <v>892</v>
      </c>
      <c r="M213" s="31" t="s">
        <v>1045</v>
      </c>
      <c r="N213" s="28" t="s">
        <v>1046</v>
      </c>
      <c r="O213" s="32">
        <v>9.705202271E9</v>
      </c>
      <c r="P213" s="58"/>
      <c r="Q213" s="22"/>
      <c r="R213" s="85"/>
      <c r="S213" s="22"/>
      <c r="T213" s="22">
        <v>1.0</v>
      </c>
      <c r="U213" s="22"/>
      <c r="V213" s="86"/>
      <c r="W213" s="22"/>
      <c r="X213" s="38"/>
      <c r="Y213" s="36" t="str">
        <f t="shared" si="19"/>
        <v>renew</v>
      </c>
      <c r="Z213" s="27"/>
      <c r="AA213" s="27" t="s">
        <v>27</v>
      </c>
    </row>
    <row r="214">
      <c r="A214" s="84" t="s">
        <v>1047</v>
      </c>
      <c r="B214" s="84" t="s">
        <v>1048</v>
      </c>
      <c r="C214" s="21">
        <v>1156.0</v>
      </c>
      <c r="D214" s="22" t="str">
        <f t="shared" si="1"/>
        <v>General</v>
      </c>
      <c r="E214" s="23" t="str">
        <f t="shared" si="2"/>
        <v>Lapsed</v>
      </c>
      <c r="F214" s="24">
        <v>1.0</v>
      </c>
      <c r="G214" s="25">
        <v>45878.0</v>
      </c>
      <c r="H214" s="26">
        <f t="shared" si="9"/>
        <v>46022</v>
      </c>
      <c r="I214" s="21"/>
      <c r="J214" s="28" t="s">
        <v>1049</v>
      </c>
      <c r="K214" s="29" t="s">
        <v>190</v>
      </c>
      <c r="L214" s="99" t="s">
        <v>35</v>
      </c>
      <c r="M214" s="31" t="s">
        <v>462</v>
      </c>
      <c r="N214" s="28" t="s">
        <v>1050</v>
      </c>
      <c r="O214" s="32">
        <v>3.038093012E9</v>
      </c>
      <c r="P214" s="58"/>
      <c r="Q214" s="22"/>
      <c r="R214" s="85"/>
      <c r="S214" s="22">
        <v>4.0</v>
      </c>
      <c r="T214" s="22">
        <v>1.0</v>
      </c>
      <c r="U214" s="22"/>
      <c r="V214" s="86"/>
      <c r="W214" s="22"/>
      <c r="X214" s="38"/>
      <c r="Y214" s="36" t="str">
        <f t="shared" si="19"/>
        <v>renew</v>
      </c>
      <c r="Z214" s="27"/>
      <c r="AA214" s="27" t="s">
        <v>27</v>
      </c>
    </row>
    <row r="215">
      <c r="A215" s="84" t="s">
        <v>1051</v>
      </c>
      <c r="B215" s="84" t="s">
        <v>1052</v>
      </c>
      <c r="C215" s="21">
        <v>1155.0</v>
      </c>
      <c r="D215" s="22" t="str">
        <f t="shared" si="1"/>
        <v>General</v>
      </c>
      <c r="E215" s="23" t="str">
        <f t="shared" si="2"/>
        <v>Lapsed</v>
      </c>
      <c r="F215" s="24">
        <v>1.0</v>
      </c>
      <c r="G215" s="25">
        <v>45407.0</v>
      </c>
      <c r="H215" s="26">
        <f t="shared" si="9"/>
        <v>45657</v>
      </c>
      <c r="I215" s="21"/>
      <c r="J215" s="28" t="s">
        <v>1053</v>
      </c>
      <c r="K215" s="29" t="s">
        <v>832</v>
      </c>
      <c r="L215" s="30" t="s">
        <v>35</v>
      </c>
      <c r="M215" s="31" t="s">
        <v>330</v>
      </c>
      <c r="N215" s="100" t="s">
        <v>1054</v>
      </c>
      <c r="O215" s="32">
        <v>9.705186945E9</v>
      </c>
      <c r="P215" s="58"/>
      <c r="Q215" s="22"/>
      <c r="R215" s="85"/>
      <c r="S215" s="22"/>
      <c r="T215" s="22">
        <v>1.0</v>
      </c>
      <c r="U215" s="22"/>
      <c r="V215" s="86"/>
      <c r="W215" s="22"/>
      <c r="X215" s="38"/>
      <c r="Y215" s="36" t="str">
        <f t="shared" si="19"/>
        <v>renew</v>
      </c>
      <c r="Z215" s="27"/>
      <c r="AA215" s="27" t="s">
        <v>27</v>
      </c>
    </row>
    <row r="216">
      <c r="A216" s="84" t="s">
        <v>1055</v>
      </c>
      <c r="B216" s="84" t="s">
        <v>1056</v>
      </c>
      <c r="C216" s="21">
        <v>1154.0</v>
      </c>
      <c r="D216" s="22" t="str">
        <f t="shared" si="1"/>
        <v>General</v>
      </c>
      <c r="E216" s="23" t="str">
        <f t="shared" si="2"/>
        <v>Lapsed</v>
      </c>
      <c r="F216" s="24">
        <v>1.0</v>
      </c>
      <c r="G216" s="25">
        <v>45407.0</v>
      </c>
      <c r="H216" s="26">
        <f t="shared" si="9"/>
        <v>45657</v>
      </c>
      <c r="I216" s="21"/>
      <c r="J216" s="28" t="s">
        <v>1057</v>
      </c>
      <c r="K216" s="29" t="s">
        <v>640</v>
      </c>
      <c r="L216" s="30" t="s">
        <v>35</v>
      </c>
      <c r="M216" s="31" t="s">
        <v>641</v>
      </c>
      <c r="N216" s="28" t="s">
        <v>1058</v>
      </c>
      <c r="O216" s="32">
        <v>7.208401372E9</v>
      </c>
      <c r="P216" s="58"/>
      <c r="Q216" s="22"/>
      <c r="R216" s="85"/>
      <c r="S216" s="22"/>
      <c r="T216" s="22">
        <v>1.0</v>
      </c>
      <c r="U216" s="22"/>
      <c r="V216" s="86"/>
      <c r="W216" s="22"/>
      <c r="X216" s="38"/>
      <c r="Y216" s="36" t="str">
        <f t="shared" si="19"/>
        <v>renew</v>
      </c>
      <c r="Z216" s="27"/>
      <c r="AA216" s="27" t="s">
        <v>27</v>
      </c>
    </row>
    <row r="217">
      <c r="A217" s="84" t="s">
        <v>1059</v>
      </c>
      <c r="B217" s="84" t="s">
        <v>1060</v>
      </c>
      <c r="C217" s="21">
        <v>1153.0</v>
      </c>
      <c r="D217" s="22" t="str">
        <f t="shared" si="1"/>
        <v>General</v>
      </c>
      <c r="E217" s="23" t="str">
        <f t="shared" si="2"/>
        <v>Lapsed</v>
      </c>
      <c r="F217" s="24">
        <v>1.0</v>
      </c>
      <c r="G217" s="25">
        <v>45407.0</v>
      </c>
      <c r="H217" s="26">
        <f t="shared" si="9"/>
        <v>45657</v>
      </c>
      <c r="I217" s="21"/>
      <c r="J217" s="28" t="s">
        <v>1061</v>
      </c>
      <c r="K217" s="29" t="s">
        <v>647</v>
      </c>
      <c r="L217" s="30" t="s">
        <v>35</v>
      </c>
      <c r="M217" s="31" t="s">
        <v>1062</v>
      </c>
      <c r="N217" s="28" t="s">
        <v>1063</v>
      </c>
      <c r="O217" s="32">
        <v>7.209873378E9</v>
      </c>
      <c r="P217" s="58"/>
      <c r="Q217" s="22"/>
      <c r="R217" s="85"/>
      <c r="S217" s="22"/>
      <c r="T217" s="22">
        <v>1.0</v>
      </c>
      <c r="U217" s="22"/>
      <c r="V217" s="86"/>
      <c r="W217" s="22"/>
      <c r="X217" s="38"/>
      <c r="Y217" s="36" t="str">
        <f t="shared" si="19"/>
        <v>renew</v>
      </c>
      <c r="Z217" s="21"/>
      <c r="AA217" s="21" t="s">
        <v>27</v>
      </c>
    </row>
    <row r="218">
      <c r="A218" s="84" t="s">
        <v>1064</v>
      </c>
      <c r="B218" s="84" t="s">
        <v>1065</v>
      </c>
      <c r="C218" s="21">
        <v>1152.0</v>
      </c>
      <c r="D218" s="22" t="str">
        <f t="shared" si="1"/>
        <v>General</v>
      </c>
      <c r="E218" s="23" t="str">
        <f t="shared" si="2"/>
        <v>Lapsed</v>
      </c>
      <c r="F218" s="24">
        <v>1.0</v>
      </c>
      <c r="G218" s="44">
        <v>45399.0</v>
      </c>
      <c r="H218" s="26">
        <f t="shared" si="9"/>
        <v>45657</v>
      </c>
      <c r="I218" s="21"/>
      <c r="J218" s="28" t="s">
        <v>1066</v>
      </c>
      <c r="K218" s="29" t="s">
        <v>1067</v>
      </c>
      <c r="L218" s="30" t="s">
        <v>892</v>
      </c>
      <c r="M218" s="31" t="s">
        <v>1068</v>
      </c>
      <c r="N218" s="101" t="s">
        <v>1069</v>
      </c>
      <c r="O218" s="32">
        <v>3.606228409E9</v>
      </c>
      <c r="P218" s="58"/>
      <c r="Q218" s="22"/>
      <c r="R218" s="85"/>
      <c r="S218" s="22"/>
      <c r="T218" s="22">
        <v>1.0</v>
      </c>
      <c r="U218" s="22"/>
      <c r="V218" s="86"/>
      <c r="W218" s="22"/>
      <c r="X218" s="38"/>
      <c r="Y218" s="36" t="str">
        <f t="shared" si="19"/>
        <v>renew</v>
      </c>
      <c r="Z218" s="21"/>
      <c r="AA218" s="21" t="s">
        <v>27</v>
      </c>
    </row>
    <row r="219">
      <c r="A219" s="84" t="s">
        <v>284</v>
      </c>
      <c r="B219" s="84" t="s">
        <v>1070</v>
      </c>
      <c r="C219" s="21">
        <v>1151.0</v>
      </c>
      <c r="D219" s="22" t="str">
        <f t="shared" si="1"/>
        <v>General</v>
      </c>
      <c r="E219" s="23" t="str">
        <f t="shared" si="2"/>
        <v>Active</v>
      </c>
      <c r="F219" s="24">
        <v>3.0</v>
      </c>
      <c r="G219" s="25">
        <v>45679.0</v>
      </c>
      <c r="H219" s="26">
        <f t="shared" si="9"/>
        <v>46752</v>
      </c>
      <c r="I219" s="21" t="s">
        <v>8</v>
      </c>
      <c r="J219" s="28" t="s">
        <v>1071</v>
      </c>
      <c r="K219" s="29" t="s">
        <v>56</v>
      </c>
      <c r="L219" s="30" t="s">
        <v>57</v>
      </c>
      <c r="M219" s="31" t="s">
        <v>63</v>
      </c>
      <c r="N219" s="28" t="s">
        <v>1072</v>
      </c>
      <c r="O219" s="32">
        <v>3.072747991E9</v>
      </c>
      <c r="P219" s="58"/>
      <c r="Q219" s="22"/>
      <c r="R219" s="85"/>
      <c r="S219" s="22">
        <v>1.0</v>
      </c>
      <c r="T219" s="22">
        <v>1.0</v>
      </c>
      <c r="U219" s="22"/>
      <c r="V219" s="86"/>
      <c r="W219" s="22"/>
      <c r="X219" s="38"/>
      <c r="Y219" s="36" t="s">
        <v>45</v>
      </c>
      <c r="Z219" s="21" t="s">
        <v>8</v>
      </c>
      <c r="AA219" s="21" t="s">
        <v>8</v>
      </c>
    </row>
    <row r="220">
      <c r="A220" s="84" t="s">
        <v>450</v>
      </c>
      <c r="B220" s="84" t="s">
        <v>1073</v>
      </c>
      <c r="C220" s="21">
        <v>1150.0</v>
      </c>
      <c r="D220" s="22" t="str">
        <f t="shared" si="1"/>
        <v>General</v>
      </c>
      <c r="E220" s="23" t="str">
        <f t="shared" si="2"/>
        <v>Lapsed</v>
      </c>
      <c r="F220" s="24">
        <v>1.0</v>
      </c>
      <c r="G220" s="25">
        <v>45768.0</v>
      </c>
      <c r="H220" s="26">
        <f t="shared" si="9"/>
        <v>46022</v>
      </c>
      <c r="I220" s="21"/>
      <c r="J220" s="28" t="s">
        <v>1074</v>
      </c>
      <c r="K220" s="29" t="s">
        <v>497</v>
      </c>
      <c r="L220" s="30" t="s">
        <v>35</v>
      </c>
      <c r="M220" s="31" t="s">
        <v>498</v>
      </c>
      <c r="N220" s="28" t="s">
        <v>1075</v>
      </c>
      <c r="O220" s="32" t="s">
        <v>1076</v>
      </c>
      <c r="P220" s="102"/>
      <c r="Q220" s="22"/>
      <c r="R220" s="56" t="s">
        <v>1077</v>
      </c>
      <c r="S220" s="22">
        <v>1.0</v>
      </c>
      <c r="T220" s="22">
        <v>1.0</v>
      </c>
      <c r="U220" s="22"/>
      <c r="V220" s="86"/>
      <c r="W220" s="22"/>
      <c r="X220" s="38"/>
      <c r="Y220" s="36" t="str">
        <f t="shared" ref="Y220:Y227" si="21">if(E220="Active","send","renew")</f>
        <v>renew</v>
      </c>
      <c r="Z220" s="21" t="s">
        <v>8</v>
      </c>
      <c r="AA220" s="21" t="s">
        <v>27</v>
      </c>
    </row>
    <row r="221">
      <c r="A221" s="84" t="s">
        <v>1078</v>
      </c>
      <c r="B221" s="84" t="s">
        <v>1073</v>
      </c>
      <c r="C221" s="21">
        <v>1149.0</v>
      </c>
      <c r="D221" s="22" t="str">
        <f t="shared" si="1"/>
        <v>General</v>
      </c>
      <c r="E221" s="23" t="str">
        <f t="shared" si="2"/>
        <v>Lapsed</v>
      </c>
      <c r="F221" s="24">
        <v>1.0</v>
      </c>
      <c r="G221" s="25">
        <v>45768.0</v>
      </c>
      <c r="H221" s="26">
        <f t="shared" si="9"/>
        <v>46022</v>
      </c>
      <c r="I221" s="21"/>
      <c r="J221" s="28" t="s">
        <v>1074</v>
      </c>
      <c r="K221" s="29" t="s">
        <v>497</v>
      </c>
      <c r="L221" s="30" t="s">
        <v>35</v>
      </c>
      <c r="M221" s="31" t="s">
        <v>498</v>
      </c>
      <c r="N221" s="28" t="s">
        <v>1079</v>
      </c>
      <c r="O221" s="32" t="s">
        <v>1076</v>
      </c>
      <c r="P221" s="58"/>
      <c r="Q221" s="22"/>
      <c r="R221" s="56" t="s">
        <v>1080</v>
      </c>
      <c r="S221" s="22">
        <v>1.0</v>
      </c>
      <c r="T221" s="22">
        <v>1.0</v>
      </c>
      <c r="U221" s="22"/>
      <c r="V221" s="86"/>
      <c r="W221" s="22"/>
      <c r="X221" s="38"/>
      <c r="Y221" s="36" t="str">
        <f t="shared" si="21"/>
        <v>renew</v>
      </c>
      <c r="Z221" s="21" t="s">
        <v>8</v>
      </c>
      <c r="AA221" s="21" t="s">
        <v>27</v>
      </c>
    </row>
    <row r="222">
      <c r="A222" s="84" t="s">
        <v>1081</v>
      </c>
      <c r="B222" s="84" t="s">
        <v>1082</v>
      </c>
      <c r="C222" s="21">
        <v>1148.0</v>
      </c>
      <c r="D222" s="22" t="str">
        <f t="shared" si="1"/>
        <v>General</v>
      </c>
      <c r="E222" s="23" t="str">
        <f t="shared" si="2"/>
        <v>Lapsed</v>
      </c>
      <c r="F222" s="24">
        <v>1.0</v>
      </c>
      <c r="G222" s="25">
        <v>45390.0</v>
      </c>
      <c r="H222" s="26">
        <f t="shared" si="9"/>
        <v>45657</v>
      </c>
      <c r="I222" s="21"/>
      <c r="J222" s="28" t="s">
        <v>1083</v>
      </c>
      <c r="K222" s="29" t="s">
        <v>423</v>
      </c>
      <c r="L222" s="30" t="s">
        <v>35</v>
      </c>
      <c r="M222" s="31" t="s">
        <v>424</v>
      </c>
      <c r="N222" s="65" t="s">
        <v>1084</v>
      </c>
      <c r="O222" s="57">
        <v>3.039068531E9</v>
      </c>
      <c r="P222" s="58"/>
      <c r="Q222" s="22"/>
      <c r="R222" s="22"/>
      <c r="S222" s="22"/>
      <c r="T222" s="22">
        <v>1.0</v>
      </c>
      <c r="U222" s="22"/>
      <c r="V222" s="86"/>
      <c r="W222" s="22"/>
      <c r="X222" s="38"/>
      <c r="Y222" s="36" t="str">
        <f t="shared" si="21"/>
        <v>renew</v>
      </c>
      <c r="Z222" s="27"/>
      <c r="AA222" s="27" t="s">
        <v>27</v>
      </c>
    </row>
    <row r="223">
      <c r="A223" s="84" t="s">
        <v>1085</v>
      </c>
      <c r="B223" s="84" t="s">
        <v>1086</v>
      </c>
      <c r="C223" s="21">
        <v>1147.0</v>
      </c>
      <c r="D223" s="22" t="str">
        <f t="shared" si="1"/>
        <v>General</v>
      </c>
      <c r="E223" s="23" t="str">
        <f t="shared" si="2"/>
        <v>Lapsed</v>
      </c>
      <c r="F223" s="24">
        <v>1.0</v>
      </c>
      <c r="G223" s="25">
        <v>45771.0</v>
      </c>
      <c r="H223" s="26">
        <f t="shared" si="9"/>
        <v>46022</v>
      </c>
      <c r="I223" s="21"/>
      <c r="J223" s="28" t="s">
        <v>1087</v>
      </c>
      <c r="K223" s="29" t="s">
        <v>640</v>
      </c>
      <c r="L223" s="30" t="s">
        <v>35</v>
      </c>
      <c r="M223" s="31" t="s">
        <v>641</v>
      </c>
      <c r="N223" s="65" t="s">
        <v>1088</v>
      </c>
      <c r="O223" s="57" t="s">
        <v>1089</v>
      </c>
      <c r="P223" s="58"/>
      <c r="Q223" s="22"/>
      <c r="R223" s="22"/>
      <c r="S223" s="22">
        <v>1.0</v>
      </c>
      <c r="T223" s="22">
        <v>1.0</v>
      </c>
      <c r="U223" s="22"/>
      <c r="V223" s="86"/>
      <c r="W223" s="22"/>
      <c r="X223" s="38"/>
      <c r="Y223" s="36" t="str">
        <f t="shared" si="21"/>
        <v>renew</v>
      </c>
      <c r="Z223" s="21" t="s">
        <v>27</v>
      </c>
      <c r="AA223" s="21" t="s">
        <v>27</v>
      </c>
    </row>
    <row r="224">
      <c r="A224" s="84" t="s">
        <v>1090</v>
      </c>
      <c r="B224" s="84" t="s">
        <v>638</v>
      </c>
      <c r="C224" s="21">
        <v>1146.0</v>
      </c>
      <c r="D224" s="22" t="str">
        <f t="shared" si="1"/>
        <v>General</v>
      </c>
      <c r="E224" s="23" t="str">
        <f t="shared" si="2"/>
        <v>Lapsed</v>
      </c>
      <c r="F224" s="24">
        <v>1.0</v>
      </c>
      <c r="G224" s="25">
        <v>45768.0</v>
      </c>
      <c r="H224" s="26">
        <f t="shared" si="9"/>
        <v>46022</v>
      </c>
      <c r="I224" s="21"/>
      <c r="J224" s="62" t="s">
        <v>639</v>
      </c>
      <c r="K224" s="62" t="s">
        <v>640</v>
      </c>
      <c r="L224" s="63" t="s">
        <v>35</v>
      </c>
      <c r="M224" s="64" t="s">
        <v>641</v>
      </c>
      <c r="N224" s="65" t="s">
        <v>642</v>
      </c>
      <c r="O224" s="66" t="s">
        <v>643</v>
      </c>
      <c r="P224" s="58"/>
      <c r="Q224" s="22"/>
      <c r="R224" s="22"/>
      <c r="S224" s="22">
        <v>1.0</v>
      </c>
      <c r="T224" s="22">
        <v>1.0</v>
      </c>
      <c r="U224" s="22"/>
      <c r="V224" s="86"/>
      <c r="W224" s="22"/>
      <c r="X224" s="38"/>
      <c r="Y224" s="36" t="str">
        <f t="shared" si="21"/>
        <v>renew</v>
      </c>
      <c r="Z224" s="21" t="s">
        <v>8</v>
      </c>
      <c r="AA224" s="21" t="s">
        <v>27</v>
      </c>
    </row>
    <row r="225">
      <c r="A225" s="84" t="s">
        <v>1091</v>
      </c>
      <c r="B225" s="84" t="s">
        <v>1092</v>
      </c>
      <c r="C225" s="21">
        <v>1145.0</v>
      </c>
      <c r="D225" s="22" t="str">
        <f t="shared" si="1"/>
        <v>General</v>
      </c>
      <c r="E225" s="23" t="str">
        <f t="shared" si="2"/>
        <v>Lapsed</v>
      </c>
      <c r="F225" s="24">
        <v>1.0</v>
      </c>
      <c r="G225" s="25">
        <v>45390.0</v>
      </c>
      <c r="H225" s="26">
        <f t="shared" si="9"/>
        <v>45657</v>
      </c>
      <c r="I225" s="21"/>
      <c r="J225" s="28" t="s">
        <v>1093</v>
      </c>
      <c r="K225" s="29" t="s">
        <v>1094</v>
      </c>
      <c r="L225" s="30" t="s">
        <v>244</v>
      </c>
      <c r="M225" s="31" t="s">
        <v>1095</v>
      </c>
      <c r="N225" s="57" t="s">
        <v>1096</v>
      </c>
      <c r="O225" s="32">
        <v>5.206786168E9</v>
      </c>
      <c r="P225" s="58"/>
      <c r="Q225" s="22"/>
      <c r="R225" s="22"/>
      <c r="S225" s="22"/>
      <c r="T225" s="22">
        <v>1.0</v>
      </c>
      <c r="U225" s="22"/>
      <c r="V225" s="86"/>
      <c r="W225" s="22"/>
      <c r="X225" s="38"/>
      <c r="Y225" s="36" t="str">
        <f t="shared" si="21"/>
        <v>renew</v>
      </c>
      <c r="Z225" s="21"/>
      <c r="AA225" s="21" t="s">
        <v>27</v>
      </c>
    </row>
    <row r="226">
      <c r="A226" s="84" t="s">
        <v>740</v>
      </c>
      <c r="B226" s="84" t="s">
        <v>902</v>
      </c>
      <c r="C226" s="21">
        <v>1144.0</v>
      </c>
      <c r="D226" s="22" t="str">
        <f t="shared" si="1"/>
        <v>General</v>
      </c>
      <c r="E226" s="23" t="str">
        <f t="shared" si="2"/>
        <v>Lapsed</v>
      </c>
      <c r="F226" s="24">
        <v>1.0</v>
      </c>
      <c r="G226" s="25">
        <v>45363.0</v>
      </c>
      <c r="H226" s="26">
        <f t="shared" si="9"/>
        <v>45657</v>
      </c>
      <c r="I226" s="21"/>
      <c r="J226" s="28" t="s">
        <v>1097</v>
      </c>
      <c r="K226" s="29" t="s">
        <v>859</v>
      </c>
      <c r="L226" s="30" t="s">
        <v>35</v>
      </c>
      <c r="M226" s="31" t="s">
        <v>860</v>
      </c>
      <c r="N226" s="28" t="s">
        <v>1098</v>
      </c>
      <c r="O226" s="32">
        <v>4.022025491E9</v>
      </c>
      <c r="P226" s="58"/>
      <c r="Q226" s="22"/>
      <c r="R226" s="22"/>
      <c r="S226" s="22"/>
      <c r="T226" s="22">
        <v>1.0</v>
      </c>
      <c r="U226" s="22"/>
      <c r="V226" s="86"/>
      <c r="W226" s="22"/>
      <c r="X226" s="38"/>
      <c r="Y226" s="36" t="str">
        <f t="shared" si="21"/>
        <v>renew</v>
      </c>
      <c r="Z226" s="21"/>
      <c r="AA226" s="21" t="s">
        <v>27</v>
      </c>
    </row>
    <row r="227">
      <c r="A227" s="20" t="s">
        <v>1099</v>
      </c>
      <c r="B227" s="20" t="s">
        <v>1100</v>
      </c>
      <c r="C227" s="21">
        <v>1143.0</v>
      </c>
      <c r="D227" s="22" t="str">
        <f t="shared" si="1"/>
        <v>General</v>
      </c>
      <c r="E227" s="23" t="str">
        <f t="shared" si="2"/>
        <v>Lapsed</v>
      </c>
      <c r="F227" s="24">
        <v>1.0</v>
      </c>
      <c r="G227" s="103">
        <v>45355.0</v>
      </c>
      <c r="H227" s="26">
        <f t="shared" si="9"/>
        <v>45657</v>
      </c>
      <c r="I227" s="21"/>
      <c r="J227" s="28" t="s">
        <v>1101</v>
      </c>
      <c r="K227" s="29" t="s">
        <v>157</v>
      </c>
      <c r="L227" s="30" t="s">
        <v>35</v>
      </c>
      <c r="M227" s="31" t="s">
        <v>158</v>
      </c>
      <c r="N227" s="104" t="s">
        <v>1102</v>
      </c>
      <c r="O227" s="32">
        <v>9.702226897E9</v>
      </c>
      <c r="P227" s="58"/>
      <c r="Q227" s="22"/>
      <c r="R227" s="22"/>
      <c r="S227" s="22"/>
      <c r="T227" s="22">
        <v>1.0</v>
      </c>
      <c r="U227" s="22"/>
      <c r="V227" s="86"/>
      <c r="W227" s="22"/>
      <c r="X227" s="38"/>
      <c r="Y227" s="36" t="str">
        <f t="shared" si="21"/>
        <v>renew</v>
      </c>
      <c r="Z227" s="21"/>
      <c r="AA227" s="21" t="s">
        <v>27</v>
      </c>
    </row>
    <row r="228">
      <c r="A228" s="20" t="s">
        <v>1103</v>
      </c>
      <c r="B228" s="20" t="s">
        <v>1104</v>
      </c>
      <c r="C228" s="21">
        <v>1142.0</v>
      </c>
      <c r="D228" s="22" t="str">
        <f t="shared" si="1"/>
        <v>General</v>
      </c>
      <c r="E228" s="23" t="str">
        <f t="shared" si="2"/>
        <v>Active</v>
      </c>
      <c r="F228" s="24">
        <v>3.0</v>
      </c>
      <c r="G228" s="25">
        <v>45320.0</v>
      </c>
      <c r="H228" s="26">
        <f t="shared" si="9"/>
        <v>46387</v>
      </c>
      <c r="I228" s="21" t="s">
        <v>8</v>
      </c>
      <c r="J228" s="28" t="s">
        <v>1105</v>
      </c>
      <c r="K228" s="29" t="s">
        <v>56</v>
      </c>
      <c r="L228" s="30" t="s">
        <v>57</v>
      </c>
      <c r="M228" s="31" t="s">
        <v>63</v>
      </c>
      <c r="N228" s="104" t="s">
        <v>1106</v>
      </c>
      <c r="O228" s="32">
        <v>3.07250428E9</v>
      </c>
      <c r="P228" s="58"/>
      <c r="Q228" s="22"/>
      <c r="R228" s="22"/>
      <c r="S228" s="22">
        <v>1.0</v>
      </c>
      <c r="T228" s="22">
        <v>1.0</v>
      </c>
      <c r="U228" s="22"/>
      <c r="V228" s="86"/>
      <c r="W228" s="22"/>
      <c r="X228" s="38"/>
      <c r="Y228" s="36" t="s">
        <v>45</v>
      </c>
      <c r="Z228" s="21" t="s">
        <v>8</v>
      </c>
      <c r="AA228" s="21" t="s">
        <v>27</v>
      </c>
    </row>
    <row r="229">
      <c r="A229" s="20" t="s">
        <v>802</v>
      </c>
      <c r="B229" s="20" t="s">
        <v>1107</v>
      </c>
      <c r="C229" s="21">
        <v>1141.0</v>
      </c>
      <c r="D229" s="22" t="str">
        <f t="shared" si="1"/>
        <v>General</v>
      </c>
      <c r="E229" s="23" t="str">
        <f t="shared" si="2"/>
        <v>Active</v>
      </c>
      <c r="F229" s="24">
        <v>3.0</v>
      </c>
      <c r="G229" s="25">
        <v>46116.0</v>
      </c>
      <c r="H229" s="26">
        <f t="shared" si="9"/>
        <v>47118</v>
      </c>
      <c r="I229" s="27" t="s">
        <v>8</v>
      </c>
      <c r="J229" s="28" t="s">
        <v>1108</v>
      </c>
      <c r="K229" s="28" t="s">
        <v>256</v>
      </c>
      <c r="L229" s="30" t="s">
        <v>35</v>
      </c>
      <c r="M229" s="31" t="s">
        <v>257</v>
      </c>
      <c r="N229" s="65" t="s">
        <v>1109</v>
      </c>
      <c r="O229" s="32" t="s">
        <v>1110</v>
      </c>
      <c r="P229" s="58"/>
      <c r="Q229" s="22"/>
      <c r="R229" s="22"/>
      <c r="S229" s="22">
        <v>4.0</v>
      </c>
      <c r="T229" s="22">
        <v>1.0</v>
      </c>
      <c r="U229" s="22"/>
      <c r="V229" s="86"/>
      <c r="W229" s="22"/>
      <c r="X229" s="38"/>
      <c r="Y229" s="36" t="s">
        <v>45</v>
      </c>
      <c r="Z229" s="21"/>
      <c r="AA229" s="21" t="s">
        <v>27</v>
      </c>
    </row>
    <row r="230">
      <c r="A230" s="20" t="s">
        <v>1111</v>
      </c>
      <c r="B230" s="20" t="s">
        <v>1112</v>
      </c>
      <c r="C230" s="21">
        <v>1140.0</v>
      </c>
      <c r="D230" s="22" t="str">
        <f t="shared" si="1"/>
        <v>General</v>
      </c>
      <c r="E230" s="23" t="str">
        <f t="shared" si="2"/>
        <v>Lapsed</v>
      </c>
      <c r="F230" s="24">
        <v>1.0</v>
      </c>
      <c r="G230" s="25">
        <v>45182.0</v>
      </c>
      <c r="H230" s="26">
        <f t="shared" si="9"/>
        <v>45291</v>
      </c>
      <c r="I230" s="27"/>
      <c r="J230" s="28"/>
      <c r="K230" s="29"/>
      <c r="L230" s="30"/>
      <c r="M230" s="31"/>
      <c r="N230" s="53"/>
      <c r="O230" s="32"/>
      <c r="P230" s="58"/>
      <c r="Q230" s="22"/>
      <c r="R230" s="22"/>
      <c r="S230" s="22"/>
      <c r="T230" s="22"/>
      <c r="U230" s="22">
        <v>3.0</v>
      </c>
      <c r="V230" s="35">
        <v>45182.0</v>
      </c>
      <c r="W230" s="22"/>
      <c r="X230" s="22" t="s">
        <v>800</v>
      </c>
      <c r="Y230" s="36" t="str">
        <f t="shared" ref="Y230:Y235" si="22">if(E230="Active","send","renew")</f>
        <v>renew</v>
      </c>
      <c r="Z230" s="21"/>
      <c r="AA230" s="21" t="s">
        <v>27</v>
      </c>
    </row>
    <row r="231">
      <c r="A231" s="20" t="s">
        <v>1113</v>
      </c>
      <c r="B231" s="20" t="s">
        <v>620</v>
      </c>
      <c r="C231" s="21">
        <v>1139.0</v>
      </c>
      <c r="D231" s="22" t="str">
        <f t="shared" si="1"/>
        <v>General</v>
      </c>
      <c r="E231" s="23" t="str">
        <f t="shared" si="2"/>
        <v>Lapsed</v>
      </c>
      <c r="F231" s="24">
        <v>1.0</v>
      </c>
      <c r="G231" s="25">
        <v>45849.0</v>
      </c>
      <c r="H231" s="26">
        <f t="shared" si="9"/>
        <v>46022</v>
      </c>
      <c r="I231" s="21"/>
      <c r="J231" s="28" t="s">
        <v>1114</v>
      </c>
      <c r="K231" s="29" t="s">
        <v>298</v>
      </c>
      <c r="L231" s="30" t="s">
        <v>35</v>
      </c>
      <c r="M231" s="31" t="s">
        <v>299</v>
      </c>
      <c r="N231" s="53" t="s">
        <v>1115</v>
      </c>
      <c r="O231" s="32" t="s">
        <v>1116</v>
      </c>
      <c r="P231" s="58"/>
      <c r="Q231" s="22"/>
      <c r="R231" s="22"/>
      <c r="S231" s="22">
        <v>4.0</v>
      </c>
      <c r="T231" s="22"/>
      <c r="U231" s="22">
        <v>3.0</v>
      </c>
      <c r="V231" s="35">
        <v>45182.0</v>
      </c>
      <c r="W231" s="22"/>
      <c r="X231" s="22" t="s">
        <v>800</v>
      </c>
      <c r="Y231" s="36" t="str">
        <f t="shared" si="22"/>
        <v>renew</v>
      </c>
      <c r="Z231" s="21" t="s">
        <v>27</v>
      </c>
      <c r="AA231" s="21" t="s">
        <v>27</v>
      </c>
    </row>
    <row r="232">
      <c r="A232" s="20" t="s">
        <v>1117</v>
      </c>
      <c r="B232" s="20" t="s">
        <v>1118</v>
      </c>
      <c r="C232" s="21">
        <v>1138.0</v>
      </c>
      <c r="D232" s="22" t="str">
        <f t="shared" si="1"/>
        <v>General</v>
      </c>
      <c r="E232" s="23" t="str">
        <f t="shared" si="2"/>
        <v>Lapsed</v>
      </c>
      <c r="F232" s="24">
        <v>1.0</v>
      </c>
      <c r="G232" s="25">
        <v>45526.0</v>
      </c>
      <c r="H232" s="26">
        <f t="shared" si="9"/>
        <v>45657</v>
      </c>
      <c r="I232" s="27"/>
      <c r="J232" s="28" t="s">
        <v>1119</v>
      </c>
      <c r="K232" s="29" t="s">
        <v>298</v>
      </c>
      <c r="L232" s="30" t="s">
        <v>35</v>
      </c>
      <c r="M232" s="31" t="s">
        <v>299</v>
      </c>
      <c r="N232" s="53" t="s">
        <v>1120</v>
      </c>
      <c r="O232" s="32" t="s">
        <v>1121</v>
      </c>
      <c r="P232" s="58"/>
      <c r="Q232" s="22"/>
      <c r="R232" s="22"/>
      <c r="S232" s="22"/>
      <c r="T232" s="22">
        <v>1.0</v>
      </c>
      <c r="U232" s="22">
        <v>3.0</v>
      </c>
      <c r="V232" s="35">
        <v>45205.0</v>
      </c>
      <c r="W232" s="22"/>
      <c r="X232" s="22" t="s">
        <v>800</v>
      </c>
      <c r="Y232" s="36" t="str">
        <f t="shared" si="22"/>
        <v>renew</v>
      </c>
      <c r="Z232" s="27"/>
      <c r="AA232" s="27" t="s">
        <v>72</v>
      </c>
    </row>
    <row r="233">
      <c r="A233" s="20" t="s">
        <v>1122</v>
      </c>
      <c r="B233" s="20" t="s">
        <v>1123</v>
      </c>
      <c r="C233" s="21">
        <v>1137.0</v>
      </c>
      <c r="D233" s="22" t="str">
        <f t="shared" si="1"/>
        <v>General</v>
      </c>
      <c r="E233" s="23" t="str">
        <f t="shared" si="2"/>
        <v>Lapsed</v>
      </c>
      <c r="F233" s="24">
        <v>1.0</v>
      </c>
      <c r="G233" s="25">
        <v>45390.0</v>
      </c>
      <c r="H233" s="26">
        <f t="shared" si="9"/>
        <v>45657</v>
      </c>
      <c r="I233" s="27"/>
      <c r="J233" s="28" t="s">
        <v>1124</v>
      </c>
      <c r="K233" s="29" t="s">
        <v>866</v>
      </c>
      <c r="L233" s="30" t="s">
        <v>35</v>
      </c>
      <c r="M233" s="31" t="s">
        <v>867</v>
      </c>
      <c r="N233" s="65" t="s">
        <v>1125</v>
      </c>
      <c r="O233" s="57">
        <v>7.202903703E9</v>
      </c>
      <c r="P233" s="58"/>
      <c r="Q233" s="22"/>
      <c r="R233" s="22"/>
      <c r="S233" s="22"/>
      <c r="T233" s="22">
        <v>1.0</v>
      </c>
      <c r="U233" s="22">
        <v>3.0</v>
      </c>
      <c r="V233" s="35">
        <v>45205.0</v>
      </c>
      <c r="W233" s="22"/>
      <c r="X233" s="22" t="s">
        <v>800</v>
      </c>
      <c r="Y233" s="36" t="str">
        <f t="shared" si="22"/>
        <v>renew</v>
      </c>
      <c r="Z233" s="27"/>
      <c r="AA233" s="27" t="s">
        <v>27</v>
      </c>
    </row>
    <row r="234">
      <c r="A234" s="20" t="s">
        <v>1126</v>
      </c>
      <c r="B234" s="20" t="s">
        <v>1127</v>
      </c>
      <c r="C234" s="21">
        <v>1136.0</v>
      </c>
      <c r="D234" s="22" t="str">
        <f t="shared" si="1"/>
        <v>General</v>
      </c>
      <c r="E234" s="23" t="str">
        <f t="shared" si="2"/>
        <v>Lapsed</v>
      </c>
      <c r="F234" s="24">
        <v>1.0</v>
      </c>
      <c r="G234" s="25">
        <v>45407.0</v>
      </c>
      <c r="H234" s="26">
        <f t="shared" si="9"/>
        <v>45657</v>
      </c>
      <c r="I234" s="27"/>
      <c r="J234" s="28" t="s">
        <v>1128</v>
      </c>
      <c r="K234" s="29" t="s">
        <v>42</v>
      </c>
      <c r="L234" s="30" t="s">
        <v>35</v>
      </c>
      <c r="M234" s="31" t="s">
        <v>293</v>
      </c>
      <c r="N234" s="53" t="s">
        <v>1129</v>
      </c>
      <c r="O234" s="32">
        <v>9.702150386E9</v>
      </c>
      <c r="P234" s="58"/>
      <c r="Q234" s="22"/>
      <c r="R234" s="22"/>
      <c r="S234" s="22"/>
      <c r="T234" s="22">
        <v>1.0</v>
      </c>
      <c r="U234" s="22">
        <v>3.0</v>
      </c>
      <c r="V234" s="35">
        <v>45205.0</v>
      </c>
      <c r="W234" s="22"/>
      <c r="X234" s="22" t="s">
        <v>800</v>
      </c>
      <c r="Y234" s="36" t="str">
        <f t="shared" si="22"/>
        <v>renew</v>
      </c>
      <c r="Z234" s="27"/>
      <c r="AA234" s="27" t="s">
        <v>27</v>
      </c>
    </row>
    <row r="235">
      <c r="A235" s="20" t="s">
        <v>1027</v>
      </c>
      <c r="B235" s="20" t="s">
        <v>1130</v>
      </c>
      <c r="C235" s="21">
        <v>1135.0</v>
      </c>
      <c r="D235" s="22" t="str">
        <f t="shared" si="1"/>
        <v>General</v>
      </c>
      <c r="E235" s="23" t="str">
        <f t="shared" si="2"/>
        <v>Lapsed</v>
      </c>
      <c r="F235" s="24">
        <v>1.0</v>
      </c>
      <c r="G235" s="25">
        <v>45205.0</v>
      </c>
      <c r="H235" s="26">
        <f t="shared" si="9"/>
        <v>45291</v>
      </c>
      <c r="I235" s="27"/>
      <c r="J235" s="105"/>
      <c r="K235" s="105"/>
      <c r="L235" s="105"/>
      <c r="M235" s="31"/>
      <c r="N235" s="53"/>
      <c r="O235" s="32"/>
      <c r="P235" s="58"/>
      <c r="Q235" s="22"/>
      <c r="R235" s="22"/>
      <c r="S235" s="22"/>
      <c r="T235" s="22"/>
      <c r="U235" s="22">
        <v>3.0</v>
      </c>
      <c r="V235" s="35">
        <v>45205.0</v>
      </c>
      <c r="W235" s="22"/>
      <c r="X235" s="22" t="s">
        <v>800</v>
      </c>
      <c r="Y235" s="36" t="str">
        <f t="shared" si="22"/>
        <v>renew</v>
      </c>
      <c r="Z235" s="27"/>
      <c r="AA235" s="27" t="s">
        <v>27</v>
      </c>
    </row>
    <row r="236">
      <c r="A236" s="20" t="s">
        <v>1131</v>
      </c>
      <c r="B236" s="20" t="s">
        <v>1132</v>
      </c>
      <c r="C236" s="21">
        <v>1134.0</v>
      </c>
      <c r="D236" s="22" t="str">
        <f t="shared" si="1"/>
        <v>Youth</v>
      </c>
      <c r="E236" s="23" t="str">
        <f t="shared" si="2"/>
        <v>Active</v>
      </c>
      <c r="F236" s="24">
        <v>3.0</v>
      </c>
      <c r="G236" s="25">
        <v>45771.0</v>
      </c>
      <c r="H236" s="26">
        <f t="shared" si="9"/>
        <v>46752</v>
      </c>
      <c r="I236" s="27" t="s">
        <v>27</v>
      </c>
      <c r="J236" s="28" t="s">
        <v>1133</v>
      </c>
      <c r="K236" s="29" t="s">
        <v>68</v>
      </c>
      <c r="L236" s="30" t="s">
        <v>35</v>
      </c>
      <c r="M236" s="31" t="s">
        <v>69</v>
      </c>
      <c r="N236" s="57" t="s">
        <v>1134</v>
      </c>
      <c r="O236" s="32">
        <v>9.709994004E9</v>
      </c>
      <c r="P236" s="58">
        <v>40968.0</v>
      </c>
      <c r="Q236" s="22">
        <f t="shared" ref="Q236:Q237" si="23">datedif(P236,today(),"Y")</f>
        <v>14</v>
      </c>
      <c r="R236" s="22"/>
      <c r="S236" s="22">
        <v>1.0</v>
      </c>
      <c r="T236" s="22"/>
      <c r="U236" s="22">
        <v>3.0</v>
      </c>
      <c r="V236" s="106">
        <v>45203.0</v>
      </c>
      <c r="W236" s="22"/>
      <c r="X236" s="22" t="s">
        <v>800</v>
      </c>
      <c r="Y236" s="36" t="s">
        <v>45</v>
      </c>
      <c r="Z236" s="27" t="s">
        <v>27</v>
      </c>
      <c r="AA236" s="27" t="s">
        <v>27</v>
      </c>
    </row>
    <row r="237">
      <c r="A237" s="20" t="s">
        <v>1135</v>
      </c>
      <c r="B237" s="20" t="s">
        <v>1136</v>
      </c>
      <c r="C237" s="21">
        <v>1133.0</v>
      </c>
      <c r="D237" s="22" t="str">
        <f t="shared" si="1"/>
        <v>Youth</v>
      </c>
      <c r="E237" s="23" t="str">
        <f t="shared" si="2"/>
        <v>Lapsed</v>
      </c>
      <c r="F237" s="24">
        <v>1.0</v>
      </c>
      <c r="G237" s="25">
        <v>45699.0</v>
      </c>
      <c r="H237" s="26">
        <f t="shared" si="9"/>
        <v>46022</v>
      </c>
      <c r="I237" s="21"/>
      <c r="J237" s="28" t="s">
        <v>1137</v>
      </c>
      <c r="K237" s="29" t="s">
        <v>1138</v>
      </c>
      <c r="L237" s="30" t="s">
        <v>35</v>
      </c>
      <c r="M237" s="31" t="s">
        <v>1139</v>
      </c>
      <c r="N237" s="53" t="s">
        <v>1140</v>
      </c>
      <c r="O237" s="32" t="s">
        <v>1141</v>
      </c>
      <c r="P237" s="58">
        <v>40011.0</v>
      </c>
      <c r="Q237" s="22">
        <f t="shared" si="23"/>
        <v>16</v>
      </c>
      <c r="R237" s="85"/>
      <c r="S237" s="22">
        <v>1.0</v>
      </c>
      <c r="T237" s="22">
        <v>1.0</v>
      </c>
      <c r="U237" s="22">
        <v>3.0</v>
      </c>
      <c r="V237" s="106">
        <v>45203.0</v>
      </c>
      <c r="W237" s="22"/>
      <c r="X237" s="22" t="s">
        <v>800</v>
      </c>
      <c r="Y237" s="36" t="str">
        <f t="shared" ref="Y237:Y240" si="24">if(E237="Active","send","renew")</f>
        <v>renew</v>
      </c>
      <c r="Z237" s="27" t="s">
        <v>8</v>
      </c>
      <c r="AA237" s="27" t="s">
        <v>27</v>
      </c>
    </row>
    <row r="238">
      <c r="A238" s="20" t="s">
        <v>1142</v>
      </c>
      <c r="B238" s="20" t="s">
        <v>1143</v>
      </c>
      <c r="C238" s="21">
        <v>1132.0</v>
      </c>
      <c r="D238" s="22" t="str">
        <f t="shared" si="1"/>
        <v>General</v>
      </c>
      <c r="E238" s="23" t="str">
        <f t="shared" si="2"/>
        <v>Lapsed</v>
      </c>
      <c r="F238" s="24">
        <v>1.0</v>
      </c>
      <c r="G238" s="25">
        <v>45200.0</v>
      </c>
      <c r="H238" s="26">
        <f t="shared" si="9"/>
        <v>45291</v>
      </c>
      <c r="I238" s="27"/>
      <c r="J238" s="28" t="s">
        <v>1144</v>
      </c>
      <c r="K238" s="29" t="s">
        <v>1145</v>
      </c>
      <c r="L238" s="30" t="s">
        <v>1146</v>
      </c>
      <c r="M238" s="31" t="s">
        <v>1147</v>
      </c>
      <c r="N238" s="53" t="s">
        <v>1148</v>
      </c>
      <c r="O238" s="32">
        <v>5.035300355E9</v>
      </c>
      <c r="P238" s="58"/>
      <c r="Q238" s="22"/>
      <c r="R238" s="22"/>
      <c r="S238" s="22"/>
      <c r="T238" s="22"/>
      <c r="U238" s="22">
        <v>3.0</v>
      </c>
      <c r="V238" s="106">
        <v>45200.0</v>
      </c>
      <c r="W238" s="22"/>
      <c r="X238" s="22" t="s">
        <v>800</v>
      </c>
      <c r="Y238" s="36" t="str">
        <f t="shared" si="24"/>
        <v>renew</v>
      </c>
      <c r="Z238" s="27"/>
      <c r="AA238" s="27" t="s">
        <v>27</v>
      </c>
    </row>
    <row r="239">
      <c r="A239" s="20" t="s">
        <v>1117</v>
      </c>
      <c r="B239" s="20" t="s">
        <v>909</v>
      </c>
      <c r="C239" s="21">
        <v>1131.0</v>
      </c>
      <c r="D239" s="22" t="str">
        <f t="shared" si="1"/>
        <v>Youth</v>
      </c>
      <c r="E239" s="23" t="str">
        <f t="shared" si="2"/>
        <v>Lapsed</v>
      </c>
      <c r="F239" s="24">
        <v>1.0</v>
      </c>
      <c r="G239" s="25">
        <v>45200.0</v>
      </c>
      <c r="H239" s="26">
        <f t="shared" si="9"/>
        <v>45291</v>
      </c>
      <c r="I239" s="27"/>
      <c r="J239" s="28" t="s">
        <v>1149</v>
      </c>
      <c r="K239" s="29" t="s">
        <v>190</v>
      </c>
      <c r="L239" s="30" t="s">
        <v>35</v>
      </c>
      <c r="M239" s="31" t="s">
        <v>1150</v>
      </c>
      <c r="N239" s="53" t="s">
        <v>1151</v>
      </c>
      <c r="O239" s="32" t="s">
        <v>1152</v>
      </c>
      <c r="P239" s="58">
        <v>39847.0</v>
      </c>
      <c r="Q239" s="22">
        <f>datedif(P239,today(),"Y")</f>
        <v>17</v>
      </c>
      <c r="R239" s="22"/>
      <c r="S239" s="22"/>
      <c r="T239" s="22"/>
      <c r="U239" s="22">
        <v>3.0</v>
      </c>
      <c r="V239" s="106">
        <v>45200.0</v>
      </c>
      <c r="W239" s="22"/>
      <c r="X239" s="22" t="s">
        <v>800</v>
      </c>
      <c r="Y239" s="36" t="str">
        <f t="shared" si="24"/>
        <v>renew</v>
      </c>
      <c r="Z239" s="21"/>
      <c r="AA239" s="21" t="s">
        <v>72</v>
      </c>
    </row>
    <row r="240">
      <c r="A240" s="20" t="s">
        <v>308</v>
      </c>
      <c r="B240" s="20" t="s">
        <v>909</v>
      </c>
      <c r="C240" s="21">
        <v>1130.0</v>
      </c>
      <c r="D240" s="22" t="str">
        <f t="shared" si="1"/>
        <v>General</v>
      </c>
      <c r="E240" s="23" t="str">
        <f t="shared" si="2"/>
        <v>Lapsed</v>
      </c>
      <c r="F240" s="24">
        <v>1.0</v>
      </c>
      <c r="G240" s="25">
        <v>45451.0</v>
      </c>
      <c r="H240" s="26">
        <f t="shared" si="9"/>
        <v>45657</v>
      </c>
      <c r="I240" s="27"/>
      <c r="J240" s="28" t="s">
        <v>1149</v>
      </c>
      <c r="K240" s="29" t="s">
        <v>190</v>
      </c>
      <c r="L240" s="30" t="s">
        <v>35</v>
      </c>
      <c r="M240" s="31" t="s">
        <v>1150</v>
      </c>
      <c r="N240" s="53" t="s">
        <v>1151</v>
      </c>
      <c r="O240" s="32" t="s">
        <v>1152</v>
      </c>
      <c r="P240" s="58"/>
      <c r="Q240" s="22"/>
      <c r="R240" s="22"/>
      <c r="S240" s="22"/>
      <c r="T240" s="22">
        <v>1.0</v>
      </c>
      <c r="U240" s="22">
        <v>3.0</v>
      </c>
      <c r="V240" s="106">
        <v>45200.0</v>
      </c>
      <c r="W240" s="22"/>
      <c r="X240" s="22" t="s">
        <v>800</v>
      </c>
      <c r="Y240" s="36" t="str">
        <f t="shared" si="24"/>
        <v>renew</v>
      </c>
      <c r="Z240" s="21"/>
      <c r="AA240" s="21" t="s">
        <v>27</v>
      </c>
    </row>
    <row r="241">
      <c r="A241" s="20" t="s">
        <v>1153</v>
      </c>
      <c r="B241" s="20" t="s">
        <v>267</v>
      </c>
      <c r="C241" s="21">
        <v>1129.0</v>
      </c>
      <c r="D241" s="22" t="str">
        <f t="shared" si="1"/>
        <v>General</v>
      </c>
      <c r="E241" s="23" t="str">
        <f t="shared" si="2"/>
        <v>Active</v>
      </c>
      <c r="F241" s="24">
        <v>1.0</v>
      </c>
      <c r="G241" s="25">
        <v>46081.0</v>
      </c>
      <c r="H241" s="26">
        <f t="shared" si="9"/>
        <v>46387</v>
      </c>
      <c r="I241" s="21" t="s">
        <v>27</v>
      </c>
      <c r="J241" s="28" t="s">
        <v>1154</v>
      </c>
      <c r="K241" s="29" t="s">
        <v>269</v>
      </c>
      <c r="L241" s="30" t="s">
        <v>270</v>
      </c>
      <c r="M241" s="31" t="s">
        <v>271</v>
      </c>
      <c r="N241" s="53" t="s">
        <v>1155</v>
      </c>
      <c r="O241" s="32">
        <v>6.056454634E9</v>
      </c>
      <c r="P241" s="58"/>
      <c r="Q241" s="22"/>
      <c r="R241" s="22"/>
      <c r="S241" s="22">
        <v>2.0</v>
      </c>
      <c r="T241" s="22"/>
      <c r="U241" s="22">
        <v>3.0</v>
      </c>
      <c r="V241" s="106">
        <v>45200.0</v>
      </c>
      <c r="W241" s="22"/>
      <c r="X241" s="22" t="s">
        <v>800</v>
      </c>
      <c r="Y241" s="36" t="s">
        <v>45</v>
      </c>
      <c r="Z241" s="21" t="s">
        <v>27</v>
      </c>
      <c r="AA241" s="21" t="s">
        <v>27</v>
      </c>
    </row>
    <row r="242">
      <c r="A242" s="20" t="s">
        <v>960</v>
      </c>
      <c r="B242" s="20" t="s">
        <v>1156</v>
      </c>
      <c r="C242" s="21">
        <v>1128.0</v>
      </c>
      <c r="D242" s="22" t="str">
        <f t="shared" si="1"/>
        <v>General</v>
      </c>
      <c r="E242" s="23" t="str">
        <f t="shared" si="2"/>
        <v>Lapsed</v>
      </c>
      <c r="F242" s="24">
        <v>1.0</v>
      </c>
      <c r="G242" s="25">
        <v>45194.0</v>
      </c>
      <c r="H242" s="26">
        <f t="shared" si="9"/>
        <v>45291</v>
      </c>
      <c r="I242" s="21"/>
      <c r="J242" s="29" t="s">
        <v>1157</v>
      </c>
      <c r="K242" s="29" t="s">
        <v>647</v>
      </c>
      <c r="L242" s="30" t="s">
        <v>35</v>
      </c>
      <c r="M242" s="31" t="s">
        <v>1062</v>
      </c>
      <c r="N242" s="53" t="s">
        <v>1158</v>
      </c>
      <c r="O242" s="32" t="s">
        <v>1159</v>
      </c>
      <c r="P242" s="58"/>
      <c r="Q242" s="22"/>
      <c r="R242" s="22"/>
      <c r="S242" s="22"/>
      <c r="T242" s="22"/>
      <c r="U242" s="22">
        <v>3.0</v>
      </c>
      <c r="V242" s="107">
        <v>45194.0</v>
      </c>
      <c r="W242" s="22"/>
      <c r="X242" s="22" t="s">
        <v>800</v>
      </c>
      <c r="Y242" s="36" t="str">
        <f t="shared" ref="Y242:Y248" si="25">if(E242="Active","send","renew")</f>
        <v>renew</v>
      </c>
      <c r="Z242" s="21"/>
      <c r="AA242" s="21" t="s">
        <v>27</v>
      </c>
    </row>
    <row r="243">
      <c r="A243" s="20" t="s">
        <v>1160</v>
      </c>
      <c r="B243" s="20" t="s">
        <v>1161</v>
      </c>
      <c r="C243" s="21">
        <v>1127.0</v>
      </c>
      <c r="D243" s="22" t="str">
        <f t="shared" si="1"/>
        <v>General</v>
      </c>
      <c r="E243" s="23" t="str">
        <f t="shared" si="2"/>
        <v>Lapsed</v>
      </c>
      <c r="F243" s="24">
        <v>1.0</v>
      </c>
      <c r="G243" s="25">
        <v>45188.0</v>
      </c>
      <c r="H243" s="26">
        <f t="shared" si="9"/>
        <v>45291</v>
      </c>
      <c r="I243" s="27"/>
      <c r="J243" s="28" t="s">
        <v>1162</v>
      </c>
      <c r="K243" s="29" t="s">
        <v>911</v>
      </c>
      <c r="L243" s="30" t="s">
        <v>35</v>
      </c>
      <c r="M243" s="31" t="s">
        <v>912</v>
      </c>
      <c r="N243" s="53" t="s">
        <v>1163</v>
      </c>
      <c r="O243" s="32">
        <v>3.03519954E9</v>
      </c>
      <c r="P243" s="58"/>
      <c r="Q243" s="22"/>
      <c r="R243" s="22"/>
      <c r="S243" s="22"/>
      <c r="T243" s="22"/>
      <c r="U243" s="22">
        <v>3.0</v>
      </c>
      <c r="V243" s="106">
        <v>45188.0</v>
      </c>
      <c r="W243" s="22"/>
      <c r="X243" s="22" t="s">
        <v>800</v>
      </c>
      <c r="Y243" s="36" t="str">
        <f t="shared" si="25"/>
        <v>renew</v>
      </c>
      <c r="Z243" s="21"/>
      <c r="AA243" s="21" t="s">
        <v>27</v>
      </c>
    </row>
    <row r="244">
      <c r="A244" s="20" t="s">
        <v>1164</v>
      </c>
      <c r="B244" s="20" t="s">
        <v>1165</v>
      </c>
      <c r="C244" s="21">
        <v>1126.0</v>
      </c>
      <c r="D244" s="22" t="str">
        <f t="shared" si="1"/>
        <v>General</v>
      </c>
      <c r="E244" s="23" t="str">
        <f t="shared" si="2"/>
        <v>Lapsed</v>
      </c>
      <c r="F244" s="24">
        <v>1.0</v>
      </c>
      <c r="G244" s="25">
        <v>45187.0</v>
      </c>
      <c r="H244" s="26">
        <f t="shared" si="9"/>
        <v>45291</v>
      </c>
      <c r="I244" s="27"/>
      <c r="J244" s="28" t="s">
        <v>1166</v>
      </c>
      <c r="K244" s="29" t="s">
        <v>1167</v>
      </c>
      <c r="L244" s="30" t="s">
        <v>35</v>
      </c>
      <c r="M244" s="31" t="s">
        <v>1168</v>
      </c>
      <c r="N244" s="53" t="s">
        <v>1169</v>
      </c>
      <c r="O244" s="32">
        <v>3.03349881E9</v>
      </c>
      <c r="P244" s="58"/>
      <c r="Q244" s="22"/>
      <c r="R244" s="22"/>
      <c r="S244" s="22"/>
      <c r="T244" s="22"/>
      <c r="U244" s="22">
        <v>3.0</v>
      </c>
      <c r="V244" s="106">
        <v>45187.0</v>
      </c>
      <c r="W244" s="22"/>
      <c r="X244" s="22" t="s">
        <v>800</v>
      </c>
      <c r="Y244" s="36" t="str">
        <f t="shared" si="25"/>
        <v>renew</v>
      </c>
      <c r="Z244" s="21"/>
      <c r="AA244" s="21" t="s">
        <v>27</v>
      </c>
    </row>
    <row r="245">
      <c r="A245" s="20" t="s">
        <v>1170</v>
      </c>
      <c r="B245" s="20" t="s">
        <v>1171</v>
      </c>
      <c r="C245" s="21">
        <v>1125.0</v>
      </c>
      <c r="D245" s="22" t="str">
        <f t="shared" si="1"/>
        <v>General</v>
      </c>
      <c r="E245" s="23" t="str">
        <f t="shared" si="2"/>
        <v>Lapsed</v>
      </c>
      <c r="F245" s="108">
        <v>3.0</v>
      </c>
      <c r="G245" s="25">
        <v>45181.0</v>
      </c>
      <c r="H245" s="26">
        <f t="shared" si="9"/>
        <v>46022</v>
      </c>
      <c r="I245" s="27"/>
      <c r="J245" s="28" t="s">
        <v>1172</v>
      </c>
      <c r="K245" s="29" t="s">
        <v>164</v>
      </c>
      <c r="L245" s="30" t="s">
        <v>35</v>
      </c>
      <c r="M245" s="31" t="s">
        <v>165</v>
      </c>
      <c r="N245" s="53" t="s">
        <v>1173</v>
      </c>
      <c r="O245" s="32">
        <v>7.207088379E9</v>
      </c>
      <c r="P245" s="58"/>
      <c r="Q245" s="22"/>
      <c r="R245" s="22"/>
      <c r="S245" s="22">
        <v>1.0</v>
      </c>
      <c r="T245" s="22">
        <v>1.0</v>
      </c>
      <c r="U245" s="22">
        <v>3.0</v>
      </c>
      <c r="V245" s="106">
        <v>45181.0</v>
      </c>
      <c r="W245" s="22"/>
      <c r="X245" s="22" t="s">
        <v>800</v>
      </c>
      <c r="Y245" s="36" t="str">
        <f t="shared" si="25"/>
        <v>renew</v>
      </c>
      <c r="Z245" s="21" t="s">
        <v>27</v>
      </c>
      <c r="AA245" s="21" t="s">
        <v>27</v>
      </c>
    </row>
    <row r="246">
      <c r="A246" s="20" t="s">
        <v>802</v>
      </c>
      <c r="B246" s="20" t="s">
        <v>1174</v>
      </c>
      <c r="C246" s="21">
        <v>1124.0</v>
      </c>
      <c r="D246" s="22" t="str">
        <f t="shared" si="1"/>
        <v>General</v>
      </c>
      <c r="E246" s="23" t="str">
        <f t="shared" si="2"/>
        <v>Lapsed</v>
      </c>
      <c r="F246" s="24">
        <v>1.0</v>
      </c>
      <c r="G246" s="25">
        <v>45523.0</v>
      </c>
      <c r="H246" s="26">
        <f t="shared" si="9"/>
        <v>45657</v>
      </c>
      <c r="I246" s="27"/>
      <c r="J246" s="28" t="s">
        <v>1175</v>
      </c>
      <c r="K246" s="29" t="s">
        <v>600</v>
      </c>
      <c r="L246" s="30" t="s">
        <v>35</v>
      </c>
      <c r="M246" s="31" t="s">
        <v>601</v>
      </c>
      <c r="N246" s="53" t="s">
        <v>1176</v>
      </c>
      <c r="O246" s="32">
        <v>9.702279944E9</v>
      </c>
      <c r="P246" s="58"/>
      <c r="Q246" s="22"/>
      <c r="R246" s="22"/>
      <c r="S246" s="22"/>
      <c r="T246" s="22">
        <v>1.0</v>
      </c>
      <c r="U246" s="22">
        <v>3.0</v>
      </c>
      <c r="V246" s="35">
        <v>45180.0</v>
      </c>
      <c r="W246" s="22"/>
      <c r="X246" s="22" t="s">
        <v>800</v>
      </c>
      <c r="Y246" s="36" t="str">
        <f t="shared" si="25"/>
        <v>renew</v>
      </c>
      <c r="Z246" s="21"/>
      <c r="AA246" s="21" t="s">
        <v>72</v>
      </c>
    </row>
    <row r="247">
      <c r="A247" s="20" t="s">
        <v>630</v>
      </c>
      <c r="B247" s="20" t="s">
        <v>1177</v>
      </c>
      <c r="C247" s="21">
        <v>1123.0</v>
      </c>
      <c r="D247" s="22" t="str">
        <f t="shared" si="1"/>
        <v>General</v>
      </c>
      <c r="E247" s="23" t="str">
        <f t="shared" si="2"/>
        <v>Lapsed</v>
      </c>
      <c r="F247" s="24">
        <v>1.0</v>
      </c>
      <c r="G247" s="25">
        <v>45140.0</v>
      </c>
      <c r="H247" s="26">
        <f t="shared" si="9"/>
        <v>45291</v>
      </c>
      <c r="I247" s="27"/>
      <c r="J247" s="28" t="s">
        <v>1178</v>
      </c>
      <c r="K247" s="29" t="s">
        <v>898</v>
      </c>
      <c r="L247" s="30" t="s">
        <v>35</v>
      </c>
      <c r="M247" s="31" t="s">
        <v>1179</v>
      </c>
      <c r="N247" s="53" t="s">
        <v>1180</v>
      </c>
      <c r="O247" s="32">
        <v>9.70396727E9</v>
      </c>
      <c r="P247" s="58"/>
      <c r="Q247" s="22"/>
      <c r="R247" s="22"/>
      <c r="S247" s="22"/>
      <c r="T247" s="22"/>
      <c r="U247" s="22">
        <v>3.0</v>
      </c>
      <c r="V247" s="35">
        <v>45140.0</v>
      </c>
      <c r="W247" s="22"/>
      <c r="X247" s="22" t="s">
        <v>800</v>
      </c>
      <c r="Y247" s="36" t="str">
        <f t="shared" si="25"/>
        <v>renew</v>
      </c>
      <c r="Z247" s="21"/>
      <c r="AA247" s="21" t="s">
        <v>27</v>
      </c>
    </row>
    <row r="248">
      <c r="A248" s="20" t="s">
        <v>1181</v>
      </c>
      <c r="B248" s="20" t="s">
        <v>1182</v>
      </c>
      <c r="C248" s="21">
        <v>1122.0</v>
      </c>
      <c r="D248" s="22" t="str">
        <f t="shared" si="1"/>
        <v>General</v>
      </c>
      <c r="E248" s="23" t="str">
        <f t="shared" si="2"/>
        <v>Lapsed</v>
      </c>
      <c r="F248" s="24">
        <v>1.0</v>
      </c>
      <c r="G248" s="25">
        <v>45173.0</v>
      </c>
      <c r="H248" s="26">
        <f t="shared" si="9"/>
        <v>45291</v>
      </c>
      <c r="I248" s="27"/>
      <c r="J248" s="28" t="s">
        <v>1183</v>
      </c>
      <c r="K248" s="29" t="s">
        <v>761</v>
      </c>
      <c r="L248" s="30" t="s">
        <v>35</v>
      </c>
      <c r="M248" s="31" t="s">
        <v>1184</v>
      </c>
      <c r="N248" s="53" t="s">
        <v>1185</v>
      </c>
      <c r="O248" s="32">
        <v>2.067195537E9</v>
      </c>
      <c r="P248" s="58"/>
      <c r="Q248" s="22"/>
      <c r="R248" s="56" t="s">
        <v>1186</v>
      </c>
      <c r="S248" s="22"/>
      <c r="T248" s="22"/>
      <c r="U248" s="22">
        <v>3.0</v>
      </c>
      <c r="V248" s="35">
        <v>45173.0</v>
      </c>
      <c r="W248" s="22"/>
      <c r="X248" s="22" t="s">
        <v>800</v>
      </c>
      <c r="Y248" s="36" t="str">
        <f t="shared" si="25"/>
        <v>renew</v>
      </c>
      <c r="Z248" s="21"/>
      <c r="AA248" s="21" t="s">
        <v>27</v>
      </c>
    </row>
    <row r="249">
      <c r="A249" s="20" t="s">
        <v>578</v>
      </c>
      <c r="B249" s="20" t="s">
        <v>1187</v>
      </c>
      <c r="C249" s="21">
        <v>1121.0</v>
      </c>
      <c r="D249" s="22" t="str">
        <f t="shared" si="1"/>
        <v>General</v>
      </c>
      <c r="E249" s="23" t="str">
        <f t="shared" si="2"/>
        <v>Active</v>
      </c>
      <c r="F249" s="24">
        <v>3.0</v>
      </c>
      <c r="G249" s="25">
        <v>45500.0</v>
      </c>
      <c r="H249" s="26">
        <f t="shared" si="9"/>
        <v>46387</v>
      </c>
      <c r="I249" s="27" t="s">
        <v>8</v>
      </c>
      <c r="J249" s="28" t="s">
        <v>791</v>
      </c>
      <c r="K249" s="29" t="s">
        <v>792</v>
      </c>
      <c r="L249" s="30" t="s">
        <v>35</v>
      </c>
      <c r="M249" s="31" t="s">
        <v>793</v>
      </c>
      <c r="N249" s="53" t="s">
        <v>794</v>
      </c>
      <c r="O249" s="32">
        <v>7.195688667E9</v>
      </c>
      <c r="P249" s="58"/>
      <c r="Q249" s="22"/>
      <c r="R249" s="22"/>
      <c r="S249" s="22">
        <v>1.0</v>
      </c>
      <c r="T249" s="22">
        <v>1.0</v>
      </c>
      <c r="U249" s="22">
        <v>3.0</v>
      </c>
      <c r="V249" s="35">
        <v>45173.0</v>
      </c>
      <c r="W249" s="22"/>
      <c r="X249" s="22" t="s">
        <v>800</v>
      </c>
      <c r="Y249" s="36" t="s">
        <v>45</v>
      </c>
      <c r="Z249" s="21" t="s">
        <v>8</v>
      </c>
      <c r="AA249" s="21" t="s">
        <v>72</v>
      </c>
    </row>
    <row r="250">
      <c r="A250" s="20" t="s">
        <v>1188</v>
      </c>
      <c r="B250" s="20" t="s">
        <v>1189</v>
      </c>
      <c r="C250" s="21">
        <v>1120.0</v>
      </c>
      <c r="D250" s="22" t="str">
        <f t="shared" si="1"/>
        <v>General</v>
      </c>
      <c r="E250" s="23" t="str">
        <f t="shared" si="2"/>
        <v>Lapsed</v>
      </c>
      <c r="F250" s="24">
        <v>1.0</v>
      </c>
      <c r="G250" s="25">
        <v>45121.0</v>
      </c>
      <c r="H250" s="26">
        <f t="shared" si="9"/>
        <v>45291</v>
      </c>
      <c r="I250" s="27"/>
      <c r="J250" s="28" t="s">
        <v>1190</v>
      </c>
      <c r="K250" s="29" t="s">
        <v>56</v>
      </c>
      <c r="L250" s="30" t="s">
        <v>57</v>
      </c>
      <c r="M250" s="31" t="s">
        <v>63</v>
      </c>
      <c r="N250" s="53" t="s">
        <v>1191</v>
      </c>
      <c r="O250" s="32">
        <v>3.07369856E9</v>
      </c>
      <c r="P250" s="58">
        <v>39003.0</v>
      </c>
      <c r="Q250" s="22">
        <f t="shared" ref="Q250:Q252" si="26">datedif(P250,today(),"Y")</f>
        <v>19</v>
      </c>
      <c r="R250" s="22"/>
      <c r="S250" s="22"/>
      <c r="T250" s="22"/>
      <c r="U250" s="22">
        <v>3.0</v>
      </c>
      <c r="V250" s="35">
        <v>45121.0</v>
      </c>
      <c r="W250" s="22"/>
      <c r="X250" s="22" t="s">
        <v>800</v>
      </c>
      <c r="Y250" s="36" t="str">
        <f t="shared" ref="Y250:Y285" si="27">if(E250="Active","send","renew")</f>
        <v>renew</v>
      </c>
      <c r="Z250" s="21"/>
      <c r="AA250" s="21" t="s">
        <v>27</v>
      </c>
    </row>
    <row r="251">
      <c r="A251" s="20" t="s">
        <v>1192</v>
      </c>
      <c r="B251" s="20" t="s">
        <v>1193</v>
      </c>
      <c r="C251" s="21">
        <v>1119.0</v>
      </c>
      <c r="D251" s="22" t="str">
        <f t="shared" si="1"/>
        <v>Youth</v>
      </c>
      <c r="E251" s="23" t="str">
        <f t="shared" si="2"/>
        <v>Lapsed</v>
      </c>
      <c r="F251" s="24">
        <v>1.0</v>
      </c>
      <c r="G251" s="25">
        <v>45933.0</v>
      </c>
      <c r="H251" s="26">
        <f t="shared" si="9"/>
        <v>46022</v>
      </c>
      <c r="I251" s="27"/>
      <c r="J251" s="28" t="s">
        <v>1194</v>
      </c>
      <c r="K251" s="29" t="s">
        <v>276</v>
      </c>
      <c r="L251" s="30" t="s">
        <v>35</v>
      </c>
      <c r="M251" s="31" t="s">
        <v>277</v>
      </c>
      <c r="N251" s="53" t="s">
        <v>1195</v>
      </c>
      <c r="O251" s="32">
        <v>7.207451088E9</v>
      </c>
      <c r="P251" s="58">
        <v>40635.0</v>
      </c>
      <c r="Q251" s="22">
        <f t="shared" si="26"/>
        <v>15</v>
      </c>
      <c r="R251" s="22"/>
      <c r="S251" s="22">
        <v>5.0</v>
      </c>
      <c r="T251" s="22">
        <v>2.0</v>
      </c>
      <c r="U251" s="22">
        <v>3.0</v>
      </c>
      <c r="V251" s="35">
        <v>45122.0</v>
      </c>
      <c r="W251" s="22"/>
      <c r="X251" s="22" t="s">
        <v>800</v>
      </c>
      <c r="Y251" s="36" t="str">
        <f t="shared" si="27"/>
        <v>renew</v>
      </c>
      <c r="Z251" s="21"/>
      <c r="AA251" s="21" t="s">
        <v>27</v>
      </c>
    </row>
    <row r="252">
      <c r="A252" s="20" t="s">
        <v>1196</v>
      </c>
      <c r="B252" s="20" t="s">
        <v>1197</v>
      </c>
      <c r="C252" s="21">
        <v>1118.0</v>
      </c>
      <c r="D252" s="22" t="str">
        <f t="shared" si="1"/>
        <v>Youth</v>
      </c>
      <c r="E252" s="23" t="str">
        <f t="shared" si="2"/>
        <v>Lapsed</v>
      </c>
      <c r="F252" s="24">
        <v>1.0</v>
      </c>
      <c r="G252" s="25">
        <v>45451.0</v>
      </c>
      <c r="H252" s="26">
        <f t="shared" si="9"/>
        <v>45657</v>
      </c>
      <c r="I252" s="27"/>
      <c r="J252" s="28" t="s">
        <v>1198</v>
      </c>
      <c r="K252" s="29" t="s">
        <v>190</v>
      </c>
      <c r="L252" s="30" t="s">
        <v>35</v>
      </c>
      <c r="M252" s="31" t="s">
        <v>191</v>
      </c>
      <c r="N252" s="53" t="s">
        <v>1199</v>
      </c>
      <c r="O252" s="32">
        <v>9.70415071E9</v>
      </c>
      <c r="P252" s="58">
        <v>39995.0</v>
      </c>
      <c r="Q252" s="22">
        <f t="shared" si="26"/>
        <v>16</v>
      </c>
      <c r="R252" s="22"/>
      <c r="S252" s="22"/>
      <c r="T252" s="22">
        <v>1.0</v>
      </c>
      <c r="U252" s="22">
        <v>3.0</v>
      </c>
      <c r="V252" s="35">
        <v>45123.0</v>
      </c>
      <c r="W252" s="22"/>
      <c r="X252" s="22" t="s">
        <v>800</v>
      </c>
      <c r="Y252" s="36" t="str">
        <f t="shared" si="27"/>
        <v>renew</v>
      </c>
      <c r="Z252" s="21"/>
      <c r="AA252" s="21" t="s">
        <v>27</v>
      </c>
    </row>
    <row r="253">
      <c r="A253" s="20" t="s">
        <v>1200</v>
      </c>
      <c r="B253" s="20" t="s">
        <v>1201</v>
      </c>
      <c r="C253" s="21">
        <v>1117.0</v>
      </c>
      <c r="D253" s="22" t="str">
        <f t="shared" si="1"/>
        <v>General</v>
      </c>
      <c r="E253" s="23" t="str">
        <f t="shared" si="2"/>
        <v>Lapsed</v>
      </c>
      <c r="F253" s="24">
        <v>1.0</v>
      </c>
      <c r="G253" s="25">
        <v>45150.0</v>
      </c>
      <c r="H253" s="26">
        <f t="shared" si="9"/>
        <v>45291</v>
      </c>
      <c r="I253" s="27"/>
      <c r="J253" s="28" t="s">
        <v>1202</v>
      </c>
      <c r="K253" s="29" t="s">
        <v>1203</v>
      </c>
      <c r="L253" s="30" t="s">
        <v>35</v>
      </c>
      <c r="M253" s="31" t="s">
        <v>1204</v>
      </c>
      <c r="N253" s="53" t="s">
        <v>1205</v>
      </c>
      <c r="O253" s="32" t="s">
        <v>1206</v>
      </c>
      <c r="P253" s="58"/>
      <c r="Q253" s="22"/>
      <c r="R253" s="22"/>
      <c r="S253" s="22"/>
      <c r="T253" s="22"/>
      <c r="U253" s="22">
        <v>3.0</v>
      </c>
      <c r="V253" s="35">
        <v>45150.0</v>
      </c>
      <c r="W253" s="22"/>
      <c r="X253" s="22" t="s">
        <v>800</v>
      </c>
      <c r="Y253" s="36" t="str">
        <f t="shared" si="27"/>
        <v>renew</v>
      </c>
      <c r="Z253" s="21"/>
      <c r="AA253" s="21" t="s">
        <v>27</v>
      </c>
    </row>
    <row r="254">
      <c r="A254" s="20" t="s">
        <v>1207</v>
      </c>
      <c r="B254" s="20" t="s">
        <v>1208</v>
      </c>
      <c r="C254" s="21">
        <v>1116.0</v>
      </c>
      <c r="D254" s="22" t="str">
        <f t="shared" si="1"/>
        <v>Youth</v>
      </c>
      <c r="E254" s="23" t="str">
        <f t="shared" si="2"/>
        <v>Lapsed</v>
      </c>
      <c r="F254" s="24">
        <v>1.0</v>
      </c>
      <c r="G254" s="25">
        <v>45756.0</v>
      </c>
      <c r="H254" s="26">
        <f t="shared" si="9"/>
        <v>46022</v>
      </c>
      <c r="I254" s="27"/>
      <c r="J254" s="28" t="s">
        <v>1209</v>
      </c>
      <c r="K254" s="29" t="s">
        <v>190</v>
      </c>
      <c r="L254" s="30" t="s">
        <v>35</v>
      </c>
      <c r="M254" s="31" t="s">
        <v>311</v>
      </c>
      <c r="N254" s="53" t="s">
        <v>1210</v>
      </c>
      <c r="O254" s="32" t="s">
        <v>1211</v>
      </c>
      <c r="P254" s="58">
        <v>39391.0</v>
      </c>
      <c r="Q254" s="22">
        <f>datedif(P254,today(),"Y")</f>
        <v>18</v>
      </c>
      <c r="R254" s="22"/>
      <c r="S254" s="22">
        <v>1.0</v>
      </c>
      <c r="T254" s="22">
        <v>1.0</v>
      </c>
      <c r="U254" s="22">
        <v>3.0</v>
      </c>
      <c r="V254" s="35">
        <v>45150.0</v>
      </c>
      <c r="W254" s="22"/>
      <c r="X254" s="22" t="s">
        <v>800</v>
      </c>
      <c r="Y254" s="36" t="str">
        <f t="shared" si="27"/>
        <v>renew</v>
      </c>
      <c r="Z254" s="21" t="s">
        <v>8</v>
      </c>
      <c r="AA254" s="21" t="s">
        <v>8</v>
      </c>
    </row>
    <row r="255">
      <c r="A255" s="20" t="s">
        <v>1212</v>
      </c>
      <c r="B255" s="20" t="s">
        <v>1213</v>
      </c>
      <c r="C255" s="21">
        <v>1115.0</v>
      </c>
      <c r="D255" s="22" t="str">
        <f t="shared" si="1"/>
        <v>General</v>
      </c>
      <c r="E255" s="23" t="str">
        <f t="shared" si="2"/>
        <v>Lapsed</v>
      </c>
      <c r="F255" s="24">
        <v>1.0</v>
      </c>
      <c r="G255" s="25">
        <v>45933.0</v>
      </c>
      <c r="H255" s="26">
        <f t="shared" si="9"/>
        <v>46022</v>
      </c>
      <c r="I255" s="27"/>
      <c r="J255" s="28" t="s">
        <v>67</v>
      </c>
      <c r="K255" s="29" t="s">
        <v>68</v>
      </c>
      <c r="L255" s="30" t="s">
        <v>35</v>
      </c>
      <c r="M255" s="31" t="s">
        <v>69</v>
      </c>
      <c r="N255" s="53" t="s">
        <v>1214</v>
      </c>
      <c r="O255" s="32" t="s">
        <v>71</v>
      </c>
      <c r="P255" s="58"/>
      <c r="Q255" s="22"/>
      <c r="R255" s="22"/>
      <c r="S255" s="22">
        <v>5.0</v>
      </c>
      <c r="T255" s="22"/>
      <c r="U255" s="22">
        <v>3.0</v>
      </c>
      <c r="V255" s="35">
        <v>45205.0</v>
      </c>
      <c r="W255" s="22"/>
      <c r="X255" s="22" t="s">
        <v>800</v>
      </c>
      <c r="Y255" s="36" t="str">
        <f t="shared" si="27"/>
        <v>renew</v>
      </c>
      <c r="Z255" s="27"/>
      <c r="AA255" s="27" t="s">
        <v>671</v>
      </c>
    </row>
    <row r="256">
      <c r="A256" s="20" t="s">
        <v>1215</v>
      </c>
      <c r="B256" s="20" t="s">
        <v>1216</v>
      </c>
      <c r="C256" s="21">
        <v>1114.0</v>
      </c>
      <c r="D256" s="22" t="str">
        <f t="shared" si="1"/>
        <v>Youth</v>
      </c>
      <c r="E256" s="23" t="str">
        <f t="shared" si="2"/>
        <v>Lapsed</v>
      </c>
      <c r="F256" s="24">
        <v>1.0</v>
      </c>
      <c r="G256" s="25">
        <v>45514.0</v>
      </c>
      <c r="H256" s="26">
        <f t="shared" si="9"/>
        <v>45657</v>
      </c>
      <c r="I256" s="27"/>
      <c r="J256" s="28" t="s">
        <v>1217</v>
      </c>
      <c r="K256" s="29" t="s">
        <v>1218</v>
      </c>
      <c r="L256" s="30" t="s">
        <v>35</v>
      </c>
      <c r="M256" s="31" t="s">
        <v>641</v>
      </c>
      <c r="N256" s="53" t="s">
        <v>1219</v>
      </c>
      <c r="O256" s="32" t="s">
        <v>1220</v>
      </c>
      <c r="P256" s="58">
        <v>39765.0</v>
      </c>
      <c r="Q256" s="22">
        <f>datedif(P256,today(),"Y")</f>
        <v>17</v>
      </c>
      <c r="R256" s="22"/>
      <c r="S256" s="22"/>
      <c r="T256" s="22">
        <v>2.0</v>
      </c>
      <c r="U256" s="22">
        <v>3.0</v>
      </c>
      <c r="V256" s="35">
        <v>45150.0</v>
      </c>
      <c r="W256" s="22"/>
      <c r="X256" s="22" t="s">
        <v>800</v>
      </c>
      <c r="Y256" s="36" t="str">
        <f t="shared" si="27"/>
        <v>renew</v>
      </c>
      <c r="Z256" s="21"/>
      <c r="AA256" s="21" t="s">
        <v>8</v>
      </c>
    </row>
    <row r="257">
      <c r="A257" s="20" t="s">
        <v>1221</v>
      </c>
      <c r="B257" s="20" t="s">
        <v>1177</v>
      </c>
      <c r="C257" s="21">
        <v>1113.0</v>
      </c>
      <c r="D257" s="22" t="str">
        <f t="shared" si="1"/>
        <v>General</v>
      </c>
      <c r="E257" s="23" t="str">
        <f t="shared" si="2"/>
        <v>Lapsed</v>
      </c>
      <c r="F257" s="24">
        <v>1.0</v>
      </c>
      <c r="G257" s="25">
        <v>45150.0</v>
      </c>
      <c r="H257" s="26">
        <f t="shared" si="9"/>
        <v>45291</v>
      </c>
      <c r="I257" s="27"/>
      <c r="J257" s="28" t="s">
        <v>1178</v>
      </c>
      <c r="K257" s="29" t="s">
        <v>898</v>
      </c>
      <c r="L257" s="30" t="s">
        <v>35</v>
      </c>
      <c r="M257" s="31" t="s">
        <v>1179</v>
      </c>
      <c r="N257" s="53" t="s">
        <v>1180</v>
      </c>
      <c r="O257" s="32" t="s">
        <v>1222</v>
      </c>
      <c r="P257" s="58"/>
      <c r="Q257" s="22"/>
      <c r="R257" s="22"/>
      <c r="S257" s="22"/>
      <c r="T257" s="22"/>
      <c r="U257" s="22">
        <v>3.0</v>
      </c>
      <c r="V257" s="35">
        <v>45150.0</v>
      </c>
      <c r="W257" s="22"/>
      <c r="X257" s="22" t="s">
        <v>800</v>
      </c>
      <c r="Y257" s="36" t="str">
        <f t="shared" si="27"/>
        <v>renew</v>
      </c>
      <c r="Z257" s="21"/>
      <c r="AA257" s="21" t="s">
        <v>8</v>
      </c>
    </row>
    <row r="258">
      <c r="A258" s="20" t="s">
        <v>450</v>
      </c>
      <c r="B258" s="20" t="s">
        <v>1011</v>
      </c>
      <c r="C258" s="21">
        <v>1112.0</v>
      </c>
      <c r="D258" s="22" t="str">
        <f t="shared" si="1"/>
        <v>General</v>
      </c>
      <c r="E258" s="23" t="str">
        <f t="shared" si="2"/>
        <v>Lapsed</v>
      </c>
      <c r="F258" s="24">
        <v>1.0</v>
      </c>
      <c r="G258" s="25">
        <v>45150.0</v>
      </c>
      <c r="H258" s="26">
        <f t="shared" si="9"/>
        <v>45291</v>
      </c>
      <c r="I258" s="27"/>
      <c r="J258" s="28" t="s">
        <v>1223</v>
      </c>
      <c r="K258" s="29" t="s">
        <v>157</v>
      </c>
      <c r="L258" s="30" t="s">
        <v>35</v>
      </c>
      <c r="M258" s="31" t="s">
        <v>158</v>
      </c>
      <c r="N258" s="53" t="s">
        <v>1224</v>
      </c>
      <c r="O258" s="32">
        <v>9.04508739E9</v>
      </c>
      <c r="P258" s="109"/>
      <c r="Q258" s="22"/>
      <c r="R258" s="110" t="s">
        <v>1225</v>
      </c>
      <c r="S258" s="22"/>
      <c r="T258" s="22"/>
      <c r="U258" s="22">
        <v>2.0</v>
      </c>
      <c r="V258" s="35">
        <v>45150.0</v>
      </c>
      <c r="W258" s="22"/>
      <c r="X258" s="22" t="s">
        <v>800</v>
      </c>
      <c r="Y258" s="36" t="str">
        <f t="shared" si="27"/>
        <v>renew</v>
      </c>
      <c r="Z258" s="21"/>
      <c r="AA258" s="21" t="s">
        <v>27</v>
      </c>
    </row>
    <row r="259">
      <c r="A259" s="20" t="s">
        <v>1226</v>
      </c>
      <c r="B259" s="20" t="s">
        <v>1227</v>
      </c>
      <c r="C259" s="21">
        <v>1111.0</v>
      </c>
      <c r="D259" s="22" t="str">
        <f t="shared" si="1"/>
        <v>General</v>
      </c>
      <c r="E259" s="23" t="str">
        <f t="shared" si="2"/>
        <v>Lapsed</v>
      </c>
      <c r="F259" s="24">
        <v>1.0</v>
      </c>
      <c r="G259" s="25">
        <v>45149.0</v>
      </c>
      <c r="H259" s="26">
        <f t="shared" si="9"/>
        <v>45291</v>
      </c>
      <c r="I259" s="27"/>
      <c r="J259" s="28" t="s">
        <v>1228</v>
      </c>
      <c r="K259" s="29" t="s">
        <v>56</v>
      </c>
      <c r="L259" s="30" t="s">
        <v>57</v>
      </c>
      <c r="M259" s="31" t="s">
        <v>804</v>
      </c>
      <c r="N259" s="53" t="s">
        <v>1229</v>
      </c>
      <c r="O259" s="32"/>
      <c r="P259" s="58"/>
      <c r="Q259" s="22"/>
      <c r="R259" s="22"/>
      <c r="S259" s="22"/>
      <c r="T259" s="22"/>
      <c r="U259" s="22">
        <v>2.0</v>
      </c>
      <c r="V259" s="35">
        <v>45149.0</v>
      </c>
      <c r="W259" s="22"/>
      <c r="X259" s="22" t="s">
        <v>800</v>
      </c>
      <c r="Y259" s="36" t="str">
        <f t="shared" si="27"/>
        <v>renew</v>
      </c>
      <c r="Z259" s="21"/>
      <c r="AA259" s="21" t="s">
        <v>27</v>
      </c>
    </row>
    <row r="260">
      <c r="A260" s="20" t="s">
        <v>1230</v>
      </c>
      <c r="B260" s="20" t="s">
        <v>1231</v>
      </c>
      <c r="C260" s="21">
        <v>1110.0</v>
      </c>
      <c r="D260" s="22" t="str">
        <f t="shared" si="1"/>
        <v>General</v>
      </c>
      <c r="E260" s="23" t="str">
        <f t="shared" si="2"/>
        <v>Lapsed</v>
      </c>
      <c r="F260" s="24">
        <v>1.0</v>
      </c>
      <c r="G260" s="25">
        <v>45515.0</v>
      </c>
      <c r="H260" s="26">
        <f t="shared" si="9"/>
        <v>45657</v>
      </c>
      <c r="I260" s="27"/>
      <c r="J260" s="28" t="s">
        <v>1232</v>
      </c>
      <c r="K260" s="29" t="s">
        <v>1233</v>
      </c>
      <c r="L260" s="30" t="s">
        <v>35</v>
      </c>
      <c r="M260" s="31" t="s">
        <v>1234</v>
      </c>
      <c r="N260" s="57" t="s">
        <v>1235</v>
      </c>
      <c r="O260" s="32">
        <v>9.703979696E9</v>
      </c>
      <c r="P260" s="58"/>
      <c r="Q260" s="22"/>
      <c r="R260" s="22"/>
      <c r="S260" s="22"/>
      <c r="T260" s="22">
        <v>1.0</v>
      </c>
      <c r="U260" s="22">
        <v>2.0</v>
      </c>
      <c r="V260" s="106">
        <v>45140.0</v>
      </c>
      <c r="W260" s="22"/>
      <c r="X260" s="22" t="s">
        <v>800</v>
      </c>
      <c r="Y260" s="36" t="str">
        <f t="shared" si="27"/>
        <v>renew</v>
      </c>
      <c r="Z260" s="21"/>
      <c r="AA260" s="21" t="s">
        <v>27</v>
      </c>
    </row>
    <row r="261">
      <c r="A261" s="20" t="s">
        <v>1236</v>
      </c>
      <c r="B261" s="20" t="s">
        <v>1237</v>
      </c>
      <c r="C261" s="21">
        <v>1109.0</v>
      </c>
      <c r="D261" s="22" t="str">
        <f t="shared" si="1"/>
        <v>General</v>
      </c>
      <c r="E261" s="23" t="str">
        <f t="shared" si="2"/>
        <v>Lapsed</v>
      </c>
      <c r="F261" s="24">
        <v>1.0</v>
      </c>
      <c r="G261" s="44">
        <v>45451.0</v>
      </c>
      <c r="H261" s="26">
        <f t="shared" si="9"/>
        <v>45657</v>
      </c>
      <c r="I261" s="27"/>
      <c r="J261" s="28" t="s">
        <v>1238</v>
      </c>
      <c r="K261" s="29" t="s">
        <v>231</v>
      </c>
      <c r="L261" s="30" t="s">
        <v>35</v>
      </c>
      <c r="M261" s="31" t="s">
        <v>232</v>
      </c>
      <c r="N261" s="53" t="s">
        <v>1239</v>
      </c>
      <c r="O261" s="111">
        <v>7.193222609E9</v>
      </c>
      <c r="P261" s="58"/>
      <c r="Q261" s="22"/>
      <c r="R261" s="22"/>
      <c r="S261" s="22"/>
      <c r="T261" s="22">
        <v>1.0</v>
      </c>
      <c r="U261" s="22">
        <v>3.0</v>
      </c>
      <c r="V261" s="35">
        <v>45123.0</v>
      </c>
      <c r="W261" s="22"/>
      <c r="X261" s="22" t="s">
        <v>800</v>
      </c>
      <c r="Y261" s="36" t="str">
        <f t="shared" si="27"/>
        <v>renew</v>
      </c>
      <c r="Z261" s="21"/>
      <c r="AA261" s="21" t="s">
        <v>27</v>
      </c>
    </row>
    <row r="262">
      <c r="A262" s="20" t="s">
        <v>1240</v>
      </c>
      <c r="B262" s="20" t="s">
        <v>1193</v>
      </c>
      <c r="C262" s="21">
        <v>1108.0</v>
      </c>
      <c r="D262" s="22" t="str">
        <f t="shared" si="1"/>
        <v>General</v>
      </c>
      <c r="E262" s="23" t="str">
        <f t="shared" si="2"/>
        <v>Lapsed</v>
      </c>
      <c r="F262" s="24">
        <v>1.0</v>
      </c>
      <c r="G262" s="25">
        <v>45123.0</v>
      </c>
      <c r="H262" s="26">
        <f t="shared" si="9"/>
        <v>45291</v>
      </c>
      <c r="I262" s="27"/>
      <c r="J262" s="28" t="s">
        <v>1241</v>
      </c>
      <c r="K262" s="29" t="s">
        <v>276</v>
      </c>
      <c r="L262" s="30" t="s">
        <v>35</v>
      </c>
      <c r="M262" s="31" t="s">
        <v>1242</v>
      </c>
      <c r="N262" s="53" t="s">
        <v>1195</v>
      </c>
      <c r="O262" s="32">
        <v>7.207451088E9</v>
      </c>
      <c r="P262" s="58"/>
      <c r="Q262" s="22"/>
      <c r="R262" s="22"/>
      <c r="S262" s="22"/>
      <c r="T262" s="22"/>
      <c r="U262" s="22">
        <v>3.0</v>
      </c>
      <c r="V262" s="35">
        <v>45123.0</v>
      </c>
      <c r="W262" s="22"/>
      <c r="X262" s="22" t="s">
        <v>800</v>
      </c>
      <c r="Y262" s="36" t="str">
        <f t="shared" si="27"/>
        <v>renew</v>
      </c>
      <c r="Z262" s="21"/>
      <c r="AA262" s="21" t="s">
        <v>27</v>
      </c>
    </row>
    <row r="263">
      <c r="A263" s="20" t="s">
        <v>1243</v>
      </c>
      <c r="B263" s="20" t="s">
        <v>1244</v>
      </c>
      <c r="C263" s="21">
        <v>1107.0</v>
      </c>
      <c r="D263" s="22" t="str">
        <f t="shared" si="1"/>
        <v>General</v>
      </c>
      <c r="E263" s="23" t="str">
        <f t="shared" si="2"/>
        <v>Lapsed</v>
      </c>
      <c r="F263" s="24">
        <v>1.0</v>
      </c>
      <c r="G263" s="25">
        <v>45771.0</v>
      </c>
      <c r="H263" s="26">
        <f t="shared" si="9"/>
        <v>46022</v>
      </c>
      <c r="I263" s="27"/>
      <c r="J263" s="28" t="s">
        <v>1245</v>
      </c>
      <c r="K263" s="29" t="s">
        <v>56</v>
      </c>
      <c r="L263" s="30" t="s">
        <v>57</v>
      </c>
      <c r="M263" s="31" t="s">
        <v>58</v>
      </c>
      <c r="N263" s="53" t="s">
        <v>1246</v>
      </c>
      <c r="O263" s="32">
        <v>3.074386282E9</v>
      </c>
      <c r="P263" s="58"/>
      <c r="Q263" s="22"/>
      <c r="R263" s="22"/>
      <c r="S263" s="22">
        <v>1.0</v>
      </c>
      <c r="T263" s="22">
        <v>1.0</v>
      </c>
      <c r="U263" s="22">
        <v>3.0</v>
      </c>
      <c r="V263" s="35">
        <v>45123.0</v>
      </c>
      <c r="W263" s="22"/>
      <c r="X263" s="22" t="s">
        <v>800</v>
      </c>
      <c r="Y263" s="36" t="str">
        <f t="shared" si="27"/>
        <v>renew</v>
      </c>
      <c r="Z263" s="21" t="s">
        <v>27</v>
      </c>
      <c r="AA263" s="21" t="s">
        <v>27</v>
      </c>
    </row>
    <row r="264">
      <c r="A264" s="20" t="s">
        <v>1247</v>
      </c>
      <c r="B264" s="20" t="s">
        <v>1248</v>
      </c>
      <c r="C264" s="21">
        <v>1106.0</v>
      </c>
      <c r="D264" s="22" t="str">
        <f t="shared" si="1"/>
        <v>General</v>
      </c>
      <c r="E264" s="23" t="str">
        <f t="shared" si="2"/>
        <v>Lapsed</v>
      </c>
      <c r="F264" s="24">
        <v>1.0</v>
      </c>
      <c r="G264" s="25">
        <v>45123.0</v>
      </c>
      <c r="H264" s="26">
        <f t="shared" si="9"/>
        <v>45291</v>
      </c>
      <c r="I264" s="27"/>
      <c r="J264" s="28" t="s">
        <v>1249</v>
      </c>
      <c r="K264" s="29" t="s">
        <v>1250</v>
      </c>
      <c r="L264" s="30" t="s">
        <v>35</v>
      </c>
      <c r="M264" s="31" t="s">
        <v>1251</v>
      </c>
      <c r="N264" s="53" t="s">
        <v>1252</v>
      </c>
      <c r="O264" s="32">
        <v>7.193490191E9</v>
      </c>
      <c r="P264" s="58"/>
      <c r="Q264" s="22"/>
      <c r="R264" s="22"/>
      <c r="S264" s="22"/>
      <c r="T264" s="22"/>
      <c r="U264" s="22">
        <v>3.0</v>
      </c>
      <c r="V264" s="35">
        <v>45123.0</v>
      </c>
      <c r="W264" s="22"/>
      <c r="X264" s="22" t="s">
        <v>800</v>
      </c>
      <c r="Y264" s="36" t="str">
        <f t="shared" si="27"/>
        <v>renew</v>
      </c>
      <c r="Z264" s="21"/>
      <c r="AA264" s="21" t="s">
        <v>27</v>
      </c>
    </row>
    <row r="265">
      <c r="A265" s="20" t="s">
        <v>1253</v>
      </c>
      <c r="B265" s="20" t="s">
        <v>1254</v>
      </c>
      <c r="C265" s="21">
        <v>1105.0</v>
      </c>
      <c r="D265" s="22" t="str">
        <f t="shared" si="1"/>
        <v>General</v>
      </c>
      <c r="E265" s="23" t="str">
        <f t="shared" si="2"/>
        <v>Lapsed</v>
      </c>
      <c r="F265" s="24">
        <v>1.0</v>
      </c>
      <c r="G265" s="25">
        <v>45123.0</v>
      </c>
      <c r="H265" s="26">
        <f t="shared" si="9"/>
        <v>45291</v>
      </c>
      <c r="I265" s="27"/>
      <c r="J265" s="28" t="s">
        <v>1255</v>
      </c>
      <c r="K265" s="29" t="s">
        <v>305</v>
      </c>
      <c r="L265" s="30" t="s">
        <v>35</v>
      </c>
      <c r="M265" s="31" t="s">
        <v>306</v>
      </c>
      <c r="N265" s="53" t="s">
        <v>1256</v>
      </c>
      <c r="O265" s="32">
        <v>9.702222037E9</v>
      </c>
      <c r="P265" s="58"/>
      <c r="Q265" s="22"/>
      <c r="R265" s="22"/>
      <c r="S265" s="22"/>
      <c r="T265" s="22"/>
      <c r="U265" s="22">
        <v>3.0</v>
      </c>
      <c r="V265" s="35">
        <v>45123.0</v>
      </c>
      <c r="W265" s="22"/>
      <c r="X265" s="22" t="s">
        <v>800</v>
      </c>
      <c r="Y265" s="36" t="str">
        <f t="shared" si="27"/>
        <v>renew</v>
      </c>
      <c r="Z265" s="21"/>
      <c r="AA265" s="21" t="s">
        <v>27</v>
      </c>
    </row>
    <row r="266">
      <c r="A266" s="20" t="s">
        <v>789</v>
      </c>
      <c r="B266" s="20" t="s">
        <v>1257</v>
      </c>
      <c r="C266" s="21">
        <v>1104.0</v>
      </c>
      <c r="D266" s="22" t="str">
        <f t="shared" si="1"/>
        <v>General</v>
      </c>
      <c r="E266" s="23" t="str">
        <f t="shared" si="2"/>
        <v>Lapsed</v>
      </c>
      <c r="F266" s="24">
        <v>1.0</v>
      </c>
      <c r="G266" s="25">
        <v>45849.0</v>
      </c>
      <c r="H266" s="26">
        <f t="shared" si="9"/>
        <v>46022</v>
      </c>
      <c r="I266" s="21"/>
      <c r="J266" s="28" t="s">
        <v>1258</v>
      </c>
      <c r="K266" s="29" t="s">
        <v>1259</v>
      </c>
      <c r="L266" s="30" t="s">
        <v>35</v>
      </c>
      <c r="M266" s="31" t="s">
        <v>952</v>
      </c>
      <c r="N266" s="53" t="s">
        <v>1260</v>
      </c>
      <c r="O266" s="32">
        <v>9.7076836E9</v>
      </c>
      <c r="P266" s="58"/>
      <c r="Q266" s="22"/>
      <c r="R266" s="22"/>
      <c r="S266" s="22">
        <v>4.0</v>
      </c>
      <c r="T266" s="22">
        <v>1.0</v>
      </c>
      <c r="U266" s="22">
        <v>3.0</v>
      </c>
      <c r="V266" s="35">
        <v>45123.0</v>
      </c>
      <c r="W266" s="22"/>
      <c r="X266" s="22" t="s">
        <v>800</v>
      </c>
      <c r="Y266" s="36" t="str">
        <f t="shared" si="27"/>
        <v>renew</v>
      </c>
      <c r="Z266" s="21" t="s">
        <v>27</v>
      </c>
      <c r="AA266" s="21" t="s">
        <v>27</v>
      </c>
    </row>
    <row r="267">
      <c r="A267" s="112" t="s">
        <v>1261</v>
      </c>
      <c r="B267" s="112" t="s">
        <v>1262</v>
      </c>
      <c r="C267" s="21">
        <v>1103.0</v>
      </c>
      <c r="D267" s="22" t="str">
        <f t="shared" si="1"/>
        <v>General</v>
      </c>
      <c r="E267" s="23" t="str">
        <f t="shared" si="2"/>
        <v>Lapsed</v>
      </c>
      <c r="F267" s="24">
        <v>1.0</v>
      </c>
      <c r="G267" s="25">
        <v>45306.0</v>
      </c>
      <c r="H267" s="26">
        <f t="shared" si="9"/>
        <v>45657</v>
      </c>
      <c r="I267" s="21"/>
      <c r="J267" s="28" t="s">
        <v>1263</v>
      </c>
      <c r="K267" s="29" t="s">
        <v>1264</v>
      </c>
      <c r="L267" s="30" t="s">
        <v>244</v>
      </c>
      <c r="M267" s="31" t="s">
        <v>1265</v>
      </c>
      <c r="N267" s="53" t="s">
        <v>1266</v>
      </c>
      <c r="O267" s="32">
        <v>3.086417868E9</v>
      </c>
      <c r="P267" s="58"/>
      <c r="Q267" s="22"/>
      <c r="R267" s="22"/>
      <c r="S267" s="22"/>
      <c r="T267" s="22">
        <v>1.0</v>
      </c>
      <c r="U267" s="22">
        <v>3.0</v>
      </c>
      <c r="V267" s="35">
        <v>45123.0</v>
      </c>
      <c r="W267" s="22"/>
      <c r="X267" s="22" t="s">
        <v>800</v>
      </c>
      <c r="Y267" s="36" t="str">
        <f t="shared" si="27"/>
        <v>renew</v>
      </c>
      <c r="Z267" s="21"/>
      <c r="AA267" s="21" t="s">
        <v>27</v>
      </c>
    </row>
    <row r="268">
      <c r="A268" s="112" t="s">
        <v>1267</v>
      </c>
      <c r="B268" s="20" t="s">
        <v>1268</v>
      </c>
      <c r="C268" s="21">
        <v>1102.0</v>
      </c>
      <c r="D268" s="22" t="str">
        <f t="shared" si="1"/>
        <v>General</v>
      </c>
      <c r="E268" s="23" t="str">
        <f t="shared" si="2"/>
        <v>Lapsed</v>
      </c>
      <c r="F268" s="24">
        <v>1.0</v>
      </c>
      <c r="G268" s="25">
        <v>45123.0</v>
      </c>
      <c r="H268" s="26">
        <f t="shared" si="9"/>
        <v>45291</v>
      </c>
      <c r="I268" s="113"/>
      <c r="J268" s="28" t="s">
        <v>1269</v>
      </c>
      <c r="K268" s="29" t="s">
        <v>56</v>
      </c>
      <c r="L268" s="30" t="s">
        <v>57</v>
      </c>
      <c r="M268" s="31" t="s">
        <v>804</v>
      </c>
      <c r="N268" s="53" t="s">
        <v>1270</v>
      </c>
      <c r="O268" s="32">
        <v>3.086457021E9</v>
      </c>
      <c r="P268" s="58"/>
      <c r="Q268" s="22"/>
      <c r="R268" s="22"/>
      <c r="S268" s="22"/>
      <c r="T268" s="22"/>
      <c r="U268" s="22">
        <v>3.0</v>
      </c>
      <c r="V268" s="35">
        <v>45123.0</v>
      </c>
      <c r="W268" s="22"/>
      <c r="X268" s="22" t="s">
        <v>800</v>
      </c>
      <c r="Y268" s="36" t="str">
        <f t="shared" si="27"/>
        <v>renew</v>
      </c>
      <c r="Z268" s="21"/>
      <c r="AA268" s="21" t="s">
        <v>27</v>
      </c>
    </row>
    <row r="269">
      <c r="A269" s="20" t="s">
        <v>1271</v>
      </c>
      <c r="B269" s="20" t="s">
        <v>1272</v>
      </c>
      <c r="C269" s="21">
        <v>1101.0</v>
      </c>
      <c r="D269" s="22" t="str">
        <f t="shared" si="1"/>
        <v>General</v>
      </c>
      <c r="E269" s="23" t="str">
        <f t="shared" si="2"/>
        <v>Lapsed</v>
      </c>
      <c r="F269" s="24">
        <v>1.0</v>
      </c>
      <c r="G269" s="25">
        <v>45292.0</v>
      </c>
      <c r="H269" s="26">
        <f t="shared" si="9"/>
        <v>45657</v>
      </c>
      <c r="I269" s="21"/>
      <c r="J269" s="28" t="s">
        <v>1273</v>
      </c>
      <c r="K269" s="29" t="s">
        <v>916</v>
      </c>
      <c r="L269" s="30" t="s">
        <v>244</v>
      </c>
      <c r="M269" s="31" t="s">
        <v>917</v>
      </c>
      <c r="N269" s="65" t="s">
        <v>1274</v>
      </c>
      <c r="O269" s="32" t="s">
        <v>1275</v>
      </c>
      <c r="P269" s="58"/>
      <c r="Q269" s="22"/>
      <c r="R269" s="22"/>
      <c r="S269" s="22"/>
      <c r="T269" s="22">
        <v>1.0</v>
      </c>
      <c r="U269" s="22"/>
      <c r="V269" s="86"/>
      <c r="W269" s="22"/>
      <c r="X269" s="38"/>
      <c r="Y269" s="36" t="str">
        <f t="shared" si="27"/>
        <v>renew</v>
      </c>
      <c r="Z269" s="21"/>
      <c r="AA269" s="21" t="s">
        <v>27</v>
      </c>
    </row>
    <row r="270">
      <c r="A270" s="20" t="s">
        <v>1276</v>
      </c>
      <c r="B270" s="20" t="s">
        <v>1277</v>
      </c>
      <c r="C270" s="21">
        <v>1100.0</v>
      </c>
      <c r="D270" s="22" t="str">
        <f t="shared" si="1"/>
        <v>General</v>
      </c>
      <c r="E270" s="23" t="str">
        <f t="shared" si="2"/>
        <v>Lapsed</v>
      </c>
      <c r="F270" s="24">
        <v>1.0</v>
      </c>
      <c r="G270" s="25">
        <v>45123.0</v>
      </c>
      <c r="H270" s="26">
        <f t="shared" si="9"/>
        <v>45291</v>
      </c>
      <c r="I270" s="27"/>
      <c r="J270" s="28" t="s">
        <v>1278</v>
      </c>
      <c r="K270" s="29" t="s">
        <v>1279</v>
      </c>
      <c r="L270" s="30" t="s">
        <v>57</v>
      </c>
      <c r="M270" s="31" t="s">
        <v>1280</v>
      </c>
      <c r="N270" s="53" t="s">
        <v>1281</v>
      </c>
      <c r="O270" s="32">
        <v>9.703704431E9</v>
      </c>
      <c r="P270" s="58"/>
      <c r="Q270" s="22"/>
      <c r="R270" s="22"/>
      <c r="S270" s="22"/>
      <c r="T270" s="22"/>
      <c r="U270" s="22">
        <v>3.0</v>
      </c>
      <c r="V270" s="35">
        <v>45123.0</v>
      </c>
      <c r="W270" s="22"/>
      <c r="X270" s="22" t="s">
        <v>800</v>
      </c>
      <c r="Y270" s="36" t="str">
        <f t="shared" si="27"/>
        <v>renew</v>
      </c>
      <c r="Z270" s="21"/>
      <c r="AA270" s="21" t="s">
        <v>27</v>
      </c>
    </row>
    <row r="271">
      <c r="A271" s="20" t="s">
        <v>1282</v>
      </c>
      <c r="B271" s="20" t="s">
        <v>1283</v>
      </c>
      <c r="C271" s="21">
        <v>1099.0</v>
      </c>
      <c r="D271" s="22" t="str">
        <f t="shared" si="1"/>
        <v>General</v>
      </c>
      <c r="E271" s="23" t="str">
        <f t="shared" si="2"/>
        <v>Lapsed</v>
      </c>
      <c r="F271" s="24">
        <v>1.0</v>
      </c>
      <c r="G271" s="25">
        <v>45817.0</v>
      </c>
      <c r="H271" s="26">
        <f t="shared" si="9"/>
        <v>46022</v>
      </c>
      <c r="I271" s="27"/>
      <c r="J271" s="28" t="s">
        <v>1284</v>
      </c>
      <c r="K271" s="29" t="s">
        <v>305</v>
      </c>
      <c r="L271" s="30" t="s">
        <v>35</v>
      </c>
      <c r="M271" s="31" t="s">
        <v>306</v>
      </c>
      <c r="N271" s="53" t="s">
        <v>1285</v>
      </c>
      <c r="O271" s="32"/>
      <c r="P271" s="58"/>
      <c r="Q271" s="22"/>
      <c r="R271" s="22"/>
      <c r="S271" s="22">
        <v>2.0</v>
      </c>
      <c r="T271" s="22">
        <v>1.0</v>
      </c>
      <c r="U271" s="22">
        <v>3.0</v>
      </c>
      <c r="V271" s="35">
        <v>45123.0</v>
      </c>
      <c r="W271" s="22"/>
      <c r="X271" s="22" t="s">
        <v>800</v>
      </c>
      <c r="Y271" s="36" t="str">
        <f t="shared" si="27"/>
        <v>renew</v>
      </c>
      <c r="Z271" s="21"/>
      <c r="AA271" s="21" t="s">
        <v>72</v>
      </c>
    </row>
    <row r="272">
      <c r="A272" s="20" t="s">
        <v>613</v>
      </c>
      <c r="B272" s="20" t="s">
        <v>1286</v>
      </c>
      <c r="C272" s="21">
        <v>1098.0</v>
      </c>
      <c r="D272" s="22" t="str">
        <f t="shared" si="1"/>
        <v>General</v>
      </c>
      <c r="E272" s="23" t="str">
        <f t="shared" si="2"/>
        <v>Lapsed</v>
      </c>
      <c r="F272" s="24">
        <v>1.0</v>
      </c>
      <c r="G272" s="25">
        <v>45123.0</v>
      </c>
      <c r="H272" s="26">
        <f t="shared" si="9"/>
        <v>45291</v>
      </c>
      <c r="I272" s="27"/>
      <c r="J272" s="28" t="s">
        <v>1287</v>
      </c>
      <c r="K272" s="29" t="s">
        <v>1288</v>
      </c>
      <c r="L272" s="30" t="s">
        <v>35</v>
      </c>
      <c r="M272" s="31" t="s">
        <v>952</v>
      </c>
      <c r="N272" s="53" t="s">
        <v>1289</v>
      </c>
      <c r="O272" s="32">
        <v>3.034784452E9</v>
      </c>
      <c r="P272" s="58"/>
      <c r="Q272" s="22"/>
      <c r="R272" s="22"/>
      <c r="S272" s="22"/>
      <c r="T272" s="22"/>
      <c r="U272" s="22">
        <v>3.0</v>
      </c>
      <c r="V272" s="35">
        <v>45123.0</v>
      </c>
      <c r="W272" s="22"/>
      <c r="X272" s="22" t="s">
        <v>800</v>
      </c>
      <c r="Y272" s="36" t="str">
        <f t="shared" si="27"/>
        <v>renew</v>
      </c>
      <c r="Z272" s="21"/>
      <c r="AA272" s="21" t="s">
        <v>27</v>
      </c>
    </row>
    <row r="273">
      <c r="A273" s="20" t="s">
        <v>1290</v>
      </c>
      <c r="B273" s="20" t="s">
        <v>1291</v>
      </c>
      <c r="C273" s="21">
        <v>1097.0</v>
      </c>
      <c r="D273" s="22" t="str">
        <f t="shared" si="1"/>
        <v>General</v>
      </c>
      <c r="E273" s="23" t="str">
        <f t="shared" si="2"/>
        <v>Lapsed</v>
      </c>
      <c r="F273" s="24">
        <v>1.0</v>
      </c>
      <c r="G273" s="25">
        <v>45406.0</v>
      </c>
      <c r="H273" s="26">
        <f t="shared" si="9"/>
        <v>45657</v>
      </c>
      <c r="I273" s="27"/>
      <c r="J273" s="28" t="s">
        <v>1292</v>
      </c>
      <c r="K273" s="29" t="s">
        <v>448</v>
      </c>
      <c r="L273" s="30" t="s">
        <v>35</v>
      </c>
      <c r="M273" s="31" t="s">
        <v>1293</v>
      </c>
      <c r="N273" s="53" t="s">
        <v>1294</v>
      </c>
      <c r="O273" s="32">
        <v>7.204984761E9</v>
      </c>
      <c r="P273" s="58"/>
      <c r="Q273" s="22"/>
      <c r="R273" s="22"/>
      <c r="S273" s="22"/>
      <c r="T273" s="22">
        <v>1.0</v>
      </c>
      <c r="U273" s="22">
        <v>2.0</v>
      </c>
      <c r="V273" s="106">
        <v>45128.0</v>
      </c>
      <c r="W273" s="22"/>
      <c r="X273" s="22" t="s">
        <v>800</v>
      </c>
      <c r="Y273" s="36" t="str">
        <f t="shared" si="27"/>
        <v>renew</v>
      </c>
      <c r="Z273" s="21"/>
      <c r="AA273" s="21" t="s">
        <v>8</v>
      </c>
    </row>
    <row r="274">
      <c r="A274" s="20" t="s">
        <v>1295</v>
      </c>
      <c r="B274" s="20" t="s">
        <v>1296</v>
      </c>
      <c r="C274" s="21">
        <v>1096.0</v>
      </c>
      <c r="D274" s="22" t="str">
        <f t="shared" si="1"/>
        <v>General</v>
      </c>
      <c r="E274" s="23" t="str">
        <f t="shared" si="2"/>
        <v>Lapsed</v>
      </c>
      <c r="F274" s="24">
        <v>1.0</v>
      </c>
      <c r="G274" s="25">
        <v>45390.0</v>
      </c>
      <c r="H274" s="26">
        <f t="shared" si="9"/>
        <v>45657</v>
      </c>
      <c r="I274" s="27"/>
      <c r="J274" s="28" t="s">
        <v>1297</v>
      </c>
      <c r="K274" s="29" t="s">
        <v>1298</v>
      </c>
      <c r="L274" s="30" t="s">
        <v>35</v>
      </c>
      <c r="M274" s="31" t="s">
        <v>1299</v>
      </c>
      <c r="N274" s="53" t="s">
        <v>1300</v>
      </c>
      <c r="O274" s="32">
        <v>7.193200559E9</v>
      </c>
      <c r="P274" s="58"/>
      <c r="Q274" s="22"/>
      <c r="R274" s="22"/>
      <c r="S274" s="22"/>
      <c r="T274" s="22">
        <v>1.0</v>
      </c>
      <c r="U274" s="22">
        <v>2.0</v>
      </c>
      <c r="V274" s="106">
        <v>45117.0</v>
      </c>
      <c r="W274" s="22"/>
      <c r="X274" s="22" t="s">
        <v>800</v>
      </c>
      <c r="Y274" s="36" t="str">
        <f t="shared" si="27"/>
        <v>renew</v>
      </c>
      <c r="Z274" s="21"/>
      <c r="AA274" s="21" t="s">
        <v>8</v>
      </c>
    </row>
    <row r="275">
      <c r="A275" s="20" t="s">
        <v>1301</v>
      </c>
      <c r="B275" s="20" t="s">
        <v>1302</v>
      </c>
      <c r="C275" s="21">
        <v>1095.0</v>
      </c>
      <c r="D275" s="22" t="str">
        <f t="shared" si="1"/>
        <v>General</v>
      </c>
      <c r="E275" s="23" t="str">
        <f t="shared" si="2"/>
        <v>Lapsed</v>
      </c>
      <c r="F275" s="24">
        <v>1.0</v>
      </c>
      <c r="G275" s="25">
        <v>45080.0</v>
      </c>
      <c r="H275" s="26">
        <f t="shared" si="9"/>
        <v>45291</v>
      </c>
      <c r="I275" s="27"/>
      <c r="J275" s="28" t="s">
        <v>1303</v>
      </c>
      <c r="K275" s="29" t="s">
        <v>647</v>
      </c>
      <c r="L275" s="30" t="s">
        <v>35</v>
      </c>
      <c r="M275" s="31" t="s">
        <v>137</v>
      </c>
      <c r="N275" s="53" t="s">
        <v>1304</v>
      </c>
      <c r="O275" s="32">
        <v>3.035066265E9</v>
      </c>
      <c r="P275" s="58"/>
      <c r="Q275" s="22"/>
      <c r="R275" s="22"/>
      <c r="S275" s="22"/>
      <c r="T275" s="22"/>
      <c r="U275" s="22">
        <v>2.0</v>
      </c>
      <c r="V275" s="35">
        <v>45080.0</v>
      </c>
      <c r="W275" s="22"/>
      <c r="X275" s="22" t="s">
        <v>800</v>
      </c>
      <c r="Y275" s="36" t="str">
        <f t="shared" si="27"/>
        <v>renew</v>
      </c>
      <c r="Z275" s="27"/>
      <c r="AA275" s="27" t="s">
        <v>27</v>
      </c>
    </row>
    <row r="276">
      <c r="A276" s="20" t="s">
        <v>1305</v>
      </c>
      <c r="B276" s="20" t="s">
        <v>1306</v>
      </c>
      <c r="C276" s="21">
        <v>1094.0</v>
      </c>
      <c r="D276" s="22" t="str">
        <f t="shared" si="1"/>
        <v>General</v>
      </c>
      <c r="E276" s="23" t="str">
        <f t="shared" si="2"/>
        <v>Lapsed</v>
      </c>
      <c r="F276" s="24">
        <v>1.0</v>
      </c>
      <c r="G276" s="25">
        <v>45080.0</v>
      </c>
      <c r="H276" s="26">
        <f t="shared" si="9"/>
        <v>45291</v>
      </c>
      <c r="I276" s="27"/>
      <c r="J276" s="28" t="s">
        <v>1307</v>
      </c>
      <c r="K276" s="29" t="s">
        <v>1308</v>
      </c>
      <c r="L276" s="30" t="s">
        <v>35</v>
      </c>
      <c r="M276" s="31" t="s">
        <v>1309</v>
      </c>
      <c r="N276" s="53" t="s">
        <v>1310</v>
      </c>
      <c r="O276" s="32">
        <v>3.035904425E9</v>
      </c>
      <c r="P276" s="58"/>
      <c r="Q276" s="22"/>
      <c r="R276" s="22"/>
      <c r="S276" s="22"/>
      <c r="T276" s="22"/>
      <c r="U276" s="22">
        <v>2.0</v>
      </c>
      <c r="V276" s="35">
        <v>45080.0</v>
      </c>
      <c r="W276" s="22"/>
      <c r="X276" s="22" t="s">
        <v>800</v>
      </c>
      <c r="Y276" s="36" t="str">
        <f t="shared" si="27"/>
        <v>renew</v>
      </c>
      <c r="Z276" s="27"/>
      <c r="AA276" s="27" t="s">
        <v>8</v>
      </c>
    </row>
    <row r="277">
      <c r="A277" s="20" t="s">
        <v>1311</v>
      </c>
      <c r="B277" s="20" t="s">
        <v>1312</v>
      </c>
      <c r="C277" s="21">
        <v>1093.0</v>
      </c>
      <c r="D277" s="22" t="str">
        <f t="shared" si="1"/>
        <v>General</v>
      </c>
      <c r="E277" s="23" t="str">
        <f t="shared" si="2"/>
        <v>Lapsed</v>
      </c>
      <c r="F277" s="24">
        <v>1.0</v>
      </c>
      <c r="G277" s="25">
        <v>45080.0</v>
      </c>
      <c r="H277" s="26">
        <f t="shared" si="9"/>
        <v>45291</v>
      </c>
      <c r="I277" s="27"/>
      <c r="J277" s="28"/>
      <c r="K277" s="29"/>
      <c r="L277" s="30"/>
      <c r="M277" s="31"/>
      <c r="N277" s="53"/>
      <c r="O277" s="32"/>
      <c r="P277" s="58"/>
      <c r="Q277" s="22"/>
      <c r="R277" s="22"/>
      <c r="S277" s="22"/>
      <c r="T277" s="22"/>
      <c r="U277" s="22">
        <v>3.0</v>
      </c>
      <c r="V277" s="35">
        <v>45080.0</v>
      </c>
      <c r="W277" s="22"/>
      <c r="X277" s="22" t="s">
        <v>800</v>
      </c>
      <c r="Y277" s="36" t="str">
        <f t="shared" si="27"/>
        <v>renew</v>
      </c>
      <c r="Z277" s="27"/>
      <c r="AA277" s="27" t="s">
        <v>27</v>
      </c>
    </row>
    <row r="278">
      <c r="A278" s="20" t="s">
        <v>1313</v>
      </c>
      <c r="B278" s="20" t="s">
        <v>1314</v>
      </c>
      <c r="C278" s="21">
        <v>1092.0</v>
      </c>
      <c r="D278" s="22" t="str">
        <f t="shared" si="1"/>
        <v>General</v>
      </c>
      <c r="E278" s="23" t="str">
        <f t="shared" si="2"/>
        <v>Lapsed</v>
      </c>
      <c r="F278" s="24">
        <v>1.0</v>
      </c>
      <c r="G278" s="25">
        <v>45080.0</v>
      </c>
      <c r="H278" s="26">
        <f t="shared" si="9"/>
        <v>45291</v>
      </c>
      <c r="I278" s="27"/>
      <c r="J278" s="28"/>
      <c r="K278" s="29"/>
      <c r="L278" s="30"/>
      <c r="M278" s="31"/>
      <c r="N278" s="53"/>
      <c r="O278" s="32"/>
      <c r="P278" s="58"/>
      <c r="Q278" s="22"/>
      <c r="R278" s="22"/>
      <c r="S278" s="22"/>
      <c r="T278" s="22"/>
      <c r="U278" s="22">
        <v>3.0</v>
      </c>
      <c r="V278" s="35">
        <v>45080.0</v>
      </c>
      <c r="W278" s="22"/>
      <c r="X278" s="22" t="s">
        <v>800</v>
      </c>
      <c r="Y278" s="36" t="str">
        <f t="shared" si="27"/>
        <v>renew</v>
      </c>
      <c r="Z278" s="27"/>
      <c r="AA278" s="27" t="s">
        <v>8</v>
      </c>
    </row>
    <row r="279">
      <c r="A279" s="20" t="s">
        <v>1315</v>
      </c>
      <c r="B279" s="20" t="s">
        <v>1316</v>
      </c>
      <c r="C279" s="21">
        <v>1091.0</v>
      </c>
      <c r="D279" s="22" t="str">
        <f t="shared" si="1"/>
        <v>General</v>
      </c>
      <c r="E279" s="23" t="str">
        <f t="shared" si="2"/>
        <v>Lapsed</v>
      </c>
      <c r="F279" s="24">
        <v>1.0</v>
      </c>
      <c r="G279" s="25">
        <v>45878.0</v>
      </c>
      <c r="H279" s="26">
        <f t="shared" si="9"/>
        <v>46022</v>
      </c>
      <c r="I279" s="27"/>
      <c r="J279" s="28" t="s">
        <v>1317</v>
      </c>
      <c r="K279" s="29" t="s">
        <v>164</v>
      </c>
      <c r="L279" s="30" t="s">
        <v>35</v>
      </c>
      <c r="M279" s="31" t="s">
        <v>165</v>
      </c>
      <c r="N279" s="53" t="s">
        <v>1318</v>
      </c>
      <c r="O279" s="32">
        <v>3.037090276E9</v>
      </c>
      <c r="P279" s="58"/>
      <c r="Q279" s="22"/>
      <c r="R279" s="22"/>
      <c r="S279" s="22">
        <v>4.0</v>
      </c>
      <c r="T279" s="22"/>
      <c r="U279" s="22">
        <v>2.0</v>
      </c>
      <c r="V279" s="35">
        <v>45080.0</v>
      </c>
      <c r="W279" s="22"/>
      <c r="X279" s="22" t="s">
        <v>800</v>
      </c>
      <c r="Y279" s="36" t="str">
        <f t="shared" si="27"/>
        <v>renew</v>
      </c>
      <c r="Z279" s="27"/>
      <c r="AA279" s="27" t="s">
        <v>27</v>
      </c>
    </row>
    <row r="280">
      <c r="A280" s="20" t="s">
        <v>1319</v>
      </c>
      <c r="B280" s="20" t="s">
        <v>1320</v>
      </c>
      <c r="C280" s="21">
        <v>1090.0</v>
      </c>
      <c r="D280" s="22" t="str">
        <f t="shared" si="1"/>
        <v>General</v>
      </c>
      <c r="E280" s="23" t="str">
        <f t="shared" si="2"/>
        <v>Lapsed</v>
      </c>
      <c r="F280" s="24">
        <v>1.0</v>
      </c>
      <c r="G280" s="25">
        <v>45080.0</v>
      </c>
      <c r="H280" s="26">
        <f t="shared" si="9"/>
        <v>45291</v>
      </c>
      <c r="I280" s="27"/>
      <c r="J280" s="28" t="s">
        <v>1321</v>
      </c>
      <c r="K280" s="29" t="s">
        <v>1322</v>
      </c>
      <c r="L280" s="30" t="s">
        <v>1007</v>
      </c>
      <c r="M280" s="31" t="s">
        <v>1323</v>
      </c>
      <c r="N280" s="53" t="s">
        <v>1324</v>
      </c>
      <c r="O280" s="32">
        <v>6.037670662E9</v>
      </c>
      <c r="P280" s="58"/>
      <c r="Q280" s="22"/>
      <c r="R280" s="22"/>
      <c r="S280" s="22"/>
      <c r="T280" s="22"/>
      <c r="U280" s="22">
        <v>2.0</v>
      </c>
      <c r="V280" s="35">
        <v>45080.0</v>
      </c>
      <c r="W280" s="22"/>
      <c r="X280" s="22" t="s">
        <v>800</v>
      </c>
      <c r="Y280" s="36" t="str">
        <f t="shared" si="27"/>
        <v>renew</v>
      </c>
      <c r="Z280" s="114"/>
      <c r="AA280" s="114" t="s">
        <v>8</v>
      </c>
    </row>
    <row r="281">
      <c r="A281" s="20" t="s">
        <v>1325</v>
      </c>
      <c r="B281" s="20" t="s">
        <v>1326</v>
      </c>
      <c r="C281" s="21">
        <v>1089.0</v>
      </c>
      <c r="D281" s="22" t="str">
        <f t="shared" si="1"/>
        <v>General</v>
      </c>
      <c r="E281" s="23" t="str">
        <f t="shared" si="2"/>
        <v>Lapsed</v>
      </c>
      <c r="F281" s="24">
        <v>1.0</v>
      </c>
      <c r="G281" s="25">
        <v>45079.0</v>
      </c>
      <c r="H281" s="26">
        <f t="shared" si="9"/>
        <v>45291</v>
      </c>
      <c r="I281" s="27"/>
      <c r="J281" s="28" t="s">
        <v>1321</v>
      </c>
      <c r="K281" s="29" t="s">
        <v>1322</v>
      </c>
      <c r="L281" s="30" t="s">
        <v>1007</v>
      </c>
      <c r="M281" s="31" t="s">
        <v>1323</v>
      </c>
      <c r="N281" s="53" t="s">
        <v>1327</v>
      </c>
      <c r="O281" s="32">
        <v>8.066768566E9</v>
      </c>
      <c r="P281" s="58"/>
      <c r="Q281" s="22"/>
      <c r="R281" s="22"/>
      <c r="S281" s="22"/>
      <c r="T281" s="22"/>
      <c r="U281" s="22">
        <v>2.0</v>
      </c>
      <c r="V281" s="35">
        <v>45079.0</v>
      </c>
      <c r="W281" s="22"/>
      <c r="X281" s="22" t="s">
        <v>800</v>
      </c>
      <c r="Y281" s="36" t="str">
        <f t="shared" si="27"/>
        <v>renew</v>
      </c>
      <c r="Z281" s="21"/>
      <c r="AA281" s="21" t="s">
        <v>27</v>
      </c>
    </row>
    <row r="282">
      <c r="A282" s="20" t="s">
        <v>1328</v>
      </c>
      <c r="B282" s="20" t="s">
        <v>1329</v>
      </c>
      <c r="C282" s="21">
        <v>1088.0</v>
      </c>
      <c r="D282" s="22" t="str">
        <f t="shared" si="1"/>
        <v>General</v>
      </c>
      <c r="E282" s="23" t="str">
        <f t="shared" si="2"/>
        <v>Lapsed</v>
      </c>
      <c r="F282" s="24">
        <v>1.0</v>
      </c>
      <c r="G282" s="25">
        <v>45480.0</v>
      </c>
      <c r="H282" s="26">
        <f t="shared" si="9"/>
        <v>45657</v>
      </c>
      <c r="I282" s="27"/>
      <c r="J282" s="28" t="s">
        <v>1330</v>
      </c>
      <c r="K282" s="29" t="s">
        <v>1331</v>
      </c>
      <c r="L282" s="30" t="s">
        <v>35</v>
      </c>
      <c r="M282" s="31" t="s">
        <v>1332</v>
      </c>
      <c r="N282" s="53" t="s">
        <v>1333</v>
      </c>
      <c r="O282" s="32">
        <v>7.205560265E9</v>
      </c>
      <c r="P282" s="58"/>
      <c r="Q282" s="22"/>
      <c r="R282" s="22"/>
      <c r="S282" s="22"/>
      <c r="T282" s="22">
        <v>1.0</v>
      </c>
      <c r="U282" s="22">
        <v>2.0</v>
      </c>
      <c r="V282" s="35">
        <v>45079.0</v>
      </c>
      <c r="W282" s="22"/>
      <c r="X282" s="22" t="s">
        <v>800</v>
      </c>
      <c r="Y282" s="36" t="str">
        <f t="shared" si="27"/>
        <v>renew</v>
      </c>
      <c r="Z282" s="21"/>
      <c r="AA282" s="21" t="s">
        <v>27</v>
      </c>
    </row>
    <row r="283">
      <c r="A283" s="20" t="s">
        <v>1334</v>
      </c>
      <c r="B283" s="20" t="s">
        <v>1335</v>
      </c>
      <c r="C283" s="21">
        <v>1087.0</v>
      </c>
      <c r="D283" s="22" t="str">
        <f t="shared" si="1"/>
        <v>General</v>
      </c>
      <c r="E283" s="23" t="str">
        <f t="shared" si="2"/>
        <v>Lapsed</v>
      </c>
      <c r="F283" s="24">
        <v>1.0</v>
      </c>
      <c r="G283" s="25">
        <v>45079.0</v>
      </c>
      <c r="H283" s="26">
        <f t="shared" si="9"/>
        <v>45291</v>
      </c>
      <c r="I283" s="27"/>
      <c r="J283" s="28" t="s">
        <v>1336</v>
      </c>
      <c r="K283" s="29" t="s">
        <v>374</v>
      </c>
      <c r="L283" s="30" t="s">
        <v>35</v>
      </c>
      <c r="M283" s="31" t="s">
        <v>375</v>
      </c>
      <c r="N283" s="53" t="s">
        <v>1337</v>
      </c>
      <c r="O283" s="111">
        <v>7.193692075E9</v>
      </c>
      <c r="P283" s="58"/>
      <c r="Q283" s="22"/>
      <c r="R283" s="22"/>
      <c r="S283" s="22"/>
      <c r="T283" s="22"/>
      <c r="U283" s="22">
        <v>2.0</v>
      </c>
      <c r="V283" s="35">
        <v>45079.0</v>
      </c>
      <c r="W283" s="22"/>
      <c r="X283" s="22" t="s">
        <v>800</v>
      </c>
      <c r="Y283" s="36" t="str">
        <f t="shared" si="27"/>
        <v>renew</v>
      </c>
      <c r="Z283" s="21"/>
      <c r="AA283" s="21" t="s">
        <v>27</v>
      </c>
    </row>
    <row r="284">
      <c r="A284" s="20" t="s">
        <v>39</v>
      </c>
      <c r="B284" s="20" t="s">
        <v>1338</v>
      </c>
      <c r="C284" s="21">
        <v>1086.0</v>
      </c>
      <c r="D284" s="22" t="str">
        <f t="shared" si="1"/>
        <v>General</v>
      </c>
      <c r="E284" s="23" t="str">
        <f t="shared" si="2"/>
        <v>Lapsed</v>
      </c>
      <c r="F284" s="24">
        <v>1.0</v>
      </c>
      <c r="G284" s="25">
        <v>45087.0</v>
      </c>
      <c r="H284" s="26">
        <f t="shared" si="9"/>
        <v>45291</v>
      </c>
      <c r="I284" s="27"/>
      <c r="J284" s="28" t="s">
        <v>1339</v>
      </c>
      <c r="K284" s="29" t="s">
        <v>56</v>
      </c>
      <c r="L284" s="30" t="s">
        <v>57</v>
      </c>
      <c r="M284" s="31" t="s">
        <v>58</v>
      </c>
      <c r="N284" s="53" t="s">
        <v>1340</v>
      </c>
      <c r="O284" s="32">
        <v>2.103768346E9</v>
      </c>
      <c r="P284" s="58"/>
      <c r="Q284" s="22"/>
      <c r="R284" s="22"/>
      <c r="S284" s="22"/>
      <c r="T284" s="22"/>
      <c r="U284" s="22">
        <v>2.0</v>
      </c>
      <c r="V284" s="106">
        <v>45087.0</v>
      </c>
      <c r="W284" s="22"/>
      <c r="X284" s="22" t="s">
        <v>800</v>
      </c>
      <c r="Y284" s="36" t="str">
        <f t="shared" si="27"/>
        <v>renew</v>
      </c>
      <c r="Z284" s="21"/>
      <c r="AA284" s="21" t="s">
        <v>72</v>
      </c>
    </row>
    <row r="285">
      <c r="A285" s="20" t="s">
        <v>1341</v>
      </c>
      <c r="B285" s="20" t="s">
        <v>1342</v>
      </c>
      <c r="C285" s="21">
        <v>1085.0</v>
      </c>
      <c r="D285" s="22" t="str">
        <f t="shared" si="1"/>
        <v>General</v>
      </c>
      <c r="E285" s="23" t="str">
        <f t="shared" si="2"/>
        <v>Lapsed</v>
      </c>
      <c r="F285" s="24">
        <v>1.0</v>
      </c>
      <c r="G285" s="25">
        <v>45087.0</v>
      </c>
      <c r="H285" s="26">
        <f t="shared" si="9"/>
        <v>45291</v>
      </c>
      <c r="I285" s="27"/>
      <c r="J285" s="28" t="s">
        <v>1343</v>
      </c>
      <c r="K285" s="29" t="s">
        <v>1344</v>
      </c>
      <c r="L285" s="30" t="s">
        <v>57</v>
      </c>
      <c r="M285" s="31" t="s">
        <v>1345</v>
      </c>
      <c r="N285" s="57" t="s">
        <v>1346</v>
      </c>
      <c r="O285" s="32">
        <v>5.809380047E9</v>
      </c>
      <c r="P285" s="58"/>
      <c r="Q285" s="22"/>
      <c r="R285" s="22"/>
      <c r="S285" s="22"/>
      <c r="T285" s="22"/>
      <c r="U285" s="22">
        <v>2.0</v>
      </c>
      <c r="V285" s="106">
        <v>45087.0</v>
      </c>
      <c r="W285" s="22"/>
      <c r="X285" s="22" t="s">
        <v>800</v>
      </c>
      <c r="Y285" s="36" t="str">
        <f t="shared" si="27"/>
        <v>renew</v>
      </c>
      <c r="Z285" s="21"/>
      <c r="AA285" s="21" t="s">
        <v>72</v>
      </c>
    </row>
    <row r="286">
      <c r="A286" s="20" t="s">
        <v>1347</v>
      </c>
      <c r="B286" s="20" t="s">
        <v>1348</v>
      </c>
      <c r="C286" s="21">
        <v>1084.0</v>
      </c>
      <c r="D286" s="22" t="str">
        <f t="shared" si="1"/>
        <v>General</v>
      </c>
      <c r="E286" s="23" t="str">
        <f t="shared" si="2"/>
        <v>Active</v>
      </c>
      <c r="F286" s="24">
        <v>3.0</v>
      </c>
      <c r="G286" s="25">
        <v>45818.0</v>
      </c>
      <c r="H286" s="26">
        <f t="shared" si="9"/>
        <v>46752</v>
      </c>
      <c r="I286" s="21"/>
      <c r="J286" s="28" t="s">
        <v>1349</v>
      </c>
      <c r="K286" s="29" t="s">
        <v>42</v>
      </c>
      <c r="L286" s="30" t="s">
        <v>35</v>
      </c>
      <c r="M286" s="31" t="s">
        <v>239</v>
      </c>
      <c r="N286" s="53" t="s">
        <v>1350</v>
      </c>
      <c r="O286" s="32" t="s">
        <v>1351</v>
      </c>
      <c r="P286" s="58"/>
      <c r="Q286" s="22"/>
      <c r="R286" s="22"/>
      <c r="S286" s="22">
        <v>2.0</v>
      </c>
      <c r="T286" s="22">
        <v>1.0</v>
      </c>
      <c r="U286" s="22">
        <v>2.0</v>
      </c>
      <c r="V286" s="106">
        <v>45087.0</v>
      </c>
      <c r="W286" s="22"/>
      <c r="X286" s="22" t="s">
        <v>800</v>
      </c>
      <c r="Y286" s="36" t="s">
        <v>45</v>
      </c>
      <c r="Z286" s="21"/>
      <c r="AA286" s="21" t="s">
        <v>27</v>
      </c>
    </row>
    <row r="287">
      <c r="A287" s="20" t="s">
        <v>1164</v>
      </c>
      <c r="B287" s="20" t="s">
        <v>909</v>
      </c>
      <c r="C287" s="21">
        <v>1083.0</v>
      </c>
      <c r="D287" s="22" t="str">
        <f t="shared" si="1"/>
        <v>General</v>
      </c>
      <c r="E287" s="23" t="str">
        <f t="shared" si="2"/>
        <v>Lapsed</v>
      </c>
      <c r="F287" s="24">
        <v>1.0</v>
      </c>
      <c r="G287" s="25">
        <v>45068.0</v>
      </c>
      <c r="H287" s="26">
        <f t="shared" si="9"/>
        <v>45291</v>
      </c>
      <c r="I287" s="27"/>
      <c r="J287" s="28" t="s">
        <v>1149</v>
      </c>
      <c r="K287" s="29" t="s">
        <v>190</v>
      </c>
      <c r="L287" s="30" t="s">
        <v>35</v>
      </c>
      <c r="M287" s="31" t="s">
        <v>1150</v>
      </c>
      <c r="N287" s="53" t="s">
        <v>1151</v>
      </c>
      <c r="O287" s="32" t="s">
        <v>1152</v>
      </c>
      <c r="P287" s="58">
        <v>38241.0</v>
      </c>
      <c r="Q287" s="22">
        <f>datedif(P287,today(),"Y")</f>
        <v>21</v>
      </c>
      <c r="R287" s="22"/>
      <c r="S287" s="22"/>
      <c r="T287" s="22"/>
      <c r="U287" s="22">
        <v>2.0</v>
      </c>
      <c r="V287" s="35">
        <v>45068.0</v>
      </c>
      <c r="W287" s="22"/>
      <c r="X287" s="22" t="s">
        <v>800</v>
      </c>
      <c r="Y287" s="36" t="str">
        <f t="shared" ref="Y287:Y304" si="28">if(E287="Active","send","renew")</f>
        <v>renew</v>
      </c>
      <c r="Z287" s="21"/>
      <c r="AA287" s="21" t="s">
        <v>72</v>
      </c>
    </row>
    <row r="288">
      <c r="A288" s="20" t="s">
        <v>86</v>
      </c>
      <c r="B288" s="20" t="s">
        <v>1352</v>
      </c>
      <c r="C288" s="21">
        <v>1082.0</v>
      </c>
      <c r="D288" s="22" t="str">
        <f t="shared" si="1"/>
        <v>General</v>
      </c>
      <c r="E288" s="23" t="str">
        <f t="shared" si="2"/>
        <v>Lapsed</v>
      </c>
      <c r="F288" s="108">
        <v>3.0</v>
      </c>
      <c r="G288" s="25">
        <v>45068.0</v>
      </c>
      <c r="H288" s="26">
        <f t="shared" si="9"/>
        <v>46022</v>
      </c>
      <c r="I288" s="21"/>
      <c r="J288" s="28" t="s">
        <v>1353</v>
      </c>
      <c r="K288" s="29" t="s">
        <v>157</v>
      </c>
      <c r="L288" s="30" t="s">
        <v>35</v>
      </c>
      <c r="M288" s="31" t="s">
        <v>158</v>
      </c>
      <c r="N288" s="53" t="s">
        <v>1354</v>
      </c>
      <c r="O288" s="32" t="s">
        <v>185</v>
      </c>
      <c r="P288" s="58"/>
      <c r="Q288" s="22"/>
      <c r="R288" s="22"/>
      <c r="S288" s="22">
        <v>1.0</v>
      </c>
      <c r="T288" s="22">
        <v>1.0</v>
      </c>
      <c r="U288" s="22">
        <v>2.0</v>
      </c>
      <c r="V288" s="35">
        <v>45068.0</v>
      </c>
      <c r="W288" s="22"/>
      <c r="X288" s="22" t="s">
        <v>800</v>
      </c>
      <c r="Y288" s="36" t="str">
        <f t="shared" si="28"/>
        <v>renew</v>
      </c>
      <c r="Z288" s="27" t="s">
        <v>27</v>
      </c>
      <c r="AA288" s="27" t="s">
        <v>27</v>
      </c>
    </row>
    <row r="289">
      <c r="A289" s="20" t="s">
        <v>1355</v>
      </c>
      <c r="B289" s="20" t="s">
        <v>1356</v>
      </c>
      <c r="C289" s="21">
        <v>1081.0</v>
      </c>
      <c r="D289" s="22" t="str">
        <f t="shared" si="1"/>
        <v>General</v>
      </c>
      <c r="E289" s="23" t="str">
        <f t="shared" si="2"/>
        <v>Lapsed</v>
      </c>
      <c r="F289" s="24">
        <v>1.0</v>
      </c>
      <c r="G289" s="25">
        <v>45771.0</v>
      </c>
      <c r="H289" s="26">
        <f t="shared" si="9"/>
        <v>46022</v>
      </c>
      <c r="I289" s="27"/>
      <c r="J289" s="28" t="s">
        <v>1357</v>
      </c>
      <c r="K289" s="29" t="s">
        <v>647</v>
      </c>
      <c r="L289" s="30" t="s">
        <v>35</v>
      </c>
      <c r="M289" s="31" t="s">
        <v>137</v>
      </c>
      <c r="N289" s="53" t="s">
        <v>1358</v>
      </c>
      <c r="O289" s="32">
        <v>3.03990388E9</v>
      </c>
      <c r="P289" s="58"/>
      <c r="Q289" s="22"/>
      <c r="R289" s="22"/>
      <c r="S289" s="22">
        <v>1.0</v>
      </c>
      <c r="T289" s="22">
        <v>1.0</v>
      </c>
      <c r="U289" s="22">
        <v>2.0</v>
      </c>
      <c r="V289" s="106">
        <v>45058.0</v>
      </c>
      <c r="W289" s="22"/>
      <c r="X289" s="22" t="s">
        <v>800</v>
      </c>
      <c r="Y289" s="36" t="str">
        <f t="shared" si="28"/>
        <v>renew</v>
      </c>
      <c r="Z289" s="21" t="s">
        <v>27</v>
      </c>
      <c r="AA289" s="21" t="s">
        <v>27</v>
      </c>
    </row>
    <row r="290">
      <c r="A290" s="20" t="s">
        <v>1117</v>
      </c>
      <c r="B290" s="20" t="s">
        <v>1359</v>
      </c>
      <c r="C290" s="21">
        <v>1080.0</v>
      </c>
      <c r="D290" s="22" t="str">
        <f t="shared" si="1"/>
        <v>General</v>
      </c>
      <c r="E290" s="23" t="str">
        <f t="shared" si="2"/>
        <v>Lapsed</v>
      </c>
      <c r="F290" s="24">
        <v>1.0</v>
      </c>
      <c r="G290" s="25">
        <v>45055.0</v>
      </c>
      <c r="H290" s="26">
        <f t="shared" si="9"/>
        <v>45291</v>
      </c>
      <c r="I290" s="27"/>
      <c r="J290" s="28" t="s">
        <v>1360</v>
      </c>
      <c r="K290" s="29" t="s">
        <v>1361</v>
      </c>
      <c r="L290" s="30" t="s">
        <v>35</v>
      </c>
      <c r="M290" s="31" t="s">
        <v>1362</v>
      </c>
      <c r="N290" s="53" t="s">
        <v>1363</v>
      </c>
      <c r="O290" s="32">
        <v>8.184223339E9</v>
      </c>
      <c r="P290" s="58"/>
      <c r="Q290" s="22"/>
      <c r="R290" s="22"/>
      <c r="S290" s="22"/>
      <c r="T290" s="22"/>
      <c r="U290" s="22">
        <v>2.0</v>
      </c>
      <c r="V290" s="106">
        <v>45055.0</v>
      </c>
      <c r="W290" s="22"/>
      <c r="X290" s="22" t="s">
        <v>800</v>
      </c>
      <c r="Y290" s="36" t="str">
        <f t="shared" si="28"/>
        <v>renew</v>
      </c>
      <c r="Z290" s="21"/>
      <c r="AA290" s="21" t="s">
        <v>27</v>
      </c>
    </row>
    <row r="291">
      <c r="A291" s="20" t="s">
        <v>326</v>
      </c>
      <c r="B291" s="20" t="s">
        <v>1364</v>
      </c>
      <c r="C291" s="21">
        <v>1079.0</v>
      </c>
      <c r="D291" s="22" t="str">
        <f t="shared" si="1"/>
        <v>General</v>
      </c>
      <c r="E291" s="23" t="str">
        <f t="shared" si="2"/>
        <v>Lapsed</v>
      </c>
      <c r="F291" s="24">
        <v>1.0</v>
      </c>
      <c r="G291" s="25">
        <v>45771.0</v>
      </c>
      <c r="H291" s="26">
        <f t="shared" si="9"/>
        <v>46022</v>
      </c>
      <c r="I291" s="27"/>
      <c r="J291" s="28" t="s">
        <v>1365</v>
      </c>
      <c r="K291" s="29" t="s">
        <v>1366</v>
      </c>
      <c r="L291" s="30" t="s">
        <v>35</v>
      </c>
      <c r="M291" s="31" t="s">
        <v>1367</v>
      </c>
      <c r="N291" s="53" t="s">
        <v>1368</v>
      </c>
      <c r="O291" s="32" t="s">
        <v>1369</v>
      </c>
      <c r="P291" s="58"/>
      <c r="Q291" s="22"/>
      <c r="R291" s="22"/>
      <c r="S291" s="22">
        <v>1.0</v>
      </c>
      <c r="T291" s="22"/>
      <c r="U291" s="22">
        <v>2.0</v>
      </c>
      <c r="V291" s="106">
        <v>45055.0</v>
      </c>
      <c r="W291" s="22"/>
      <c r="X291" s="22" t="s">
        <v>800</v>
      </c>
      <c r="Y291" s="36" t="str">
        <f t="shared" si="28"/>
        <v>renew</v>
      </c>
      <c r="Z291" s="21" t="s">
        <v>27</v>
      </c>
      <c r="AA291" s="21" t="s">
        <v>27</v>
      </c>
    </row>
    <row r="292">
      <c r="A292" s="20" t="s">
        <v>1370</v>
      </c>
      <c r="B292" s="20" t="s">
        <v>1136</v>
      </c>
      <c r="C292" s="21">
        <v>1078.0</v>
      </c>
      <c r="D292" s="22" t="str">
        <f t="shared" si="1"/>
        <v>Youth</v>
      </c>
      <c r="E292" s="23" t="str">
        <f t="shared" si="2"/>
        <v>Lapsed</v>
      </c>
      <c r="F292" s="24">
        <v>1.0</v>
      </c>
      <c r="G292" s="25">
        <v>45699.0</v>
      </c>
      <c r="H292" s="26">
        <f t="shared" si="9"/>
        <v>46022</v>
      </c>
      <c r="I292" s="27"/>
      <c r="J292" s="28" t="s">
        <v>1137</v>
      </c>
      <c r="K292" s="29" t="s">
        <v>1138</v>
      </c>
      <c r="L292" s="30" t="s">
        <v>35</v>
      </c>
      <c r="M292" s="31" t="s">
        <v>1139</v>
      </c>
      <c r="N292" s="53" t="s">
        <v>1140</v>
      </c>
      <c r="O292" s="32" t="s">
        <v>1141</v>
      </c>
      <c r="P292" s="58">
        <v>40741.0</v>
      </c>
      <c r="Q292" s="22">
        <f t="shared" ref="Q292:Q293" si="29">datedif(P292,today(),"Y")</f>
        <v>14</v>
      </c>
      <c r="R292" s="22"/>
      <c r="S292" s="22">
        <v>1.0</v>
      </c>
      <c r="T292" s="22">
        <v>1.0</v>
      </c>
      <c r="U292" s="22">
        <v>1.0</v>
      </c>
      <c r="V292" s="106">
        <v>45037.0</v>
      </c>
      <c r="W292" s="22"/>
      <c r="X292" s="22" t="s">
        <v>800</v>
      </c>
      <c r="Y292" s="36" t="str">
        <f t="shared" si="28"/>
        <v>renew</v>
      </c>
      <c r="Z292" s="21" t="s">
        <v>8</v>
      </c>
      <c r="AA292" s="21" t="s">
        <v>27</v>
      </c>
    </row>
    <row r="293">
      <c r="A293" s="20" t="s">
        <v>984</v>
      </c>
      <c r="B293" s="20" t="s">
        <v>1136</v>
      </c>
      <c r="C293" s="21">
        <v>1077.0</v>
      </c>
      <c r="D293" s="22" t="str">
        <f t="shared" si="1"/>
        <v>Youth</v>
      </c>
      <c r="E293" s="23" t="str">
        <f t="shared" si="2"/>
        <v>Lapsed</v>
      </c>
      <c r="F293" s="24">
        <v>1.0</v>
      </c>
      <c r="G293" s="25">
        <v>45699.0</v>
      </c>
      <c r="H293" s="26">
        <f t="shared" si="9"/>
        <v>46022</v>
      </c>
      <c r="I293" s="21"/>
      <c r="J293" s="28" t="s">
        <v>1137</v>
      </c>
      <c r="K293" s="29" t="s">
        <v>1138</v>
      </c>
      <c r="L293" s="30" t="s">
        <v>35</v>
      </c>
      <c r="M293" s="31" t="s">
        <v>1139</v>
      </c>
      <c r="N293" s="53" t="s">
        <v>1140</v>
      </c>
      <c r="O293" s="32" t="s">
        <v>1141</v>
      </c>
      <c r="P293" s="58">
        <v>40748.0</v>
      </c>
      <c r="Q293" s="22">
        <f t="shared" si="29"/>
        <v>14</v>
      </c>
      <c r="R293" s="22"/>
      <c r="S293" s="22">
        <v>1.0</v>
      </c>
      <c r="T293" s="22">
        <v>1.0</v>
      </c>
      <c r="U293" s="22">
        <v>1.0</v>
      </c>
      <c r="V293" s="106">
        <v>45038.0</v>
      </c>
      <c r="W293" s="22"/>
      <c r="X293" s="22" t="s">
        <v>800</v>
      </c>
      <c r="Y293" s="36" t="str">
        <f t="shared" si="28"/>
        <v>renew</v>
      </c>
      <c r="Z293" s="21" t="s">
        <v>8</v>
      </c>
      <c r="AA293" s="21" t="s">
        <v>27</v>
      </c>
    </row>
    <row r="294">
      <c r="A294" s="20" t="s">
        <v>1371</v>
      </c>
      <c r="B294" s="20" t="s">
        <v>1136</v>
      </c>
      <c r="C294" s="21">
        <v>1076.0</v>
      </c>
      <c r="D294" s="22" t="str">
        <f t="shared" si="1"/>
        <v>General</v>
      </c>
      <c r="E294" s="23" t="str">
        <f t="shared" si="2"/>
        <v>Lapsed</v>
      </c>
      <c r="F294" s="24">
        <v>1.0</v>
      </c>
      <c r="G294" s="25">
        <v>45699.0</v>
      </c>
      <c r="H294" s="26">
        <f t="shared" si="9"/>
        <v>46022</v>
      </c>
      <c r="I294" s="27"/>
      <c r="J294" s="28" t="s">
        <v>1137</v>
      </c>
      <c r="K294" s="29" t="s">
        <v>1138</v>
      </c>
      <c r="L294" s="30" t="s">
        <v>35</v>
      </c>
      <c r="M294" s="31" t="s">
        <v>1139</v>
      </c>
      <c r="N294" s="53" t="s">
        <v>1140</v>
      </c>
      <c r="O294" s="32" t="s">
        <v>1141</v>
      </c>
      <c r="P294" s="58"/>
      <c r="Q294" s="22"/>
      <c r="R294" s="22"/>
      <c r="S294" s="22">
        <v>1.0</v>
      </c>
      <c r="T294" s="22">
        <v>1.0</v>
      </c>
      <c r="U294" s="22">
        <v>1.0</v>
      </c>
      <c r="V294" s="106">
        <v>45039.0</v>
      </c>
      <c r="W294" s="22"/>
      <c r="X294" s="22" t="s">
        <v>800</v>
      </c>
      <c r="Y294" s="36" t="str">
        <f t="shared" si="28"/>
        <v>renew</v>
      </c>
      <c r="Z294" s="21" t="s">
        <v>8</v>
      </c>
      <c r="AA294" s="21" t="s">
        <v>27</v>
      </c>
    </row>
    <row r="295">
      <c r="A295" s="20" t="s">
        <v>1372</v>
      </c>
      <c r="B295" s="20" t="s">
        <v>1373</v>
      </c>
      <c r="C295" s="21">
        <v>1075.0</v>
      </c>
      <c r="D295" s="22" t="str">
        <f t="shared" si="1"/>
        <v>General</v>
      </c>
      <c r="E295" s="23" t="str">
        <f t="shared" si="2"/>
        <v>Lapsed</v>
      </c>
      <c r="F295" s="24">
        <v>1.0</v>
      </c>
      <c r="G295" s="25">
        <v>45357.0</v>
      </c>
      <c r="H295" s="26">
        <f t="shared" si="9"/>
        <v>45657</v>
      </c>
      <c r="I295" s="27"/>
      <c r="J295" s="28" t="s">
        <v>1374</v>
      </c>
      <c r="K295" s="29" t="s">
        <v>1375</v>
      </c>
      <c r="L295" s="30" t="s">
        <v>35</v>
      </c>
      <c r="M295" s="31" t="s">
        <v>1376</v>
      </c>
      <c r="N295" s="53" t="s">
        <v>1377</v>
      </c>
      <c r="O295" s="32" t="s">
        <v>1378</v>
      </c>
      <c r="P295" s="58"/>
      <c r="Q295" s="22"/>
      <c r="R295" s="22"/>
      <c r="S295" s="22"/>
      <c r="T295" s="22">
        <v>1.0</v>
      </c>
      <c r="U295" s="22">
        <v>1.0</v>
      </c>
      <c r="V295" s="106">
        <v>45040.0</v>
      </c>
      <c r="W295" s="22"/>
      <c r="X295" s="22" t="s">
        <v>800</v>
      </c>
      <c r="Y295" s="36" t="str">
        <f t="shared" si="28"/>
        <v>renew</v>
      </c>
      <c r="Z295" s="21"/>
      <c r="AA295" s="21" t="s">
        <v>27</v>
      </c>
    </row>
    <row r="296">
      <c r="A296" s="20" t="s">
        <v>1379</v>
      </c>
      <c r="B296" s="20" t="s">
        <v>1380</v>
      </c>
      <c r="C296" s="21">
        <v>1074.0</v>
      </c>
      <c r="D296" s="22" t="str">
        <f t="shared" si="1"/>
        <v>General</v>
      </c>
      <c r="E296" s="23" t="str">
        <f t="shared" si="2"/>
        <v>Lapsed</v>
      </c>
      <c r="F296" s="24">
        <v>1.0</v>
      </c>
      <c r="G296" s="25">
        <v>45878.0</v>
      </c>
      <c r="H296" s="26">
        <f t="shared" si="9"/>
        <v>46022</v>
      </c>
      <c r="I296" s="27"/>
      <c r="J296" s="28" t="s">
        <v>1381</v>
      </c>
      <c r="K296" s="29" t="s">
        <v>448</v>
      </c>
      <c r="L296" s="30" t="s">
        <v>35</v>
      </c>
      <c r="M296" s="31" t="s">
        <v>277</v>
      </c>
      <c r="N296" s="53" t="s">
        <v>1382</v>
      </c>
      <c r="O296" s="32">
        <v>9.702143012E9</v>
      </c>
      <c r="P296" s="58"/>
      <c r="Q296" s="22"/>
      <c r="R296" s="22"/>
      <c r="S296" s="22">
        <v>4.0</v>
      </c>
      <c r="T296" s="22"/>
      <c r="U296" s="22">
        <v>1.0</v>
      </c>
      <c r="V296" s="106">
        <v>45041.0</v>
      </c>
      <c r="W296" s="22"/>
      <c r="X296" s="22" t="s">
        <v>800</v>
      </c>
      <c r="Y296" s="36" t="str">
        <f t="shared" si="28"/>
        <v>renew</v>
      </c>
      <c r="Z296" s="21"/>
      <c r="AA296" s="21" t="s">
        <v>27</v>
      </c>
    </row>
    <row r="297">
      <c r="A297" s="20" t="s">
        <v>1383</v>
      </c>
      <c r="B297" s="115" t="s">
        <v>248</v>
      </c>
      <c r="C297" s="21">
        <v>1073.0</v>
      </c>
      <c r="D297" s="22" t="str">
        <f t="shared" si="1"/>
        <v>General</v>
      </c>
      <c r="E297" s="23" t="str">
        <f t="shared" si="2"/>
        <v>Lapsed</v>
      </c>
      <c r="F297" s="24">
        <v>1.0</v>
      </c>
      <c r="G297" s="44">
        <v>45849.0</v>
      </c>
      <c r="H297" s="26">
        <f t="shared" si="9"/>
        <v>46022</v>
      </c>
      <c r="I297" s="21"/>
      <c r="J297" s="28" t="s">
        <v>249</v>
      </c>
      <c r="K297" s="29" t="s">
        <v>250</v>
      </c>
      <c r="L297" s="30" t="s">
        <v>35</v>
      </c>
      <c r="M297" s="31" t="s">
        <v>251</v>
      </c>
      <c r="N297" s="53" t="s">
        <v>1384</v>
      </c>
      <c r="O297" s="32">
        <v>9.703969131E9</v>
      </c>
      <c r="P297" s="58"/>
      <c r="Q297" s="22"/>
      <c r="R297" s="22"/>
      <c r="S297" s="22">
        <v>4.0</v>
      </c>
      <c r="T297" s="22">
        <v>1.0</v>
      </c>
      <c r="U297" s="22">
        <v>1.0</v>
      </c>
      <c r="V297" s="116">
        <v>45042.0</v>
      </c>
      <c r="W297" s="22"/>
      <c r="X297" s="22" t="s">
        <v>800</v>
      </c>
      <c r="Y297" s="36" t="str">
        <f t="shared" si="28"/>
        <v>renew</v>
      </c>
      <c r="Z297" s="21" t="s">
        <v>27</v>
      </c>
      <c r="AA297" s="21" t="s">
        <v>27</v>
      </c>
    </row>
    <row r="298">
      <c r="A298" s="20" t="s">
        <v>1200</v>
      </c>
      <c r="B298" s="20" t="s">
        <v>1385</v>
      </c>
      <c r="C298" s="21">
        <v>1072.0</v>
      </c>
      <c r="D298" s="22" t="str">
        <f t="shared" si="1"/>
        <v>General</v>
      </c>
      <c r="E298" s="23" t="str">
        <f t="shared" si="2"/>
        <v>Lapsed</v>
      </c>
      <c r="F298" s="24">
        <v>1.0</v>
      </c>
      <c r="G298" s="25">
        <v>45817.0</v>
      </c>
      <c r="H298" s="26">
        <f t="shared" si="9"/>
        <v>46022</v>
      </c>
      <c r="I298" s="27"/>
      <c r="J298" s="28" t="s">
        <v>1386</v>
      </c>
      <c r="K298" s="29" t="s">
        <v>473</v>
      </c>
      <c r="L298" s="30" t="s">
        <v>35</v>
      </c>
      <c r="M298" s="31" t="s">
        <v>402</v>
      </c>
      <c r="N298" s="117" t="s">
        <v>1387</v>
      </c>
      <c r="O298" s="32" t="s">
        <v>1388</v>
      </c>
      <c r="P298" s="58"/>
      <c r="Q298" s="22"/>
      <c r="R298" s="22"/>
      <c r="S298" s="22">
        <v>2.0</v>
      </c>
      <c r="T298" s="22"/>
      <c r="U298" s="22">
        <v>1.0</v>
      </c>
      <c r="V298" s="116">
        <v>45043.0</v>
      </c>
      <c r="W298" s="22"/>
      <c r="X298" s="22" t="s">
        <v>800</v>
      </c>
      <c r="Y298" s="36" t="str">
        <f t="shared" si="28"/>
        <v>renew</v>
      </c>
      <c r="Z298" s="21"/>
      <c r="AA298" s="21" t="s">
        <v>27</v>
      </c>
    </row>
    <row r="299">
      <c r="A299" s="20" t="s">
        <v>423</v>
      </c>
      <c r="B299" s="20" t="s">
        <v>1385</v>
      </c>
      <c r="C299" s="21">
        <v>1071.0</v>
      </c>
      <c r="D299" s="22" t="str">
        <f t="shared" si="1"/>
        <v>General</v>
      </c>
      <c r="E299" s="23" t="str">
        <f t="shared" si="2"/>
        <v>Lapsed</v>
      </c>
      <c r="F299" s="24">
        <v>1.0</v>
      </c>
      <c r="G299" s="25">
        <v>45801.0</v>
      </c>
      <c r="H299" s="26">
        <f t="shared" si="9"/>
        <v>46022</v>
      </c>
      <c r="I299" s="27"/>
      <c r="J299" s="28" t="s">
        <v>1386</v>
      </c>
      <c r="K299" s="29" t="s">
        <v>473</v>
      </c>
      <c r="L299" s="30" t="s">
        <v>35</v>
      </c>
      <c r="M299" s="31" t="s">
        <v>402</v>
      </c>
      <c r="N299" s="80" t="s">
        <v>1389</v>
      </c>
      <c r="O299" s="32" t="s">
        <v>1388</v>
      </c>
      <c r="P299" s="58"/>
      <c r="Q299" s="22"/>
      <c r="R299" s="22"/>
      <c r="S299" s="22">
        <v>1.0</v>
      </c>
      <c r="T299" s="22">
        <v>2.0</v>
      </c>
      <c r="U299" s="22">
        <v>1.0</v>
      </c>
      <c r="V299" s="116">
        <v>45043.0</v>
      </c>
      <c r="W299" s="22"/>
      <c r="X299" s="22" t="s">
        <v>800</v>
      </c>
      <c r="Y299" s="36" t="str">
        <f t="shared" si="28"/>
        <v>renew</v>
      </c>
      <c r="Z299" s="21" t="s">
        <v>27</v>
      </c>
      <c r="AA299" s="21" t="s">
        <v>27</v>
      </c>
    </row>
    <row r="300">
      <c r="A300" s="20" t="s">
        <v>1085</v>
      </c>
      <c r="B300" s="20" t="s">
        <v>623</v>
      </c>
      <c r="C300" s="21">
        <v>1070.0</v>
      </c>
      <c r="D300" s="22" t="str">
        <f t="shared" si="1"/>
        <v>General</v>
      </c>
      <c r="E300" s="23" t="str">
        <f t="shared" si="2"/>
        <v>Lapsed</v>
      </c>
      <c r="F300" s="24">
        <v>1.0</v>
      </c>
      <c r="G300" s="25">
        <v>45768.0</v>
      </c>
      <c r="H300" s="26">
        <f t="shared" si="9"/>
        <v>46022</v>
      </c>
      <c r="I300" s="27"/>
      <c r="J300" s="28" t="s">
        <v>1390</v>
      </c>
      <c r="K300" s="29" t="s">
        <v>89</v>
      </c>
      <c r="L300" s="30" t="s">
        <v>35</v>
      </c>
      <c r="M300" s="31" t="s">
        <v>1391</v>
      </c>
      <c r="N300" s="28" t="s">
        <v>1392</v>
      </c>
      <c r="O300" s="32">
        <v>5.128203761E9</v>
      </c>
      <c r="P300" s="58"/>
      <c r="Q300" s="22"/>
      <c r="R300" s="22"/>
      <c r="S300" s="22">
        <v>1.0</v>
      </c>
      <c r="T300" s="22">
        <v>1.0</v>
      </c>
      <c r="U300" s="22">
        <v>1.0</v>
      </c>
      <c r="V300" s="116">
        <v>45043.0</v>
      </c>
      <c r="W300" s="22"/>
      <c r="X300" s="22" t="s">
        <v>800</v>
      </c>
      <c r="Y300" s="36" t="str">
        <f t="shared" si="28"/>
        <v>renew</v>
      </c>
      <c r="Z300" s="21" t="s">
        <v>8</v>
      </c>
      <c r="AA300" s="21" t="s">
        <v>1393</v>
      </c>
    </row>
    <row r="301">
      <c r="A301" s="20" t="s">
        <v>1394</v>
      </c>
      <c r="B301" s="20" t="s">
        <v>1395</v>
      </c>
      <c r="C301" s="21">
        <v>1069.0</v>
      </c>
      <c r="D301" s="22" t="str">
        <f t="shared" si="1"/>
        <v>General</v>
      </c>
      <c r="E301" s="23" t="str">
        <f t="shared" si="2"/>
        <v>Lapsed</v>
      </c>
      <c r="F301" s="24">
        <v>1.0</v>
      </c>
      <c r="G301" s="25">
        <v>45043.0</v>
      </c>
      <c r="H301" s="26">
        <f t="shared" si="9"/>
        <v>45291</v>
      </c>
      <c r="I301" s="27"/>
      <c r="J301" s="28" t="s">
        <v>1396</v>
      </c>
      <c r="K301" s="29" t="s">
        <v>1397</v>
      </c>
      <c r="L301" s="30" t="s">
        <v>35</v>
      </c>
      <c r="M301" s="31" t="s">
        <v>1398</v>
      </c>
      <c r="N301" s="28" t="s">
        <v>1399</v>
      </c>
      <c r="O301" s="32" t="s">
        <v>1400</v>
      </c>
      <c r="P301" s="58"/>
      <c r="Q301" s="22"/>
      <c r="R301" s="22"/>
      <c r="S301" s="22"/>
      <c r="T301" s="22"/>
      <c r="U301" s="22">
        <v>1.0</v>
      </c>
      <c r="V301" s="106">
        <v>45043.0</v>
      </c>
      <c r="W301" s="22"/>
      <c r="X301" s="22" t="s">
        <v>800</v>
      </c>
      <c r="Y301" s="36" t="str">
        <f t="shared" si="28"/>
        <v>renew</v>
      </c>
      <c r="Z301" s="21"/>
      <c r="AA301" s="21" t="s">
        <v>72</v>
      </c>
    </row>
    <row r="302">
      <c r="A302" s="20" t="s">
        <v>1401</v>
      </c>
      <c r="B302" s="20" t="s">
        <v>1402</v>
      </c>
      <c r="C302" s="21">
        <v>1068.0</v>
      </c>
      <c r="D302" s="22" t="str">
        <f t="shared" si="1"/>
        <v>General</v>
      </c>
      <c r="E302" s="23" t="str">
        <f t="shared" si="2"/>
        <v>Lapsed</v>
      </c>
      <c r="F302" s="24">
        <v>1.0</v>
      </c>
      <c r="G302" s="25">
        <v>45817.0</v>
      </c>
      <c r="H302" s="26">
        <f t="shared" si="9"/>
        <v>46022</v>
      </c>
      <c r="I302" s="21"/>
      <c r="J302" s="28" t="s">
        <v>1403</v>
      </c>
      <c r="K302" s="29" t="s">
        <v>89</v>
      </c>
      <c r="L302" s="30" t="s">
        <v>35</v>
      </c>
      <c r="M302" s="31" t="s">
        <v>90</v>
      </c>
      <c r="N302" s="28" t="s">
        <v>1404</v>
      </c>
      <c r="O302" s="32">
        <v>9.702278255E9</v>
      </c>
      <c r="P302" s="58"/>
      <c r="Q302" s="22"/>
      <c r="R302" s="22"/>
      <c r="S302" s="22">
        <v>2.0</v>
      </c>
      <c r="T302" s="22">
        <v>1.0</v>
      </c>
      <c r="U302" s="22">
        <v>1.0</v>
      </c>
      <c r="V302" s="106">
        <v>45042.0</v>
      </c>
      <c r="W302" s="22"/>
      <c r="X302" s="22" t="s">
        <v>800</v>
      </c>
      <c r="Y302" s="36" t="str">
        <f t="shared" si="28"/>
        <v>renew</v>
      </c>
      <c r="Z302" s="21"/>
      <c r="AA302" s="21" t="s">
        <v>72</v>
      </c>
    </row>
    <row r="303">
      <c r="A303" s="20" t="s">
        <v>1164</v>
      </c>
      <c r="B303" s="20" t="s">
        <v>1011</v>
      </c>
      <c r="C303" s="21">
        <v>1067.0</v>
      </c>
      <c r="D303" s="22" t="str">
        <f t="shared" si="1"/>
        <v>General</v>
      </c>
      <c r="E303" s="23" t="str">
        <f t="shared" si="2"/>
        <v>Lapsed</v>
      </c>
      <c r="F303" s="24">
        <v>1.0</v>
      </c>
      <c r="G303" s="25">
        <v>45041.0</v>
      </c>
      <c r="H303" s="26">
        <f t="shared" si="9"/>
        <v>45291</v>
      </c>
      <c r="I303" s="27"/>
      <c r="J303" s="28" t="s">
        <v>1405</v>
      </c>
      <c r="K303" s="29" t="s">
        <v>164</v>
      </c>
      <c r="L303" s="30" t="s">
        <v>35</v>
      </c>
      <c r="M303" s="31" t="s">
        <v>165</v>
      </c>
      <c r="N303" s="28" t="s">
        <v>1406</v>
      </c>
      <c r="O303" s="32" t="s">
        <v>1407</v>
      </c>
      <c r="P303" s="58">
        <v>38222.0</v>
      </c>
      <c r="Q303" s="22">
        <f t="shared" ref="Q303:Q304" si="30">datedif(P303,today(),"Y")</f>
        <v>21</v>
      </c>
      <c r="R303" s="22"/>
      <c r="S303" s="22"/>
      <c r="T303" s="22"/>
      <c r="U303" s="22">
        <v>1.0</v>
      </c>
      <c r="V303" s="106">
        <v>45041.0</v>
      </c>
      <c r="W303" s="22"/>
      <c r="X303" s="22" t="s">
        <v>800</v>
      </c>
      <c r="Y303" s="36" t="str">
        <f t="shared" si="28"/>
        <v>renew</v>
      </c>
      <c r="Z303" s="21"/>
      <c r="AA303" s="21" t="s">
        <v>72</v>
      </c>
    </row>
    <row r="304">
      <c r="A304" s="20" t="s">
        <v>488</v>
      </c>
      <c r="B304" s="20" t="s">
        <v>1104</v>
      </c>
      <c r="C304" s="21">
        <v>1066.0</v>
      </c>
      <c r="D304" s="22" t="str">
        <f t="shared" si="1"/>
        <v>Youth</v>
      </c>
      <c r="E304" s="23" t="str">
        <f t="shared" si="2"/>
        <v>Lapsed</v>
      </c>
      <c r="F304" s="24">
        <v>1.0</v>
      </c>
      <c r="G304" s="25">
        <v>45407.0</v>
      </c>
      <c r="H304" s="26">
        <f t="shared" si="9"/>
        <v>45657</v>
      </c>
      <c r="I304" s="27"/>
      <c r="J304" s="28" t="s">
        <v>1408</v>
      </c>
      <c r="K304" s="29" t="s">
        <v>1409</v>
      </c>
      <c r="L304" s="30" t="s">
        <v>35</v>
      </c>
      <c r="M304" s="31" t="s">
        <v>1410</v>
      </c>
      <c r="N304" s="28" t="s">
        <v>1411</v>
      </c>
      <c r="O304" s="32">
        <v>3.03829886E9</v>
      </c>
      <c r="P304" s="58">
        <v>39380.0</v>
      </c>
      <c r="Q304" s="22">
        <f t="shared" si="30"/>
        <v>18</v>
      </c>
      <c r="R304" s="22"/>
      <c r="S304" s="22"/>
      <c r="T304" s="22">
        <v>1.0</v>
      </c>
      <c r="U304" s="22">
        <v>1.0</v>
      </c>
      <c r="V304" s="106">
        <v>45020.0</v>
      </c>
      <c r="W304" s="22"/>
      <c r="X304" s="22" t="s">
        <v>800</v>
      </c>
      <c r="Y304" s="36" t="str">
        <f t="shared" si="28"/>
        <v>renew</v>
      </c>
      <c r="Z304" s="21"/>
      <c r="AA304" s="21" t="s">
        <v>72</v>
      </c>
    </row>
    <row r="305">
      <c r="A305" s="20" t="s">
        <v>1412</v>
      </c>
      <c r="B305" s="20" t="s">
        <v>1413</v>
      </c>
      <c r="C305" s="21">
        <v>1065.0</v>
      </c>
      <c r="D305" s="22" t="str">
        <f t="shared" si="1"/>
        <v>General</v>
      </c>
      <c r="E305" s="23" t="str">
        <f t="shared" si="2"/>
        <v>Active</v>
      </c>
      <c r="F305" s="24">
        <v>3.0</v>
      </c>
      <c r="G305" s="25">
        <v>45342.0</v>
      </c>
      <c r="H305" s="26">
        <f t="shared" si="9"/>
        <v>46387</v>
      </c>
      <c r="I305" s="21" t="s">
        <v>8</v>
      </c>
      <c r="J305" s="28" t="s">
        <v>1414</v>
      </c>
      <c r="K305" s="29" t="s">
        <v>1415</v>
      </c>
      <c r="L305" s="30" t="s">
        <v>35</v>
      </c>
      <c r="M305" s="31" t="s">
        <v>1416</v>
      </c>
      <c r="N305" s="28" t="s">
        <v>1417</v>
      </c>
      <c r="O305" s="32">
        <v>3.039410129E9</v>
      </c>
      <c r="P305" s="58"/>
      <c r="Q305" s="22"/>
      <c r="R305" s="22"/>
      <c r="S305" s="22">
        <v>1.0</v>
      </c>
      <c r="T305" s="22">
        <v>1.0</v>
      </c>
      <c r="U305" s="22">
        <v>1.0</v>
      </c>
      <c r="V305" s="106">
        <v>44991.0</v>
      </c>
      <c r="W305" s="22"/>
      <c r="X305" s="22" t="s">
        <v>800</v>
      </c>
      <c r="Y305" s="36" t="s">
        <v>45</v>
      </c>
      <c r="Z305" s="21" t="s">
        <v>8</v>
      </c>
      <c r="AA305" s="21" t="s">
        <v>72</v>
      </c>
    </row>
    <row r="306">
      <c r="A306" s="20" t="s">
        <v>677</v>
      </c>
      <c r="B306" s="20" t="s">
        <v>1418</v>
      </c>
      <c r="C306" s="21">
        <v>1064.0</v>
      </c>
      <c r="D306" s="22" t="str">
        <f t="shared" si="1"/>
        <v>General</v>
      </c>
      <c r="E306" s="23" t="str">
        <f t="shared" si="2"/>
        <v>Lapsed</v>
      </c>
      <c r="F306" s="24">
        <v>1.0</v>
      </c>
      <c r="G306" s="25">
        <v>45451.0</v>
      </c>
      <c r="H306" s="26">
        <f t="shared" si="9"/>
        <v>45657</v>
      </c>
      <c r="I306" s="27"/>
      <c r="J306" s="28" t="s">
        <v>1419</v>
      </c>
      <c r="K306" s="29" t="s">
        <v>157</v>
      </c>
      <c r="L306" s="30" t="s">
        <v>35</v>
      </c>
      <c r="M306" s="31" t="s">
        <v>158</v>
      </c>
      <c r="N306" s="28" t="s">
        <v>1420</v>
      </c>
      <c r="O306" s="32">
        <v>9.703028667E9</v>
      </c>
      <c r="P306" s="58"/>
      <c r="Q306" s="22"/>
      <c r="R306" s="22"/>
      <c r="S306" s="22"/>
      <c r="T306" s="22">
        <v>1.0</v>
      </c>
      <c r="U306" s="22">
        <v>1.0</v>
      </c>
      <c r="V306" s="106">
        <v>44983.0</v>
      </c>
      <c r="W306" s="22"/>
      <c r="X306" s="22" t="s">
        <v>800</v>
      </c>
      <c r="Y306" s="36" t="str">
        <f t="shared" ref="Y306:Y319" si="31">if(E306="Active","send","renew")</f>
        <v>renew</v>
      </c>
      <c r="Z306" s="21"/>
      <c r="AA306" s="21" t="s">
        <v>8</v>
      </c>
    </row>
    <row r="307">
      <c r="A307" s="20" t="s">
        <v>1421</v>
      </c>
      <c r="B307" s="20" t="s">
        <v>1422</v>
      </c>
      <c r="C307" s="21">
        <v>1063.0</v>
      </c>
      <c r="D307" s="22" t="str">
        <f t="shared" si="1"/>
        <v>General</v>
      </c>
      <c r="E307" s="23" t="str">
        <f t="shared" si="2"/>
        <v>Lapsed</v>
      </c>
      <c r="F307" s="24">
        <v>1.0</v>
      </c>
      <c r="G307" s="25">
        <v>45299.0</v>
      </c>
      <c r="H307" s="26">
        <f t="shared" si="9"/>
        <v>45657</v>
      </c>
      <c r="I307" s="27"/>
      <c r="J307" s="28" t="s">
        <v>1423</v>
      </c>
      <c r="K307" s="29" t="s">
        <v>190</v>
      </c>
      <c r="L307" s="30" t="s">
        <v>35</v>
      </c>
      <c r="M307" s="31" t="s">
        <v>191</v>
      </c>
      <c r="N307" s="28" t="s">
        <v>1424</v>
      </c>
      <c r="O307" s="32">
        <v>7.202265402E9</v>
      </c>
      <c r="P307" s="58"/>
      <c r="Q307" s="22"/>
      <c r="R307" s="56" t="s">
        <v>1186</v>
      </c>
      <c r="S307" s="22"/>
      <c r="T307" s="22">
        <v>1.0</v>
      </c>
      <c r="U307" s="22">
        <v>1.0</v>
      </c>
      <c r="V307" s="106">
        <v>44978.0</v>
      </c>
      <c r="W307" s="22"/>
      <c r="X307" s="22" t="s">
        <v>800</v>
      </c>
      <c r="Y307" s="36" t="str">
        <f t="shared" si="31"/>
        <v>renew</v>
      </c>
      <c r="Z307" s="21"/>
      <c r="AA307" s="21" t="s">
        <v>8</v>
      </c>
    </row>
    <row r="308">
      <c r="A308" s="20" t="s">
        <v>1425</v>
      </c>
      <c r="B308" s="20" t="s">
        <v>1426</v>
      </c>
      <c r="C308" s="21">
        <v>1062.0</v>
      </c>
      <c r="D308" s="22" t="str">
        <f t="shared" si="1"/>
        <v>General</v>
      </c>
      <c r="E308" s="23" t="str">
        <f t="shared" si="2"/>
        <v>Lapsed</v>
      </c>
      <c r="F308" s="24">
        <v>1.0</v>
      </c>
      <c r="G308" s="25">
        <v>45007.0</v>
      </c>
      <c r="H308" s="26">
        <f t="shared" si="9"/>
        <v>45291</v>
      </c>
      <c r="I308" s="27"/>
      <c r="J308" s="28" t="s">
        <v>1427</v>
      </c>
      <c r="K308" s="29" t="s">
        <v>157</v>
      </c>
      <c r="L308" s="30" t="s">
        <v>35</v>
      </c>
      <c r="M308" s="31" t="s">
        <v>158</v>
      </c>
      <c r="N308" s="28" t="s">
        <v>1428</v>
      </c>
      <c r="O308" s="32">
        <v>9.705760084E9</v>
      </c>
      <c r="P308" s="58"/>
      <c r="Q308" s="22"/>
      <c r="R308" s="22"/>
      <c r="S308" s="22"/>
      <c r="T308" s="22"/>
      <c r="U308" s="22">
        <v>1.0</v>
      </c>
      <c r="V308" s="106">
        <v>45007.0</v>
      </c>
      <c r="W308" s="22"/>
      <c r="X308" s="22" t="s">
        <v>800</v>
      </c>
      <c r="Y308" s="36" t="str">
        <f t="shared" si="31"/>
        <v>renew</v>
      </c>
      <c r="Z308" s="21"/>
      <c r="AA308" s="21" t="s">
        <v>8</v>
      </c>
    </row>
    <row r="309">
      <c r="A309" s="20" t="s">
        <v>1429</v>
      </c>
      <c r="B309" s="20" t="s">
        <v>1430</v>
      </c>
      <c r="C309" s="21">
        <v>1061.0</v>
      </c>
      <c r="D309" s="22" t="str">
        <f t="shared" si="1"/>
        <v>General</v>
      </c>
      <c r="E309" s="23" t="str">
        <f t="shared" si="2"/>
        <v>Lapsed</v>
      </c>
      <c r="F309" s="24">
        <v>1.0</v>
      </c>
      <c r="G309" s="25">
        <v>44906.0</v>
      </c>
      <c r="H309" s="26">
        <f t="shared" si="9"/>
        <v>44926</v>
      </c>
      <c r="I309" s="27"/>
      <c r="J309" s="28" t="s">
        <v>1431</v>
      </c>
      <c r="K309" s="29" t="s">
        <v>1432</v>
      </c>
      <c r="L309" s="30" t="s">
        <v>244</v>
      </c>
      <c r="M309" s="31" t="s">
        <v>1433</v>
      </c>
      <c r="N309" s="28" t="s">
        <v>1434</v>
      </c>
      <c r="O309" s="32">
        <v>3.085300864E9</v>
      </c>
      <c r="P309" s="58"/>
      <c r="Q309" s="22"/>
      <c r="R309" s="118"/>
      <c r="S309" s="22"/>
      <c r="T309" s="22"/>
      <c r="U309" s="22">
        <v>1.0</v>
      </c>
      <c r="V309" s="106">
        <v>44906.0</v>
      </c>
      <c r="W309" s="22"/>
      <c r="X309" s="22" t="s">
        <v>800</v>
      </c>
      <c r="Y309" s="36" t="str">
        <f t="shared" si="31"/>
        <v>renew</v>
      </c>
      <c r="Z309" s="27"/>
      <c r="AA309" s="27" t="s">
        <v>8</v>
      </c>
    </row>
    <row r="310">
      <c r="A310" s="20" t="s">
        <v>86</v>
      </c>
      <c r="B310" s="20" t="s">
        <v>1435</v>
      </c>
      <c r="C310" s="21">
        <v>1060.0</v>
      </c>
      <c r="D310" s="22" t="str">
        <f t="shared" si="1"/>
        <v>General</v>
      </c>
      <c r="E310" s="23" t="str">
        <f t="shared" si="2"/>
        <v>Lapsed</v>
      </c>
      <c r="F310" s="24">
        <v>1.0</v>
      </c>
      <c r="G310" s="25">
        <v>44834.0</v>
      </c>
      <c r="H310" s="26">
        <f t="shared" si="9"/>
        <v>44926</v>
      </c>
      <c r="I310" s="27"/>
      <c r="J310" s="28" t="s">
        <v>1436</v>
      </c>
      <c r="K310" s="29" t="s">
        <v>1437</v>
      </c>
      <c r="L310" s="30" t="s">
        <v>35</v>
      </c>
      <c r="M310" s="31" t="s">
        <v>1438</v>
      </c>
      <c r="N310" s="28" t="s">
        <v>1439</v>
      </c>
      <c r="O310" s="32">
        <v>7.192328299E9</v>
      </c>
      <c r="P310" s="58"/>
      <c r="Q310" s="22"/>
      <c r="R310" s="22"/>
      <c r="S310" s="22"/>
      <c r="T310" s="38"/>
      <c r="U310" s="38"/>
      <c r="V310" s="59"/>
      <c r="W310" s="22" t="s">
        <v>800</v>
      </c>
      <c r="X310" s="38"/>
      <c r="Y310" s="36" t="str">
        <f t="shared" si="31"/>
        <v>renew</v>
      </c>
      <c r="Z310" s="21"/>
      <c r="AA310" s="21" t="s">
        <v>671</v>
      </c>
    </row>
    <row r="311">
      <c r="A311" s="20" t="s">
        <v>1440</v>
      </c>
      <c r="B311" s="20" t="s">
        <v>1441</v>
      </c>
      <c r="C311" s="21">
        <v>1059.0</v>
      </c>
      <c r="D311" s="22" t="str">
        <f t="shared" si="1"/>
        <v>General</v>
      </c>
      <c r="E311" s="23" t="str">
        <f t="shared" si="2"/>
        <v>Lapsed</v>
      </c>
      <c r="F311" s="24">
        <v>1.0</v>
      </c>
      <c r="G311" s="25">
        <v>45515.0</v>
      </c>
      <c r="H311" s="26">
        <f t="shared" si="9"/>
        <v>45657</v>
      </c>
      <c r="I311" s="27"/>
      <c r="J311" s="28" t="s">
        <v>1442</v>
      </c>
      <c r="K311" s="29" t="s">
        <v>1443</v>
      </c>
      <c r="L311" s="30" t="s">
        <v>35</v>
      </c>
      <c r="M311" s="31" t="s">
        <v>1444</v>
      </c>
      <c r="N311" s="28" t="s">
        <v>1445</v>
      </c>
      <c r="O311" s="32">
        <v>9.702319814E9</v>
      </c>
      <c r="P311" s="58"/>
      <c r="Q311" s="22"/>
      <c r="R311" s="22"/>
      <c r="S311" s="22"/>
      <c r="T311" s="22">
        <v>1.0</v>
      </c>
      <c r="U311" s="38"/>
      <c r="V311" s="59"/>
      <c r="W311" s="22" t="s">
        <v>800</v>
      </c>
      <c r="X311" s="38"/>
      <c r="Y311" s="36" t="str">
        <f t="shared" si="31"/>
        <v>renew</v>
      </c>
      <c r="Z311" s="21"/>
      <c r="AA311" s="21" t="s">
        <v>27</v>
      </c>
    </row>
    <row r="312">
      <c r="A312" s="20" t="s">
        <v>1446</v>
      </c>
      <c r="B312" s="20" t="s">
        <v>1447</v>
      </c>
      <c r="C312" s="21">
        <v>1058.0</v>
      </c>
      <c r="D312" s="22" t="str">
        <f t="shared" si="1"/>
        <v>General</v>
      </c>
      <c r="E312" s="23" t="str">
        <f t="shared" si="2"/>
        <v>Lapsed</v>
      </c>
      <c r="F312" s="24">
        <v>1.0</v>
      </c>
      <c r="G312" s="25">
        <v>45044.0</v>
      </c>
      <c r="H312" s="26">
        <f t="shared" si="9"/>
        <v>45291</v>
      </c>
      <c r="I312" s="27"/>
      <c r="J312" s="28" t="s">
        <v>1448</v>
      </c>
      <c r="K312" s="29" t="s">
        <v>42</v>
      </c>
      <c r="L312" s="30" t="s">
        <v>35</v>
      </c>
      <c r="M312" s="31" t="s">
        <v>131</v>
      </c>
      <c r="N312" s="28" t="s">
        <v>1449</v>
      </c>
      <c r="O312" s="32">
        <v>9.258589455E9</v>
      </c>
      <c r="P312" s="58"/>
      <c r="Q312" s="22"/>
      <c r="R312" s="22"/>
      <c r="S312" s="22"/>
      <c r="T312" s="22"/>
      <c r="U312" s="22">
        <v>1.0</v>
      </c>
      <c r="V312" s="116">
        <v>45044.0</v>
      </c>
      <c r="W312" s="22" t="s">
        <v>800</v>
      </c>
      <c r="X312" s="22" t="s">
        <v>800</v>
      </c>
      <c r="Y312" s="36" t="str">
        <f t="shared" si="31"/>
        <v>renew</v>
      </c>
      <c r="Z312" s="21"/>
      <c r="AA312" s="21" t="s">
        <v>8</v>
      </c>
    </row>
    <row r="313">
      <c r="A313" s="20" t="s">
        <v>1450</v>
      </c>
      <c r="B313" s="20" t="s">
        <v>1451</v>
      </c>
      <c r="C313" s="21">
        <v>1057.0</v>
      </c>
      <c r="D313" s="22" t="str">
        <f t="shared" si="1"/>
        <v>General</v>
      </c>
      <c r="E313" s="23" t="str">
        <f t="shared" si="2"/>
        <v>Lapsed</v>
      </c>
      <c r="F313" s="24">
        <v>1.0</v>
      </c>
      <c r="G313" s="25">
        <v>44841.0</v>
      </c>
      <c r="H313" s="26">
        <f t="shared" si="9"/>
        <v>44926</v>
      </c>
      <c r="I313" s="27"/>
      <c r="J313" s="28" t="s">
        <v>1452</v>
      </c>
      <c r="K313" s="29" t="s">
        <v>939</v>
      </c>
      <c r="L313" s="30" t="s">
        <v>35</v>
      </c>
      <c r="M313" s="31" t="s">
        <v>940</v>
      </c>
      <c r="N313" s="28" t="s">
        <v>1453</v>
      </c>
      <c r="O313" s="32">
        <v>7.852072627E9</v>
      </c>
      <c r="P313" s="58"/>
      <c r="Q313" s="22"/>
      <c r="R313" s="22"/>
      <c r="S313" s="38"/>
      <c r="T313" s="38"/>
      <c r="U313" s="38"/>
      <c r="V313" s="59"/>
      <c r="W313" s="22" t="s">
        <v>800</v>
      </c>
      <c r="X313" s="38"/>
      <c r="Y313" s="36" t="str">
        <f t="shared" si="31"/>
        <v>renew</v>
      </c>
      <c r="Z313" s="21"/>
      <c r="AA313" s="21" t="s">
        <v>27</v>
      </c>
    </row>
    <row r="314">
      <c r="A314" s="20" t="s">
        <v>1454</v>
      </c>
      <c r="B314" s="20" t="s">
        <v>1451</v>
      </c>
      <c r="C314" s="21">
        <v>1056.0</v>
      </c>
      <c r="D314" s="22" t="str">
        <f t="shared" si="1"/>
        <v>General</v>
      </c>
      <c r="E314" s="23" t="str">
        <f t="shared" si="2"/>
        <v>Lapsed</v>
      </c>
      <c r="F314" s="24">
        <v>1.0</v>
      </c>
      <c r="G314" s="25">
        <v>45771.0</v>
      </c>
      <c r="H314" s="26">
        <f t="shared" si="9"/>
        <v>46022</v>
      </c>
      <c r="I314" s="27"/>
      <c r="J314" s="28" t="s">
        <v>1452</v>
      </c>
      <c r="K314" s="29" t="s">
        <v>939</v>
      </c>
      <c r="L314" s="30" t="s">
        <v>35</v>
      </c>
      <c r="M314" s="31" t="s">
        <v>940</v>
      </c>
      <c r="N314" s="28" t="s">
        <v>1455</v>
      </c>
      <c r="O314" s="32" t="s">
        <v>1456</v>
      </c>
      <c r="P314" s="58"/>
      <c r="Q314" s="22"/>
      <c r="R314" s="22"/>
      <c r="S314" s="22">
        <v>1.0</v>
      </c>
      <c r="T314" s="22">
        <v>1.0</v>
      </c>
      <c r="U314" s="22">
        <v>2.0</v>
      </c>
      <c r="V314" s="106">
        <v>45059.0</v>
      </c>
      <c r="W314" s="22" t="s">
        <v>800</v>
      </c>
      <c r="X314" s="22" t="s">
        <v>800</v>
      </c>
      <c r="Y314" s="36" t="str">
        <f t="shared" si="31"/>
        <v>renew</v>
      </c>
      <c r="Z314" s="21" t="s">
        <v>27</v>
      </c>
      <c r="AA314" s="21" t="s">
        <v>27</v>
      </c>
    </row>
    <row r="315">
      <c r="A315" s="20" t="s">
        <v>1457</v>
      </c>
      <c r="B315" s="20" t="s">
        <v>1458</v>
      </c>
      <c r="C315" s="21">
        <v>1055.0</v>
      </c>
      <c r="D315" s="22" t="str">
        <f t="shared" si="1"/>
        <v>General</v>
      </c>
      <c r="E315" s="23" t="str">
        <f t="shared" si="2"/>
        <v>Lapsed</v>
      </c>
      <c r="F315" s="24">
        <v>1.0</v>
      </c>
      <c r="G315" s="25">
        <v>44820.0</v>
      </c>
      <c r="H315" s="26">
        <f t="shared" si="9"/>
        <v>44926</v>
      </c>
      <c r="I315" s="27"/>
      <c r="J315" s="28" t="s">
        <v>1459</v>
      </c>
      <c r="K315" s="29" t="s">
        <v>1460</v>
      </c>
      <c r="L315" s="30" t="s">
        <v>35</v>
      </c>
      <c r="M315" s="31" t="s">
        <v>323</v>
      </c>
      <c r="N315" s="28" t="s">
        <v>1461</v>
      </c>
      <c r="O315" s="32">
        <v>3.034760034E9</v>
      </c>
      <c r="P315" s="58"/>
      <c r="Q315" s="22"/>
      <c r="R315" s="22"/>
      <c r="S315" s="38"/>
      <c r="T315" s="38"/>
      <c r="U315" s="38"/>
      <c r="V315" s="59"/>
      <c r="W315" s="22" t="s">
        <v>800</v>
      </c>
      <c r="X315" s="38"/>
      <c r="Y315" s="36" t="str">
        <f t="shared" si="31"/>
        <v>renew</v>
      </c>
      <c r="Z315" s="21"/>
      <c r="AA315" s="21" t="s">
        <v>8</v>
      </c>
    </row>
    <row r="316">
      <c r="A316" s="20" t="s">
        <v>1462</v>
      </c>
      <c r="B316" s="20" t="s">
        <v>1463</v>
      </c>
      <c r="C316" s="21">
        <v>1054.0</v>
      </c>
      <c r="D316" s="22" t="str">
        <f t="shared" si="1"/>
        <v>General</v>
      </c>
      <c r="E316" s="23" t="str">
        <f t="shared" si="2"/>
        <v>Lapsed</v>
      </c>
      <c r="F316" s="24">
        <v>1.0</v>
      </c>
      <c r="G316" s="25">
        <v>44810.0</v>
      </c>
      <c r="H316" s="26">
        <f t="shared" si="9"/>
        <v>44926</v>
      </c>
      <c r="I316" s="27"/>
      <c r="J316" s="28" t="s">
        <v>1464</v>
      </c>
      <c r="K316" s="29" t="s">
        <v>42</v>
      </c>
      <c r="L316" s="30" t="s">
        <v>35</v>
      </c>
      <c r="M316" s="31" t="s">
        <v>293</v>
      </c>
      <c r="N316" s="28" t="s">
        <v>1465</v>
      </c>
      <c r="O316" s="32">
        <v>9.702172975E9</v>
      </c>
      <c r="P316" s="58"/>
      <c r="Q316" s="22"/>
      <c r="R316" s="22"/>
      <c r="S316" s="38"/>
      <c r="T316" s="38"/>
      <c r="U316" s="38"/>
      <c r="V316" s="59"/>
      <c r="W316" s="22" t="s">
        <v>800</v>
      </c>
      <c r="X316" s="38"/>
      <c r="Y316" s="36" t="str">
        <f t="shared" si="31"/>
        <v>renew</v>
      </c>
      <c r="Z316" s="21"/>
      <c r="AA316" s="21" t="s">
        <v>8</v>
      </c>
    </row>
    <row r="317">
      <c r="A317" s="20" t="s">
        <v>1466</v>
      </c>
      <c r="B317" s="20" t="s">
        <v>446</v>
      </c>
      <c r="C317" s="21">
        <v>1053.0</v>
      </c>
      <c r="D317" s="22" t="str">
        <f t="shared" si="1"/>
        <v>General</v>
      </c>
      <c r="E317" s="23" t="str">
        <f t="shared" si="2"/>
        <v>Lapsed</v>
      </c>
      <c r="F317" s="24">
        <v>1.0</v>
      </c>
      <c r="G317" s="25">
        <v>45771.0</v>
      </c>
      <c r="H317" s="26">
        <f t="shared" si="9"/>
        <v>46022</v>
      </c>
      <c r="I317" s="27"/>
      <c r="J317" s="28" t="s">
        <v>447</v>
      </c>
      <c r="K317" s="29" t="s">
        <v>448</v>
      </c>
      <c r="L317" s="30" t="s">
        <v>35</v>
      </c>
      <c r="M317" s="31" t="s">
        <v>277</v>
      </c>
      <c r="N317" s="57" t="s">
        <v>449</v>
      </c>
      <c r="O317" s="32">
        <v>9.72420181E9</v>
      </c>
      <c r="P317" s="58"/>
      <c r="Q317" s="22"/>
      <c r="R317" s="22"/>
      <c r="S317" s="22">
        <v>1.0</v>
      </c>
      <c r="T317" s="38"/>
      <c r="U317" s="38"/>
      <c r="V317" s="59"/>
      <c r="W317" s="22" t="s">
        <v>800</v>
      </c>
      <c r="X317" s="38"/>
      <c r="Y317" s="36" t="str">
        <f t="shared" si="31"/>
        <v>renew</v>
      </c>
      <c r="Z317" s="21" t="s">
        <v>27</v>
      </c>
      <c r="AA317" s="21" t="s">
        <v>8</v>
      </c>
    </row>
    <row r="318">
      <c r="A318" s="20" t="s">
        <v>597</v>
      </c>
      <c r="B318" s="20" t="s">
        <v>1467</v>
      </c>
      <c r="C318" s="21">
        <v>1052.0</v>
      </c>
      <c r="D318" s="22" t="str">
        <f t="shared" si="1"/>
        <v>General</v>
      </c>
      <c r="E318" s="23" t="str">
        <f t="shared" si="2"/>
        <v>Lapsed</v>
      </c>
      <c r="F318" s="24">
        <v>1.0</v>
      </c>
      <c r="G318" s="25">
        <v>44786.0</v>
      </c>
      <c r="H318" s="26">
        <f t="shared" si="9"/>
        <v>44926</v>
      </c>
      <c r="I318" s="27"/>
      <c r="J318" s="28" t="s">
        <v>1468</v>
      </c>
      <c r="K318" s="29" t="s">
        <v>826</v>
      </c>
      <c r="L318" s="30" t="s">
        <v>57</v>
      </c>
      <c r="M318" s="31" t="s">
        <v>827</v>
      </c>
      <c r="N318" s="28" t="s">
        <v>1469</v>
      </c>
      <c r="O318" s="32">
        <v>3.072876647E9</v>
      </c>
      <c r="P318" s="58"/>
      <c r="Q318" s="22"/>
      <c r="R318" s="22"/>
      <c r="S318" s="38"/>
      <c r="T318" s="38"/>
      <c r="U318" s="38"/>
      <c r="V318" s="59"/>
      <c r="W318" s="22" t="s">
        <v>800</v>
      </c>
      <c r="X318" s="38"/>
      <c r="Y318" s="36" t="str">
        <f t="shared" si="31"/>
        <v>renew</v>
      </c>
      <c r="Z318" s="21"/>
      <c r="AA318" s="21" t="s">
        <v>8</v>
      </c>
    </row>
    <row r="319">
      <c r="A319" s="20" t="s">
        <v>1470</v>
      </c>
      <c r="B319" s="20" t="s">
        <v>1471</v>
      </c>
      <c r="C319" s="21">
        <v>1051.0</v>
      </c>
      <c r="D319" s="22" t="str">
        <f t="shared" si="1"/>
        <v>General</v>
      </c>
      <c r="E319" s="23" t="str">
        <f t="shared" si="2"/>
        <v>Lapsed</v>
      </c>
      <c r="F319" s="24">
        <v>1.0</v>
      </c>
      <c r="G319" s="25">
        <v>45292.0</v>
      </c>
      <c r="H319" s="26">
        <f t="shared" si="9"/>
        <v>45657</v>
      </c>
      <c r="I319" s="21"/>
      <c r="J319" s="28" t="s">
        <v>1472</v>
      </c>
      <c r="K319" s="29" t="s">
        <v>898</v>
      </c>
      <c r="L319" s="30" t="s">
        <v>35</v>
      </c>
      <c r="M319" s="31" t="s">
        <v>1179</v>
      </c>
      <c r="N319" s="28" t="s">
        <v>1473</v>
      </c>
      <c r="O319" s="32">
        <v>9.703812007E9</v>
      </c>
      <c r="P319" s="58"/>
      <c r="Q319" s="22"/>
      <c r="R319" s="22"/>
      <c r="S319" s="22"/>
      <c r="T319" s="22">
        <v>1.0</v>
      </c>
      <c r="U319" s="22">
        <v>1.0</v>
      </c>
      <c r="V319" s="119">
        <v>45015.0</v>
      </c>
      <c r="W319" s="22" t="s">
        <v>800</v>
      </c>
      <c r="X319" s="22" t="s">
        <v>800</v>
      </c>
      <c r="Y319" s="36" t="str">
        <f t="shared" si="31"/>
        <v>renew</v>
      </c>
      <c r="Z319" s="27"/>
      <c r="AA319" s="27" t="s">
        <v>8</v>
      </c>
    </row>
    <row r="320">
      <c r="A320" s="20" t="s">
        <v>1474</v>
      </c>
      <c r="B320" s="20" t="s">
        <v>1475</v>
      </c>
      <c r="C320" s="21">
        <v>1050.0</v>
      </c>
      <c r="D320" s="22" t="str">
        <f t="shared" si="1"/>
        <v>General</v>
      </c>
      <c r="E320" s="23" t="str">
        <f t="shared" si="2"/>
        <v>Active</v>
      </c>
      <c r="F320" s="24">
        <v>1.0</v>
      </c>
      <c r="G320" s="25">
        <v>46081.0</v>
      </c>
      <c r="H320" s="26">
        <f t="shared" si="9"/>
        <v>46387</v>
      </c>
      <c r="I320" s="27" t="s">
        <v>27</v>
      </c>
      <c r="J320" s="28" t="s">
        <v>1476</v>
      </c>
      <c r="K320" s="29" t="s">
        <v>743</v>
      </c>
      <c r="L320" s="30" t="s">
        <v>35</v>
      </c>
      <c r="M320" s="31" t="s">
        <v>744</v>
      </c>
      <c r="N320" s="28" t="s">
        <v>1477</v>
      </c>
      <c r="O320" s="32" t="s">
        <v>1478</v>
      </c>
      <c r="P320" s="58"/>
      <c r="Q320" s="22"/>
      <c r="R320" s="118"/>
      <c r="S320" s="22">
        <v>1.0</v>
      </c>
      <c r="T320" s="22"/>
      <c r="U320" s="22">
        <v>1.0</v>
      </c>
      <c r="V320" s="119">
        <v>44956.0</v>
      </c>
      <c r="W320" s="22" t="s">
        <v>800</v>
      </c>
      <c r="X320" s="22" t="s">
        <v>800</v>
      </c>
      <c r="Y320" s="36" t="s">
        <v>45</v>
      </c>
      <c r="Z320" s="27" t="s">
        <v>27</v>
      </c>
      <c r="AA320" s="27" t="s">
        <v>8</v>
      </c>
    </row>
    <row r="321">
      <c r="A321" s="20" t="s">
        <v>1479</v>
      </c>
      <c r="B321" s="20" t="s">
        <v>1480</v>
      </c>
      <c r="C321" s="21">
        <v>1049.0</v>
      </c>
      <c r="D321" s="22" t="str">
        <f t="shared" si="1"/>
        <v>General</v>
      </c>
      <c r="E321" s="23" t="str">
        <f t="shared" si="2"/>
        <v>Lapsed</v>
      </c>
      <c r="F321" s="24">
        <v>1.0</v>
      </c>
      <c r="G321" s="25">
        <v>44786.0</v>
      </c>
      <c r="H321" s="26">
        <f t="shared" si="9"/>
        <v>44926</v>
      </c>
      <c r="I321" s="27"/>
      <c r="J321" s="28" t="s">
        <v>1481</v>
      </c>
      <c r="K321" s="29" t="s">
        <v>1482</v>
      </c>
      <c r="L321" s="30" t="s">
        <v>57</v>
      </c>
      <c r="M321" s="31" t="s">
        <v>1483</v>
      </c>
      <c r="N321" s="28" t="s">
        <v>1484</v>
      </c>
      <c r="O321" s="32">
        <v>3.07259749E9</v>
      </c>
      <c r="P321" s="58"/>
      <c r="Q321" s="22"/>
      <c r="R321" s="22"/>
      <c r="S321" s="38"/>
      <c r="T321" s="38"/>
      <c r="U321" s="38"/>
      <c r="V321" s="59"/>
      <c r="W321" s="22" t="s">
        <v>800</v>
      </c>
      <c r="X321" s="38"/>
      <c r="Y321" s="36" t="str">
        <f t="shared" ref="Y321:Y326" si="32">if(E321="Active","send","renew")</f>
        <v>renew</v>
      </c>
      <c r="Z321" s="27"/>
      <c r="AA321" s="27" t="s">
        <v>8</v>
      </c>
    </row>
    <row r="322">
      <c r="A322" s="20" t="s">
        <v>1485</v>
      </c>
      <c r="B322" s="20" t="s">
        <v>1486</v>
      </c>
      <c r="C322" s="21">
        <v>1048.0</v>
      </c>
      <c r="D322" s="22" t="str">
        <f t="shared" si="1"/>
        <v>Youth</v>
      </c>
      <c r="E322" s="23" t="str">
        <f t="shared" si="2"/>
        <v>Lapsed</v>
      </c>
      <c r="F322" s="24">
        <v>1.0</v>
      </c>
      <c r="G322" s="25">
        <v>44786.0</v>
      </c>
      <c r="H322" s="26">
        <f t="shared" si="9"/>
        <v>44926</v>
      </c>
      <c r="I322" s="27"/>
      <c r="J322" s="28" t="s">
        <v>1487</v>
      </c>
      <c r="K322" s="29" t="s">
        <v>1488</v>
      </c>
      <c r="L322" s="30" t="s">
        <v>244</v>
      </c>
      <c r="M322" s="31" t="s">
        <v>1489</v>
      </c>
      <c r="N322" s="28" t="s">
        <v>1490</v>
      </c>
      <c r="O322" s="32">
        <v>9.70214815E9</v>
      </c>
      <c r="P322" s="58">
        <v>40383.0</v>
      </c>
      <c r="Q322" s="22">
        <f>datedif(P322,today(),"Y")</f>
        <v>15</v>
      </c>
      <c r="R322" s="22"/>
      <c r="S322" s="38"/>
      <c r="T322" s="38"/>
      <c r="U322" s="38"/>
      <c r="V322" s="59"/>
      <c r="W322" s="22" t="s">
        <v>800</v>
      </c>
      <c r="X322" s="38"/>
      <c r="Y322" s="36" t="str">
        <f t="shared" si="32"/>
        <v>renew</v>
      </c>
      <c r="Z322" s="21"/>
      <c r="AA322" s="21" t="s">
        <v>671</v>
      </c>
    </row>
    <row r="323">
      <c r="A323" s="20" t="s">
        <v>1491</v>
      </c>
      <c r="B323" s="20" t="s">
        <v>1492</v>
      </c>
      <c r="C323" s="21">
        <v>1047.0</v>
      </c>
      <c r="D323" s="22" t="str">
        <f t="shared" si="1"/>
        <v>General</v>
      </c>
      <c r="E323" s="23" t="str">
        <f t="shared" si="2"/>
        <v>Lapsed</v>
      </c>
      <c r="F323" s="24">
        <v>1.0</v>
      </c>
      <c r="G323" s="25">
        <v>44786.0</v>
      </c>
      <c r="H323" s="26">
        <f t="shared" si="9"/>
        <v>44926</v>
      </c>
      <c r="I323" s="27"/>
      <c r="J323" s="28" t="s">
        <v>1493</v>
      </c>
      <c r="K323" s="29" t="s">
        <v>1494</v>
      </c>
      <c r="L323" s="30" t="s">
        <v>57</v>
      </c>
      <c r="M323" s="31" t="s">
        <v>1495</v>
      </c>
      <c r="N323" s="28" t="s">
        <v>1496</v>
      </c>
      <c r="O323" s="32" t="s">
        <v>1497</v>
      </c>
      <c r="P323" s="58"/>
      <c r="Q323" s="22"/>
      <c r="R323" s="22"/>
      <c r="S323" s="38"/>
      <c r="T323" s="38"/>
      <c r="U323" s="38"/>
      <c r="V323" s="59"/>
      <c r="W323" s="22" t="s">
        <v>800</v>
      </c>
      <c r="X323" s="38"/>
      <c r="Y323" s="36" t="str">
        <f t="shared" si="32"/>
        <v>renew</v>
      </c>
      <c r="Z323" s="21"/>
      <c r="AA323" s="21" t="s">
        <v>671</v>
      </c>
    </row>
    <row r="324">
      <c r="A324" s="20" t="s">
        <v>1498</v>
      </c>
      <c r="B324" s="20" t="s">
        <v>1499</v>
      </c>
      <c r="C324" s="21">
        <v>1046.0</v>
      </c>
      <c r="D324" s="22" t="str">
        <f t="shared" si="1"/>
        <v>General</v>
      </c>
      <c r="E324" s="23" t="str">
        <f t="shared" si="2"/>
        <v>Lapsed</v>
      </c>
      <c r="F324" s="24">
        <v>1.0</v>
      </c>
      <c r="G324" s="25">
        <v>44759.0</v>
      </c>
      <c r="H324" s="26">
        <f t="shared" si="9"/>
        <v>44926</v>
      </c>
      <c r="I324" s="27"/>
      <c r="J324" s="28" t="s">
        <v>1500</v>
      </c>
      <c r="K324" s="29" t="s">
        <v>1501</v>
      </c>
      <c r="L324" s="30" t="s">
        <v>1502</v>
      </c>
      <c r="M324" s="31" t="s">
        <v>1503</v>
      </c>
      <c r="N324" s="28" t="s">
        <v>1504</v>
      </c>
      <c r="O324" s="32" t="s">
        <v>1505</v>
      </c>
      <c r="P324" s="58"/>
      <c r="Q324" s="22"/>
      <c r="R324" s="22"/>
      <c r="S324" s="38"/>
      <c r="T324" s="38"/>
      <c r="U324" s="38"/>
      <c r="V324" s="59"/>
      <c r="W324" s="22" t="s">
        <v>800</v>
      </c>
      <c r="X324" s="38"/>
      <c r="Y324" s="36" t="str">
        <f t="shared" si="32"/>
        <v>renew</v>
      </c>
      <c r="Z324" s="21"/>
      <c r="AA324" s="21" t="s">
        <v>671</v>
      </c>
    </row>
    <row r="325">
      <c r="A325" s="20" t="s">
        <v>1506</v>
      </c>
      <c r="B325" s="20" t="s">
        <v>1507</v>
      </c>
      <c r="C325" s="21">
        <v>1045.0</v>
      </c>
      <c r="D325" s="22" t="str">
        <f t="shared" si="1"/>
        <v>General</v>
      </c>
      <c r="E325" s="23" t="str">
        <f t="shared" si="2"/>
        <v>Lapsed</v>
      </c>
      <c r="F325" s="24">
        <v>1.0</v>
      </c>
      <c r="G325" s="25">
        <v>44751.0</v>
      </c>
      <c r="H325" s="26">
        <f t="shared" si="9"/>
        <v>44926</v>
      </c>
      <c r="I325" s="27"/>
      <c r="J325" s="28" t="s">
        <v>1508</v>
      </c>
      <c r="K325" s="29" t="s">
        <v>322</v>
      </c>
      <c r="L325" s="30" t="s">
        <v>35</v>
      </c>
      <c r="M325" s="31" t="s">
        <v>323</v>
      </c>
      <c r="N325" s="28" t="s">
        <v>1509</v>
      </c>
      <c r="O325" s="32">
        <v>7.203574393E9</v>
      </c>
      <c r="P325" s="58"/>
      <c r="Q325" s="22"/>
      <c r="R325" s="22"/>
      <c r="S325" s="22"/>
      <c r="T325" s="22"/>
      <c r="U325" s="22"/>
      <c r="V325" s="59"/>
      <c r="W325" s="22" t="s">
        <v>800</v>
      </c>
      <c r="X325" s="38"/>
      <c r="Y325" s="36" t="str">
        <f t="shared" si="32"/>
        <v>renew</v>
      </c>
      <c r="Z325" s="27"/>
      <c r="AA325" s="27" t="s">
        <v>671</v>
      </c>
    </row>
    <row r="326">
      <c r="A326" s="20" t="s">
        <v>1510</v>
      </c>
      <c r="B326" s="20" t="s">
        <v>1507</v>
      </c>
      <c r="C326" s="21">
        <v>1044.0</v>
      </c>
      <c r="D326" s="22" t="str">
        <f t="shared" si="1"/>
        <v>General</v>
      </c>
      <c r="E326" s="23" t="str">
        <f t="shared" si="2"/>
        <v>Lapsed</v>
      </c>
      <c r="F326" s="24">
        <v>1.0</v>
      </c>
      <c r="G326" s="25">
        <v>44751.0</v>
      </c>
      <c r="H326" s="26">
        <f t="shared" si="9"/>
        <v>44926</v>
      </c>
      <c r="I326" s="27"/>
      <c r="J326" s="28" t="s">
        <v>1508</v>
      </c>
      <c r="K326" s="29" t="s">
        <v>322</v>
      </c>
      <c r="L326" s="30" t="s">
        <v>35</v>
      </c>
      <c r="M326" s="31" t="s">
        <v>323</v>
      </c>
      <c r="N326" s="28" t="s">
        <v>1511</v>
      </c>
      <c r="O326" s="32">
        <v>7.208793759E9</v>
      </c>
      <c r="P326" s="58"/>
      <c r="Q326" s="22"/>
      <c r="R326" s="22"/>
      <c r="S326" s="38"/>
      <c r="T326" s="38"/>
      <c r="U326" s="38"/>
      <c r="V326" s="59"/>
      <c r="W326" s="22" t="s">
        <v>800</v>
      </c>
      <c r="X326" s="38"/>
      <c r="Y326" s="36" t="str">
        <f t="shared" si="32"/>
        <v>renew</v>
      </c>
      <c r="Z326" s="21"/>
      <c r="AA326" s="21" t="s">
        <v>671</v>
      </c>
    </row>
    <row r="327">
      <c r="A327" s="20" t="s">
        <v>1512</v>
      </c>
      <c r="B327" s="20" t="s">
        <v>1513</v>
      </c>
      <c r="C327" s="21">
        <v>1043.0</v>
      </c>
      <c r="D327" s="22" t="str">
        <f t="shared" si="1"/>
        <v>General</v>
      </c>
      <c r="E327" s="23" t="str">
        <f t="shared" si="2"/>
        <v>Active</v>
      </c>
      <c r="F327" s="24">
        <v>3.0</v>
      </c>
      <c r="G327" s="25">
        <v>45679.0</v>
      </c>
      <c r="H327" s="26">
        <f t="shared" si="9"/>
        <v>46752</v>
      </c>
      <c r="I327" s="27" t="s">
        <v>8</v>
      </c>
      <c r="J327" s="28" t="s">
        <v>62</v>
      </c>
      <c r="K327" s="29" t="s">
        <v>56</v>
      </c>
      <c r="L327" s="30" t="s">
        <v>57</v>
      </c>
      <c r="M327" s="31" t="s">
        <v>63</v>
      </c>
      <c r="N327" s="28" t="s">
        <v>64</v>
      </c>
      <c r="O327" s="32">
        <v>3.076317316E9</v>
      </c>
      <c r="P327" s="58"/>
      <c r="Q327" s="22"/>
      <c r="R327" s="22"/>
      <c r="S327" s="22">
        <v>1.0</v>
      </c>
      <c r="T327" s="22">
        <v>1.0</v>
      </c>
      <c r="U327" s="38"/>
      <c r="V327" s="59"/>
      <c r="W327" s="22" t="s">
        <v>800</v>
      </c>
      <c r="X327" s="38"/>
      <c r="Y327" s="36" t="s">
        <v>45</v>
      </c>
      <c r="Z327" s="21" t="s">
        <v>8</v>
      </c>
      <c r="AA327" s="21" t="s">
        <v>671</v>
      </c>
    </row>
    <row r="328">
      <c r="A328" s="20" t="s">
        <v>1240</v>
      </c>
      <c r="B328" s="20" t="s">
        <v>495</v>
      </c>
      <c r="C328" s="21">
        <v>1042.0</v>
      </c>
      <c r="D328" s="22" t="str">
        <f t="shared" si="1"/>
        <v>General</v>
      </c>
      <c r="E328" s="23" t="str">
        <f t="shared" si="2"/>
        <v>Lapsed</v>
      </c>
      <c r="F328" s="24">
        <v>1.0</v>
      </c>
      <c r="G328" s="25">
        <v>45771.0</v>
      </c>
      <c r="H328" s="26">
        <f t="shared" si="9"/>
        <v>46022</v>
      </c>
      <c r="I328" s="21"/>
      <c r="J328" s="28" t="s">
        <v>496</v>
      </c>
      <c r="K328" s="29" t="s">
        <v>497</v>
      </c>
      <c r="L328" s="30" t="s">
        <v>35</v>
      </c>
      <c r="M328" s="31" t="s">
        <v>498</v>
      </c>
      <c r="N328" s="28" t="s">
        <v>499</v>
      </c>
      <c r="O328" s="32" t="s">
        <v>500</v>
      </c>
      <c r="P328" s="58"/>
      <c r="Q328" s="22"/>
      <c r="R328" s="22"/>
      <c r="S328" s="22">
        <v>1.0</v>
      </c>
      <c r="T328" s="22">
        <v>1.0</v>
      </c>
      <c r="U328" s="22"/>
      <c r="V328" s="59"/>
      <c r="W328" s="22" t="s">
        <v>800</v>
      </c>
      <c r="X328" s="38"/>
      <c r="Y328" s="36" t="str">
        <f t="shared" ref="Y328:Y361" si="33">if(E328="Active","send","renew")</f>
        <v>renew</v>
      </c>
      <c r="Z328" s="21" t="s">
        <v>27</v>
      </c>
      <c r="AA328" s="21" t="s">
        <v>671</v>
      </c>
    </row>
    <row r="329">
      <c r="A329" s="20" t="s">
        <v>1514</v>
      </c>
      <c r="B329" s="20" t="s">
        <v>1515</v>
      </c>
      <c r="C329" s="21">
        <v>1041.0</v>
      </c>
      <c r="D329" s="22" t="str">
        <f t="shared" si="1"/>
        <v>General</v>
      </c>
      <c r="E329" s="23" t="str">
        <f t="shared" si="2"/>
        <v>Lapsed</v>
      </c>
      <c r="F329" s="24">
        <v>1.0</v>
      </c>
      <c r="G329" s="25">
        <v>45123.0</v>
      </c>
      <c r="H329" s="26">
        <f t="shared" si="9"/>
        <v>45291</v>
      </c>
      <c r="I329" s="27"/>
      <c r="J329" s="28" t="s">
        <v>1516</v>
      </c>
      <c r="K329" s="29" t="s">
        <v>1517</v>
      </c>
      <c r="L329" s="30" t="s">
        <v>57</v>
      </c>
      <c r="M329" s="31" t="s">
        <v>1518</v>
      </c>
      <c r="N329" s="28" t="s">
        <v>1519</v>
      </c>
      <c r="O329" s="32">
        <v>3.07438293E9</v>
      </c>
      <c r="P329" s="58"/>
      <c r="Q329" s="22"/>
      <c r="R329" s="22"/>
      <c r="S329" s="22"/>
      <c r="T329" s="22"/>
      <c r="U329" s="22">
        <v>2.0</v>
      </c>
      <c r="V329" s="35">
        <v>45123.0</v>
      </c>
      <c r="W329" s="22" t="s">
        <v>800</v>
      </c>
      <c r="X329" s="22" t="s">
        <v>800</v>
      </c>
      <c r="Y329" s="36" t="str">
        <f t="shared" si="33"/>
        <v>renew</v>
      </c>
      <c r="Z329" s="27"/>
      <c r="AA329" s="27" t="s">
        <v>671</v>
      </c>
    </row>
    <row r="330">
      <c r="A330" s="20" t="s">
        <v>326</v>
      </c>
      <c r="B330" s="20" t="s">
        <v>1520</v>
      </c>
      <c r="C330" s="21">
        <v>1040.0</v>
      </c>
      <c r="D330" s="22" t="str">
        <f t="shared" si="1"/>
        <v>General</v>
      </c>
      <c r="E330" s="23" t="str">
        <f t="shared" si="2"/>
        <v>Lapsed</v>
      </c>
      <c r="F330" s="24">
        <v>1.0</v>
      </c>
      <c r="G330" s="25">
        <v>44751.0</v>
      </c>
      <c r="H330" s="26">
        <f t="shared" si="9"/>
        <v>44926</v>
      </c>
      <c r="I330" s="27"/>
      <c r="J330" s="28" t="s">
        <v>1521</v>
      </c>
      <c r="K330" s="29" t="s">
        <v>1366</v>
      </c>
      <c r="L330" s="30" t="s">
        <v>35</v>
      </c>
      <c r="M330" s="31" t="s">
        <v>940</v>
      </c>
      <c r="N330" s="28" t="s">
        <v>1368</v>
      </c>
      <c r="O330" s="32">
        <v>9.706191335E9</v>
      </c>
      <c r="P330" s="58"/>
      <c r="Q330" s="22"/>
      <c r="R330" s="22"/>
      <c r="S330" s="38"/>
      <c r="T330" s="38"/>
      <c r="U330" s="38"/>
      <c r="V330" s="59"/>
      <c r="W330" s="22" t="s">
        <v>800</v>
      </c>
      <c r="X330" s="38"/>
      <c r="Y330" s="36" t="str">
        <f t="shared" si="33"/>
        <v>renew</v>
      </c>
      <c r="Z330" s="21"/>
      <c r="AA330" s="21" t="s">
        <v>671</v>
      </c>
    </row>
    <row r="331">
      <c r="A331" s="20" t="s">
        <v>630</v>
      </c>
      <c r="B331" s="20" t="s">
        <v>1522</v>
      </c>
      <c r="C331" s="21">
        <v>1039.0</v>
      </c>
      <c r="D331" s="22" t="str">
        <f t="shared" si="1"/>
        <v>General</v>
      </c>
      <c r="E331" s="23" t="str">
        <f t="shared" si="2"/>
        <v>Lapsed</v>
      </c>
      <c r="F331" s="24">
        <v>1.0</v>
      </c>
      <c r="G331" s="25">
        <v>45480.0</v>
      </c>
      <c r="H331" s="26">
        <f t="shared" si="9"/>
        <v>45657</v>
      </c>
      <c r="I331" s="27"/>
      <c r="J331" s="28" t="s">
        <v>1523</v>
      </c>
      <c r="K331" s="29" t="s">
        <v>1524</v>
      </c>
      <c r="L331" s="30" t="s">
        <v>57</v>
      </c>
      <c r="M331" s="31" t="s">
        <v>1525</v>
      </c>
      <c r="N331" s="28" t="s">
        <v>1526</v>
      </c>
      <c r="O331" s="32">
        <v>3.072172251E9</v>
      </c>
      <c r="P331" s="58">
        <v>38481.0</v>
      </c>
      <c r="Q331" s="22">
        <f t="shared" ref="Q331:Q332" si="34">datedif(P331,today(),"Y")</f>
        <v>20</v>
      </c>
      <c r="R331" s="22"/>
      <c r="S331" s="22"/>
      <c r="T331" s="22">
        <v>1.0</v>
      </c>
      <c r="U331" s="22"/>
      <c r="V331" s="59"/>
      <c r="W331" s="22" t="s">
        <v>800</v>
      </c>
      <c r="X331" s="38"/>
      <c r="Y331" s="36" t="str">
        <f t="shared" si="33"/>
        <v>renew</v>
      </c>
      <c r="Z331" s="27"/>
      <c r="AA331" s="27" t="s">
        <v>671</v>
      </c>
    </row>
    <row r="332">
      <c r="A332" s="20" t="s">
        <v>1527</v>
      </c>
      <c r="B332" s="20" t="s">
        <v>1528</v>
      </c>
      <c r="C332" s="21">
        <v>1038.0</v>
      </c>
      <c r="D332" s="22" t="str">
        <f t="shared" si="1"/>
        <v>General</v>
      </c>
      <c r="E332" s="23" t="str">
        <f t="shared" si="2"/>
        <v>Lapsed</v>
      </c>
      <c r="F332" s="24">
        <v>1.0</v>
      </c>
      <c r="G332" s="25">
        <v>45480.0</v>
      </c>
      <c r="H332" s="26">
        <f t="shared" si="9"/>
        <v>45657</v>
      </c>
      <c r="I332" s="27"/>
      <c r="J332" s="28" t="s">
        <v>1529</v>
      </c>
      <c r="K332" s="29" t="s">
        <v>1530</v>
      </c>
      <c r="L332" s="30" t="s">
        <v>244</v>
      </c>
      <c r="M332" s="31" t="s">
        <v>1531</v>
      </c>
      <c r="N332" s="28" t="s">
        <v>1532</v>
      </c>
      <c r="O332" s="32">
        <v>3.087631077E9</v>
      </c>
      <c r="P332" s="58">
        <v>38112.0</v>
      </c>
      <c r="Q332" s="22">
        <f t="shared" si="34"/>
        <v>21</v>
      </c>
      <c r="R332" s="22"/>
      <c r="S332" s="22"/>
      <c r="T332" s="22">
        <v>1.0</v>
      </c>
      <c r="U332" s="38"/>
      <c r="V332" s="59"/>
      <c r="W332" s="22" t="s">
        <v>800</v>
      </c>
      <c r="X332" s="38"/>
      <c r="Y332" s="36" t="str">
        <f t="shared" si="33"/>
        <v>renew</v>
      </c>
      <c r="Z332" s="21"/>
      <c r="AA332" s="21" t="s">
        <v>671</v>
      </c>
    </row>
    <row r="333">
      <c r="A333" s="20" t="s">
        <v>1533</v>
      </c>
      <c r="B333" s="20" t="s">
        <v>1534</v>
      </c>
      <c r="C333" s="21">
        <v>1037.0</v>
      </c>
      <c r="D333" s="22" t="str">
        <f t="shared" si="1"/>
        <v>General</v>
      </c>
      <c r="E333" s="23" t="str">
        <f t="shared" si="2"/>
        <v>Lapsed</v>
      </c>
      <c r="F333" s="24">
        <v>1.0</v>
      </c>
      <c r="G333" s="25">
        <v>44751.0</v>
      </c>
      <c r="H333" s="26">
        <f t="shared" si="9"/>
        <v>44926</v>
      </c>
      <c r="I333" s="27"/>
      <c r="J333" s="28" t="s">
        <v>1535</v>
      </c>
      <c r="K333" s="29" t="s">
        <v>56</v>
      </c>
      <c r="L333" s="30" t="s">
        <v>57</v>
      </c>
      <c r="M333" s="31" t="s">
        <v>1536</v>
      </c>
      <c r="N333" s="28" t="s">
        <v>1537</v>
      </c>
      <c r="O333" s="32" t="s">
        <v>1538</v>
      </c>
      <c r="P333" s="58"/>
      <c r="Q333" s="22"/>
      <c r="R333" s="22"/>
      <c r="S333" s="38"/>
      <c r="T333" s="38"/>
      <c r="U333" s="38"/>
      <c r="V333" s="59"/>
      <c r="W333" s="22" t="s">
        <v>800</v>
      </c>
      <c r="X333" s="38"/>
      <c r="Y333" s="36" t="str">
        <f t="shared" si="33"/>
        <v>renew</v>
      </c>
      <c r="Z333" s="21"/>
      <c r="AA333" s="21" t="s">
        <v>671</v>
      </c>
    </row>
    <row r="334">
      <c r="A334" s="20" t="s">
        <v>1539</v>
      </c>
      <c r="B334" s="20" t="s">
        <v>1540</v>
      </c>
      <c r="C334" s="21">
        <v>1036.0</v>
      </c>
      <c r="D334" s="22" t="str">
        <f t="shared" si="1"/>
        <v>General</v>
      </c>
      <c r="E334" s="23" t="str">
        <f t="shared" si="2"/>
        <v>Lapsed</v>
      </c>
      <c r="F334" s="24">
        <v>1.0</v>
      </c>
      <c r="G334" s="25">
        <v>45447.0</v>
      </c>
      <c r="H334" s="26">
        <f t="shared" si="9"/>
        <v>45657</v>
      </c>
      <c r="I334" s="27"/>
      <c r="J334" s="28" t="s">
        <v>1541</v>
      </c>
      <c r="K334" s="29" t="s">
        <v>1542</v>
      </c>
      <c r="L334" s="30" t="s">
        <v>244</v>
      </c>
      <c r="M334" s="31" t="s">
        <v>1543</v>
      </c>
      <c r="N334" s="28" t="s">
        <v>1544</v>
      </c>
      <c r="O334" s="32">
        <v>3.088705202E9</v>
      </c>
      <c r="P334" s="58"/>
      <c r="Q334" s="22"/>
      <c r="R334" s="22"/>
      <c r="S334" s="22"/>
      <c r="T334" s="22">
        <v>1.0</v>
      </c>
      <c r="U334" s="22"/>
      <c r="V334" s="59"/>
      <c r="W334" s="22" t="s">
        <v>800</v>
      </c>
      <c r="X334" s="38"/>
      <c r="Y334" s="36" t="str">
        <f t="shared" si="33"/>
        <v>renew</v>
      </c>
      <c r="Z334" s="21"/>
      <c r="AA334" s="21" t="s">
        <v>671</v>
      </c>
    </row>
    <row r="335">
      <c r="A335" s="20" t="s">
        <v>1545</v>
      </c>
      <c r="B335" s="20" t="s">
        <v>1540</v>
      </c>
      <c r="C335" s="21">
        <v>1036.0</v>
      </c>
      <c r="D335" s="22" t="str">
        <f t="shared" si="1"/>
        <v>General</v>
      </c>
      <c r="E335" s="23" t="str">
        <f t="shared" si="2"/>
        <v>Lapsed</v>
      </c>
      <c r="F335" s="24">
        <v>1.0</v>
      </c>
      <c r="G335" s="25">
        <v>44751.0</v>
      </c>
      <c r="H335" s="26">
        <f t="shared" si="9"/>
        <v>44926</v>
      </c>
      <c r="I335" s="27"/>
      <c r="J335" s="28" t="s">
        <v>1541</v>
      </c>
      <c r="K335" s="29" t="s">
        <v>1542</v>
      </c>
      <c r="L335" s="30" t="s">
        <v>244</v>
      </c>
      <c r="M335" s="31" t="s">
        <v>1543</v>
      </c>
      <c r="N335" s="28"/>
      <c r="O335" s="32">
        <v>3.084301312E9</v>
      </c>
      <c r="P335" s="58"/>
      <c r="Q335" s="22"/>
      <c r="R335" s="22"/>
      <c r="S335" s="22"/>
      <c r="T335" s="22"/>
      <c r="U335" s="22"/>
      <c r="V335" s="59"/>
      <c r="W335" s="22" t="s">
        <v>800</v>
      </c>
      <c r="X335" s="38"/>
      <c r="Y335" s="36" t="str">
        <f t="shared" si="33"/>
        <v>renew</v>
      </c>
      <c r="Z335" s="27"/>
      <c r="AA335" s="27" t="s">
        <v>671</v>
      </c>
    </row>
    <row r="336">
      <c r="A336" s="20" t="s">
        <v>1546</v>
      </c>
      <c r="B336" s="20" t="s">
        <v>1547</v>
      </c>
      <c r="C336" s="21">
        <v>1035.0</v>
      </c>
      <c r="D336" s="22" t="str">
        <f t="shared" si="1"/>
        <v>General</v>
      </c>
      <c r="E336" s="23" t="str">
        <f t="shared" si="2"/>
        <v>Lapsed</v>
      </c>
      <c r="F336" s="24">
        <v>1.0</v>
      </c>
      <c r="G336" s="25">
        <v>44722.0</v>
      </c>
      <c r="H336" s="26">
        <f t="shared" si="9"/>
        <v>44926</v>
      </c>
      <c r="I336" s="27"/>
      <c r="J336" s="28" t="s">
        <v>1548</v>
      </c>
      <c r="K336" s="29" t="s">
        <v>448</v>
      </c>
      <c r="L336" s="30" t="s">
        <v>35</v>
      </c>
      <c r="M336" s="31" t="s">
        <v>277</v>
      </c>
      <c r="N336" s="28" t="s">
        <v>1549</v>
      </c>
      <c r="O336" s="32" t="s">
        <v>1550</v>
      </c>
      <c r="P336" s="58"/>
      <c r="Q336" s="22"/>
      <c r="R336" s="22"/>
      <c r="S336" s="22"/>
      <c r="T336" s="22"/>
      <c r="U336" s="22"/>
      <c r="V336" s="59"/>
      <c r="W336" s="22" t="s">
        <v>800</v>
      </c>
      <c r="X336" s="38"/>
      <c r="Y336" s="36" t="str">
        <f t="shared" si="33"/>
        <v>renew</v>
      </c>
      <c r="Z336" s="21"/>
      <c r="AA336" s="21" t="s">
        <v>72</v>
      </c>
    </row>
    <row r="337">
      <c r="A337" s="20" t="s">
        <v>1551</v>
      </c>
      <c r="B337" s="20" t="s">
        <v>1552</v>
      </c>
      <c r="C337" s="21">
        <v>1034.0</v>
      </c>
      <c r="D337" s="22" t="str">
        <f t="shared" si="1"/>
        <v>General</v>
      </c>
      <c r="E337" s="23" t="str">
        <f t="shared" si="2"/>
        <v>Lapsed</v>
      </c>
      <c r="F337" s="24">
        <v>1.0</v>
      </c>
      <c r="G337" s="25">
        <v>44700.0</v>
      </c>
      <c r="H337" s="26">
        <f t="shared" si="9"/>
        <v>44926</v>
      </c>
      <c r="I337" s="75"/>
      <c r="J337" s="62" t="s">
        <v>1553</v>
      </c>
      <c r="K337" s="62" t="s">
        <v>1482</v>
      </c>
      <c r="L337" s="63" t="s">
        <v>57</v>
      </c>
      <c r="M337" s="64">
        <v>82633.0</v>
      </c>
      <c r="N337" s="80" t="s">
        <v>1554</v>
      </c>
      <c r="O337" s="54">
        <v>4.064719394E9</v>
      </c>
      <c r="P337" s="37"/>
      <c r="Q337" s="38"/>
      <c r="R337" s="22"/>
      <c r="S337" s="22"/>
      <c r="T337" s="22"/>
      <c r="U337" s="22"/>
      <c r="V337" s="59"/>
      <c r="W337" s="22" t="s">
        <v>800</v>
      </c>
      <c r="X337" s="38"/>
      <c r="Y337" s="36" t="str">
        <f t="shared" si="33"/>
        <v>renew</v>
      </c>
      <c r="Z337" s="75"/>
      <c r="AA337" s="21" t="s">
        <v>72</v>
      </c>
    </row>
    <row r="338">
      <c r="A338" s="20" t="s">
        <v>1555</v>
      </c>
      <c r="B338" s="20" t="s">
        <v>1556</v>
      </c>
      <c r="C338" s="21">
        <v>1033.0</v>
      </c>
      <c r="D338" s="22" t="str">
        <f t="shared" si="1"/>
        <v>General</v>
      </c>
      <c r="E338" s="23" t="str">
        <f t="shared" si="2"/>
        <v>Lapsed</v>
      </c>
      <c r="F338" s="24">
        <v>1.0</v>
      </c>
      <c r="G338" s="25">
        <v>44722.0</v>
      </c>
      <c r="H338" s="26">
        <f t="shared" si="9"/>
        <v>44926</v>
      </c>
      <c r="I338" s="27"/>
      <c r="J338" s="28" t="s">
        <v>1557</v>
      </c>
      <c r="K338" s="29" t="s">
        <v>1558</v>
      </c>
      <c r="L338" s="30" t="s">
        <v>35</v>
      </c>
      <c r="M338" s="31" t="s">
        <v>1559</v>
      </c>
      <c r="N338" s="28" t="s">
        <v>1560</v>
      </c>
      <c r="O338" s="32" t="s">
        <v>1561</v>
      </c>
      <c r="P338" s="58"/>
      <c r="Q338" s="22"/>
      <c r="R338" s="22"/>
      <c r="S338" s="22"/>
      <c r="T338" s="22"/>
      <c r="U338" s="22"/>
      <c r="V338" s="59"/>
      <c r="W338" s="22" t="s">
        <v>800</v>
      </c>
      <c r="X338" s="38"/>
      <c r="Y338" s="36" t="str">
        <f t="shared" si="33"/>
        <v>renew</v>
      </c>
      <c r="Z338" s="21"/>
      <c r="AA338" s="21" t="s">
        <v>72</v>
      </c>
    </row>
    <row r="339">
      <c r="A339" s="20" t="s">
        <v>560</v>
      </c>
      <c r="B339" s="20" t="s">
        <v>1562</v>
      </c>
      <c r="C339" s="21">
        <v>1032.0</v>
      </c>
      <c r="D339" s="22" t="str">
        <f t="shared" si="1"/>
        <v>General</v>
      </c>
      <c r="E339" s="23" t="str">
        <f t="shared" si="2"/>
        <v>Lapsed</v>
      </c>
      <c r="F339" s="24">
        <v>1.0</v>
      </c>
      <c r="G339" s="25">
        <v>44722.0</v>
      </c>
      <c r="H339" s="26">
        <f t="shared" si="9"/>
        <v>44926</v>
      </c>
      <c r="I339" s="27"/>
      <c r="J339" s="28" t="s">
        <v>1563</v>
      </c>
      <c r="K339" s="29" t="s">
        <v>68</v>
      </c>
      <c r="L339" s="30" t="s">
        <v>35</v>
      </c>
      <c r="M339" s="31" t="s">
        <v>69</v>
      </c>
      <c r="N339" s="28" t="s">
        <v>1564</v>
      </c>
      <c r="O339" s="32">
        <v>7.208917252E9</v>
      </c>
      <c r="P339" s="58">
        <v>38618.0</v>
      </c>
      <c r="Q339" s="22">
        <f>datedif(P339,today(),"Y")</f>
        <v>20</v>
      </c>
      <c r="R339" s="22"/>
      <c r="S339" s="22"/>
      <c r="T339" s="22"/>
      <c r="U339" s="22"/>
      <c r="V339" s="59"/>
      <c r="W339" s="22" t="s">
        <v>800</v>
      </c>
      <c r="X339" s="38"/>
      <c r="Y339" s="36" t="str">
        <f t="shared" si="33"/>
        <v>renew</v>
      </c>
      <c r="Z339" s="21"/>
      <c r="AA339" s="21" t="s">
        <v>72</v>
      </c>
    </row>
    <row r="340">
      <c r="A340" s="20" t="s">
        <v>1565</v>
      </c>
      <c r="B340" s="20" t="s">
        <v>1566</v>
      </c>
      <c r="C340" s="21">
        <v>1031.0</v>
      </c>
      <c r="D340" s="22" t="str">
        <f t="shared" si="1"/>
        <v>General</v>
      </c>
      <c r="E340" s="23" t="str">
        <f t="shared" si="2"/>
        <v>Lapsed</v>
      </c>
      <c r="F340" s="24">
        <v>1.0</v>
      </c>
      <c r="G340" s="25">
        <v>44724.0</v>
      </c>
      <c r="H340" s="26">
        <f t="shared" si="9"/>
        <v>44926</v>
      </c>
      <c r="I340" s="27"/>
      <c r="J340" s="28" t="s">
        <v>1567</v>
      </c>
      <c r="K340" s="29" t="s">
        <v>1568</v>
      </c>
      <c r="L340" s="30" t="s">
        <v>35</v>
      </c>
      <c r="M340" s="31" t="s">
        <v>1062</v>
      </c>
      <c r="N340" s="28" t="s">
        <v>1569</v>
      </c>
      <c r="O340" s="32">
        <v>9.706831822E9</v>
      </c>
      <c r="P340" s="58"/>
      <c r="Q340" s="22"/>
      <c r="R340" s="22"/>
      <c r="S340" s="22"/>
      <c r="T340" s="22"/>
      <c r="U340" s="22"/>
      <c r="V340" s="59"/>
      <c r="W340" s="22" t="s">
        <v>800</v>
      </c>
      <c r="X340" s="38"/>
      <c r="Y340" s="36" t="str">
        <f t="shared" si="33"/>
        <v>renew</v>
      </c>
      <c r="Z340" s="21"/>
      <c r="AA340" s="21" t="s">
        <v>72</v>
      </c>
    </row>
    <row r="341">
      <c r="A341" s="20" t="s">
        <v>1570</v>
      </c>
      <c r="B341" s="20" t="s">
        <v>1571</v>
      </c>
      <c r="C341" s="21">
        <v>1030.0</v>
      </c>
      <c r="D341" s="22" t="str">
        <f t="shared" si="1"/>
        <v>General</v>
      </c>
      <c r="E341" s="23" t="str">
        <f t="shared" si="2"/>
        <v>Lapsed</v>
      </c>
      <c r="F341" s="24">
        <v>1.0</v>
      </c>
      <c r="G341" s="25">
        <v>44722.0</v>
      </c>
      <c r="H341" s="26">
        <f t="shared" si="9"/>
        <v>44926</v>
      </c>
      <c r="I341" s="27"/>
      <c r="J341" s="28" t="s">
        <v>1572</v>
      </c>
      <c r="K341" s="29" t="s">
        <v>640</v>
      </c>
      <c r="L341" s="30" t="s">
        <v>35</v>
      </c>
      <c r="M341" s="31" t="s">
        <v>641</v>
      </c>
      <c r="N341" s="28" t="s">
        <v>1573</v>
      </c>
      <c r="O341" s="32">
        <v>9.705201134E9</v>
      </c>
      <c r="P341" s="58"/>
      <c r="Q341" s="22"/>
      <c r="R341" s="22"/>
      <c r="S341" s="22"/>
      <c r="T341" s="22"/>
      <c r="U341" s="22"/>
      <c r="V341" s="59"/>
      <c r="W341" s="22" t="s">
        <v>800</v>
      </c>
      <c r="X341" s="38"/>
      <c r="Y341" s="36" t="str">
        <f t="shared" si="33"/>
        <v>renew</v>
      </c>
      <c r="Z341" s="21"/>
      <c r="AA341" s="21" t="s">
        <v>72</v>
      </c>
    </row>
    <row r="342">
      <c r="A342" s="20" t="s">
        <v>1574</v>
      </c>
      <c r="B342" s="20" t="s">
        <v>1575</v>
      </c>
      <c r="C342" s="21">
        <v>1029.0</v>
      </c>
      <c r="D342" s="22" t="str">
        <f t="shared" si="1"/>
        <v>General</v>
      </c>
      <c r="E342" s="23" t="str">
        <f t="shared" si="2"/>
        <v>Lapsed</v>
      </c>
      <c r="F342" s="24">
        <v>1.0</v>
      </c>
      <c r="G342" s="25">
        <v>44703.0</v>
      </c>
      <c r="H342" s="26">
        <f t="shared" si="9"/>
        <v>44926</v>
      </c>
      <c r="I342" s="27"/>
      <c r="J342" s="28" t="s">
        <v>1576</v>
      </c>
      <c r="K342" s="29" t="s">
        <v>1577</v>
      </c>
      <c r="L342" s="30" t="s">
        <v>892</v>
      </c>
      <c r="M342" s="31" t="s">
        <v>1578</v>
      </c>
      <c r="N342" s="28" t="s">
        <v>1579</v>
      </c>
      <c r="O342" s="32">
        <v>5.056816042E9</v>
      </c>
      <c r="P342" s="58"/>
      <c r="Q342" s="22"/>
      <c r="R342" s="22"/>
      <c r="S342" s="22"/>
      <c r="T342" s="22"/>
      <c r="U342" s="22"/>
      <c r="V342" s="59"/>
      <c r="W342" s="22" t="s">
        <v>800</v>
      </c>
      <c r="X342" s="38"/>
      <c r="Y342" s="36" t="str">
        <f t="shared" si="33"/>
        <v>renew</v>
      </c>
      <c r="Z342" s="21"/>
      <c r="AA342" s="21" t="s">
        <v>72</v>
      </c>
    </row>
    <row r="343">
      <c r="A343" s="20" t="s">
        <v>1341</v>
      </c>
      <c r="B343" s="20" t="s">
        <v>802</v>
      </c>
      <c r="C343" s="21">
        <v>1028.0</v>
      </c>
      <c r="D343" s="22" t="str">
        <f t="shared" si="1"/>
        <v>General</v>
      </c>
      <c r="E343" s="23" t="str">
        <f t="shared" si="2"/>
        <v>Lapsed</v>
      </c>
      <c r="F343" s="24">
        <v>1.0</v>
      </c>
      <c r="G343" s="25">
        <v>45068.0</v>
      </c>
      <c r="H343" s="26">
        <f t="shared" si="9"/>
        <v>45291</v>
      </c>
      <c r="I343" s="27"/>
      <c r="J343" s="28" t="s">
        <v>1580</v>
      </c>
      <c r="K343" s="29" t="s">
        <v>136</v>
      </c>
      <c r="L343" s="30" t="s">
        <v>35</v>
      </c>
      <c r="M343" s="31" t="s">
        <v>137</v>
      </c>
      <c r="N343" s="28" t="s">
        <v>1581</v>
      </c>
      <c r="O343" s="32">
        <v>7.204127822E9</v>
      </c>
      <c r="P343" s="58"/>
      <c r="Q343" s="22"/>
      <c r="R343" s="22"/>
      <c r="S343" s="22"/>
      <c r="T343" s="22"/>
      <c r="U343" s="22">
        <v>2.0</v>
      </c>
      <c r="V343" s="35">
        <v>45068.0</v>
      </c>
      <c r="W343" s="22" t="s">
        <v>800</v>
      </c>
      <c r="X343" s="22" t="s">
        <v>800</v>
      </c>
      <c r="Y343" s="36" t="str">
        <f t="shared" si="33"/>
        <v>renew</v>
      </c>
      <c r="Z343" s="21"/>
      <c r="AA343" s="21" t="s">
        <v>671</v>
      </c>
    </row>
    <row r="344">
      <c r="A344" s="20" t="s">
        <v>1582</v>
      </c>
      <c r="B344" s="20" t="s">
        <v>1583</v>
      </c>
      <c r="C344" s="21">
        <v>1027.0</v>
      </c>
      <c r="D344" s="22" t="str">
        <f t="shared" si="1"/>
        <v>Youth</v>
      </c>
      <c r="E344" s="23" t="str">
        <f t="shared" si="2"/>
        <v>Lapsed</v>
      </c>
      <c r="F344" s="24">
        <v>1.0</v>
      </c>
      <c r="G344" s="25">
        <v>45068.0</v>
      </c>
      <c r="H344" s="26">
        <f t="shared" si="9"/>
        <v>45291</v>
      </c>
      <c r="I344" s="27"/>
      <c r="J344" s="28" t="s">
        <v>1584</v>
      </c>
      <c r="K344" s="29" t="s">
        <v>1568</v>
      </c>
      <c r="L344" s="30" t="s">
        <v>35</v>
      </c>
      <c r="M344" s="31" t="s">
        <v>1062</v>
      </c>
      <c r="N344" s="28"/>
      <c r="O344" s="32" t="s">
        <v>1585</v>
      </c>
      <c r="P344" s="58">
        <v>40001.0</v>
      </c>
      <c r="Q344" s="22">
        <f>datedif(P344,today(),"Y")</f>
        <v>16</v>
      </c>
      <c r="R344" s="22"/>
      <c r="S344" s="22"/>
      <c r="T344" s="22"/>
      <c r="U344" s="22">
        <v>2.0</v>
      </c>
      <c r="V344" s="35">
        <v>45068.0</v>
      </c>
      <c r="W344" s="22" t="s">
        <v>800</v>
      </c>
      <c r="X344" s="22" t="s">
        <v>800</v>
      </c>
      <c r="Y344" s="36" t="str">
        <f t="shared" si="33"/>
        <v>renew</v>
      </c>
      <c r="Z344" s="27"/>
      <c r="AA344" s="27" t="s">
        <v>671</v>
      </c>
    </row>
    <row r="345">
      <c r="A345" s="20" t="s">
        <v>1586</v>
      </c>
      <c r="B345" s="20" t="s">
        <v>1587</v>
      </c>
      <c r="C345" s="21">
        <v>1026.0</v>
      </c>
      <c r="D345" s="22" t="str">
        <f t="shared" si="1"/>
        <v>General</v>
      </c>
      <c r="E345" s="23" t="str">
        <f t="shared" si="2"/>
        <v>Lapsed</v>
      </c>
      <c r="F345" s="24">
        <v>1.0</v>
      </c>
      <c r="G345" s="25">
        <v>45571.0</v>
      </c>
      <c r="H345" s="26">
        <f t="shared" si="9"/>
        <v>45657</v>
      </c>
      <c r="I345" s="27"/>
      <c r="J345" s="28" t="s">
        <v>1580</v>
      </c>
      <c r="K345" s="29" t="s">
        <v>136</v>
      </c>
      <c r="L345" s="30" t="s">
        <v>35</v>
      </c>
      <c r="M345" s="31" t="s">
        <v>137</v>
      </c>
      <c r="N345" s="28" t="s">
        <v>1588</v>
      </c>
      <c r="O345" s="32">
        <v>3.033780071E9</v>
      </c>
      <c r="P345" s="58"/>
      <c r="Q345" s="22"/>
      <c r="R345" s="22"/>
      <c r="S345" s="22"/>
      <c r="T345" s="22">
        <v>2.0</v>
      </c>
      <c r="U345" s="22"/>
      <c r="V345" s="59"/>
      <c r="W345" s="22" t="s">
        <v>800</v>
      </c>
      <c r="X345" s="38"/>
      <c r="Y345" s="36" t="str">
        <f t="shared" si="33"/>
        <v>renew</v>
      </c>
      <c r="Z345" s="21"/>
      <c r="AA345" s="21" t="s">
        <v>671</v>
      </c>
    </row>
    <row r="346">
      <c r="A346" s="20" t="s">
        <v>1589</v>
      </c>
      <c r="B346" s="20" t="s">
        <v>503</v>
      </c>
      <c r="C346" s="21">
        <v>1025.0</v>
      </c>
      <c r="D346" s="22" t="str">
        <f t="shared" si="1"/>
        <v>General</v>
      </c>
      <c r="E346" s="23" t="str">
        <f t="shared" si="2"/>
        <v>Lapsed</v>
      </c>
      <c r="F346" s="24">
        <v>1.0</v>
      </c>
      <c r="G346" s="25">
        <v>44703.0</v>
      </c>
      <c r="H346" s="26">
        <f t="shared" si="9"/>
        <v>44926</v>
      </c>
      <c r="I346" s="27"/>
      <c r="J346" s="28" t="s">
        <v>1590</v>
      </c>
      <c r="K346" s="29" t="s">
        <v>68</v>
      </c>
      <c r="L346" s="30" t="s">
        <v>35</v>
      </c>
      <c r="M346" s="31" t="s">
        <v>69</v>
      </c>
      <c r="N346" s="28" t="s">
        <v>1591</v>
      </c>
      <c r="O346" s="32">
        <v>9.709882475E9</v>
      </c>
      <c r="P346" s="58">
        <v>39003.0</v>
      </c>
      <c r="Q346" s="22">
        <f t="shared" ref="Q346:Q349" si="35">datedif(P346,today(),"Y")</f>
        <v>19</v>
      </c>
      <c r="R346" s="22"/>
      <c r="S346" s="22"/>
      <c r="T346" s="22"/>
      <c r="U346" s="22"/>
      <c r="V346" s="59"/>
      <c r="W346" s="22" t="s">
        <v>800</v>
      </c>
      <c r="X346" s="38"/>
      <c r="Y346" s="36" t="str">
        <f t="shared" si="33"/>
        <v>renew</v>
      </c>
      <c r="Z346" s="21"/>
      <c r="AA346" s="21" t="s">
        <v>671</v>
      </c>
    </row>
    <row r="347">
      <c r="A347" s="20" t="s">
        <v>1592</v>
      </c>
      <c r="B347" s="20" t="s">
        <v>1593</v>
      </c>
      <c r="C347" s="21">
        <v>1024.0</v>
      </c>
      <c r="D347" s="22" t="str">
        <f t="shared" si="1"/>
        <v>Youth</v>
      </c>
      <c r="E347" s="23" t="str">
        <f t="shared" si="2"/>
        <v>Lapsed</v>
      </c>
      <c r="F347" s="24">
        <v>1.0</v>
      </c>
      <c r="G347" s="25">
        <v>44703.0</v>
      </c>
      <c r="H347" s="26">
        <f t="shared" si="9"/>
        <v>44926</v>
      </c>
      <c r="I347" s="27"/>
      <c r="J347" s="28" t="s">
        <v>1594</v>
      </c>
      <c r="K347" s="29" t="s">
        <v>1595</v>
      </c>
      <c r="L347" s="30" t="s">
        <v>35</v>
      </c>
      <c r="M347" s="31" t="s">
        <v>1596</v>
      </c>
      <c r="N347" s="28" t="s">
        <v>1597</v>
      </c>
      <c r="O347" s="32">
        <v>9.705560166E9</v>
      </c>
      <c r="P347" s="58">
        <v>39664.0</v>
      </c>
      <c r="Q347" s="22">
        <f t="shared" si="35"/>
        <v>17</v>
      </c>
      <c r="R347" s="22"/>
      <c r="S347" s="22"/>
      <c r="T347" s="22"/>
      <c r="U347" s="22"/>
      <c r="V347" s="59"/>
      <c r="W347" s="22" t="s">
        <v>800</v>
      </c>
      <c r="X347" s="38"/>
      <c r="Y347" s="36" t="str">
        <f t="shared" si="33"/>
        <v>renew</v>
      </c>
      <c r="Z347" s="27"/>
      <c r="AA347" s="27" t="s">
        <v>671</v>
      </c>
    </row>
    <row r="348">
      <c r="A348" s="20" t="s">
        <v>1598</v>
      </c>
      <c r="B348" s="20" t="s">
        <v>1599</v>
      </c>
      <c r="C348" s="21">
        <v>1023.0</v>
      </c>
      <c r="D348" s="22" t="str">
        <f t="shared" si="1"/>
        <v>Youth</v>
      </c>
      <c r="E348" s="23" t="str">
        <f t="shared" si="2"/>
        <v>Lapsed</v>
      </c>
      <c r="F348" s="24">
        <v>1.0</v>
      </c>
      <c r="G348" s="25">
        <v>45768.0</v>
      </c>
      <c r="H348" s="26">
        <f t="shared" si="9"/>
        <v>46022</v>
      </c>
      <c r="I348" s="27"/>
      <c r="J348" s="28" t="s">
        <v>1600</v>
      </c>
      <c r="K348" s="29" t="s">
        <v>1366</v>
      </c>
      <c r="L348" s="30" t="s">
        <v>35</v>
      </c>
      <c r="M348" s="31" t="s">
        <v>1367</v>
      </c>
      <c r="N348" s="28" t="s">
        <v>1601</v>
      </c>
      <c r="O348" s="32">
        <v>3.033040858E9</v>
      </c>
      <c r="P348" s="58">
        <v>40975.0</v>
      </c>
      <c r="Q348" s="22">
        <f t="shared" si="35"/>
        <v>14</v>
      </c>
      <c r="R348" s="22"/>
      <c r="S348" s="22">
        <v>1.0</v>
      </c>
      <c r="T348" s="22">
        <v>2.0</v>
      </c>
      <c r="U348" s="22">
        <v>1.0</v>
      </c>
      <c r="V348" s="116">
        <v>45044.0</v>
      </c>
      <c r="W348" s="22" t="s">
        <v>800</v>
      </c>
      <c r="X348" s="22" t="s">
        <v>800</v>
      </c>
      <c r="Y348" s="36" t="str">
        <f t="shared" si="33"/>
        <v>renew</v>
      </c>
      <c r="Z348" s="21" t="s">
        <v>8</v>
      </c>
      <c r="AA348" s="21" t="s">
        <v>671</v>
      </c>
    </row>
    <row r="349">
      <c r="A349" s="20" t="s">
        <v>1602</v>
      </c>
      <c r="B349" s="20" t="s">
        <v>1599</v>
      </c>
      <c r="C349" s="21">
        <v>1022.0</v>
      </c>
      <c r="D349" s="22" t="str">
        <f t="shared" si="1"/>
        <v>Youth</v>
      </c>
      <c r="E349" s="23" t="str">
        <f t="shared" si="2"/>
        <v>Lapsed</v>
      </c>
      <c r="F349" s="24">
        <v>1.0</v>
      </c>
      <c r="G349" s="25">
        <v>45933.0</v>
      </c>
      <c r="H349" s="26">
        <f t="shared" si="9"/>
        <v>46022</v>
      </c>
      <c r="I349" s="27"/>
      <c r="J349" s="28" t="s">
        <v>1600</v>
      </c>
      <c r="K349" s="29" t="s">
        <v>1366</v>
      </c>
      <c r="L349" s="30" t="s">
        <v>35</v>
      </c>
      <c r="M349" s="31" t="s">
        <v>1367</v>
      </c>
      <c r="N349" s="28" t="s">
        <v>1601</v>
      </c>
      <c r="O349" s="32">
        <v>3.033040858E9</v>
      </c>
      <c r="P349" s="58">
        <v>40975.0</v>
      </c>
      <c r="Q349" s="22">
        <f t="shared" si="35"/>
        <v>14</v>
      </c>
      <c r="R349" s="22"/>
      <c r="S349" s="22">
        <v>5.0</v>
      </c>
      <c r="T349" s="22">
        <v>2.0</v>
      </c>
      <c r="U349" s="22">
        <v>1.0</v>
      </c>
      <c r="V349" s="116">
        <v>45044.0</v>
      </c>
      <c r="W349" s="22" t="s">
        <v>800</v>
      </c>
      <c r="X349" s="22" t="s">
        <v>800</v>
      </c>
      <c r="Y349" s="36" t="str">
        <f t="shared" si="33"/>
        <v>renew</v>
      </c>
      <c r="Z349" s="21"/>
      <c r="AA349" s="21" t="s">
        <v>671</v>
      </c>
    </row>
    <row r="350">
      <c r="A350" s="20" t="s">
        <v>1603</v>
      </c>
      <c r="B350" s="20" t="s">
        <v>1604</v>
      </c>
      <c r="C350" s="21">
        <v>1021.0</v>
      </c>
      <c r="D350" s="22" t="str">
        <f t="shared" si="1"/>
        <v>General</v>
      </c>
      <c r="E350" s="23" t="str">
        <f t="shared" si="2"/>
        <v>Lapsed</v>
      </c>
      <c r="F350" s="24">
        <v>1.0</v>
      </c>
      <c r="G350" s="25">
        <v>45817.0</v>
      </c>
      <c r="H350" s="26">
        <f t="shared" si="9"/>
        <v>46022</v>
      </c>
      <c r="I350" s="21"/>
      <c r="J350" s="28" t="s">
        <v>1605</v>
      </c>
      <c r="K350" s="29" t="s">
        <v>939</v>
      </c>
      <c r="L350" s="30" t="s">
        <v>35</v>
      </c>
      <c r="M350" s="31" t="s">
        <v>940</v>
      </c>
      <c r="N350" s="28" t="s">
        <v>1606</v>
      </c>
      <c r="O350" s="32">
        <v>3.077031168E9</v>
      </c>
      <c r="P350" s="58"/>
      <c r="Q350" s="22"/>
      <c r="R350" s="22"/>
      <c r="S350" s="22">
        <v>2.0</v>
      </c>
      <c r="T350" s="22">
        <v>1.0</v>
      </c>
      <c r="U350" s="22">
        <v>1.0</v>
      </c>
      <c r="V350" s="106">
        <v>45004.0</v>
      </c>
      <c r="W350" s="22" t="s">
        <v>800</v>
      </c>
      <c r="X350" s="22" t="s">
        <v>800</v>
      </c>
      <c r="Y350" s="36" t="str">
        <f t="shared" si="33"/>
        <v>renew</v>
      </c>
      <c r="Z350" s="21"/>
      <c r="AA350" s="21" t="s">
        <v>671</v>
      </c>
    </row>
    <row r="351">
      <c r="A351" s="20" t="s">
        <v>677</v>
      </c>
      <c r="B351" s="20" t="s">
        <v>1607</v>
      </c>
      <c r="C351" s="21">
        <v>1020.0</v>
      </c>
      <c r="D351" s="22" t="str">
        <f t="shared" si="1"/>
        <v>General</v>
      </c>
      <c r="E351" s="23" t="str">
        <f t="shared" si="2"/>
        <v>Lapsed</v>
      </c>
      <c r="F351" s="24">
        <v>1.0</v>
      </c>
      <c r="G351" s="25">
        <v>44703.0</v>
      </c>
      <c r="H351" s="26">
        <f t="shared" si="9"/>
        <v>44926</v>
      </c>
      <c r="I351" s="27"/>
      <c r="J351" s="28" t="s">
        <v>1608</v>
      </c>
      <c r="K351" s="29" t="s">
        <v>34</v>
      </c>
      <c r="L351" s="30" t="s">
        <v>35</v>
      </c>
      <c r="M351" s="31" t="s">
        <v>36</v>
      </c>
      <c r="N351" s="28" t="s">
        <v>1609</v>
      </c>
      <c r="O351" s="32" t="s">
        <v>1610</v>
      </c>
      <c r="P351" s="58"/>
      <c r="Q351" s="22"/>
      <c r="R351" s="22"/>
      <c r="S351" s="22"/>
      <c r="T351" s="22"/>
      <c r="U351" s="22"/>
      <c r="V351" s="59"/>
      <c r="W351" s="22" t="s">
        <v>800</v>
      </c>
      <c r="X351" s="38"/>
      <c r="Y351" s="36" t="str">
        <f t="shared" si="33"/>
        <v>renew</v>
      </c>
      <c r="Z351" s="27"/>
      <c r="AA351" s="27" t="s">
        <v>671</v>
      </c>
    </row>
    <row r="352">
      <c r="A352" s="20" t="s">
        <v>1551</v>
      </c>
      <c r="B352" s="87" t="s">
        <v>1611</v>
      </c>
      <c r="C352" s="21">
        <v>1019.0</v>
      </c>
      <c r="D352" s="22" t="str">
        <f t="shared" si="1"/>
        <v>General</v>
      </c>
      <c r="E352" s="23" t="str">
        <f t="shared" si="2"/>
        <v>Lapsed</v>
      </c>
      <c r="F352" s="24">
        <v>1.0</v>
      </c>
      <c r="G352" s="25">
        <v>44703.0</v>
      </c>
      <c r="H352" s="26">
        <f t="shared" si="9"/>
        <v>44926</v>
      </c>
      <c r="I352" s="27"/>
      <c r="J352" s="28" t="s">
        <v>1612</v>
      </c>
      <c r="K352" s="29" t="s">
        <v>1482</v>
      </c>
      <c r="L352" s="30" t="s">
        <v>57</v>
      </c>
      <c r="M352" s="31" t="s">
        <v>1483</v>
      </c>
      <c r="N352" s="53" t="s">
        <v>1554</v>
      </c>
      <c r="O352" s="32">
        <v>4.064719394E9</v>
      </c>
      <c r="P352" s="58"/>
      <c r="Q352" s="22"/>
      <c r="R352" s="22"/>
      <c r="S352" s="22"/>
      <c r="T352" s="22"/>
      <c r="U352" s="22"/>
      <c r="V352" s="59"/>
      <c r="W352" s="22" t="s">
        <v>800</v>
      </c>
      <c r="X352" s="38"/>
      <c r="Y352" s="36" t="str">
        <f t="shared" si="33"/>
        <v>renew</v>
      </c>
      <c r="Z352" s="21"/>
      <c r="AA352" s="21" t="s">
        <v>671</v>
      </c>
    </row>
    <row r="353">
      <c r="A353" s="20" t="s">
        <v>943</v>
      </c>
      <c r="B353" s="20" t="s">
        <v>1613</v>
      </c>
      <c r="C353" s="21">
        <v>1018.0</v>
      </c>
      <c r="D353" s="22" t="str">
        <f t="shared" si="1"/>
        <v>General</v>
      </c>
      <c r="E353" s="23" t="str">
        <f t="shared" si="2"/>
        <v>Lapsed</v>
      </c>
      <c r="F353" s="24">
        <v>1.0</v>
      </c>
      <c r="G353" s="25">
        <v>44703.0</v>
      </c>
      <c r="H353" s="26">
        <f t="shared" si="9"/>
        <v>44926</v>
      </c>
      <c r="I353" s="27"/>
      <c r="J353" s="28" t="s">
        <v>1614</v>
      </c>
      <c r="K353" s="29" t="s">
        <v>157</v>
      </c>
      <c r="L353" s="30" t="s">
        <v>35</v>
      </c>
      <c r="M353" s="31" t="s">
        <v>158</v>
      </c>
      <c r="N353" s="28" t="s">
        <v>1615</v>
      </c>
      <c r="O353" s="32">
        <v>9.70412358E9</v>
      </c>
      <c r="P353" s="58"/>
      <c r="Q353" s="22"/>
      <c r="R353" s="22"/>
      <c r="S353" s="22"/>
      <c r="T353" s="22"/>
      <c r="U353" s="22"/>
      <c r="V353" s="59"/>
      <c r="W353" s="22" t="s">
        <v>800</v>
      </c>
      <c r="X353" s="38"/>
      <c r="Y353" s="36" t="str">
        <f t="shared" si="33"/>
        <v>renew</v>
      </c>
      <c r="Z353" s="21"/>
      <c r="AA353" s="21" t="s">
        <v>8</v>
      </c>
    </row>
    <row r="354">
      <c r="A354" s="20" t="s">
        <v>1355</v>
      </c>
      <c r="B354" s="20" t="s">
        <v>1616</v>
      </c>
      <c r="C354" s="21">
        <v>1017.0</v>
      </c>
      <c r="D354" s="22" t="str">
        <f t="shared" si="1"/>
        <v>General</v>
      </c>
      <c r="E354" s="23" t="str">
        <f t="shared" si="2"/>
        <v>Lapsed</v>
      </c>
      <c r="F354" s="24">
        <v>1.0</v>
      </c>
      <c r="G354" s="25">
        <v>45771.0</v>
      </c>
      <c r="H354" s="26">
        <f t="shared" si="9"/>
        <v>46022</v>
      </c>
      <c r="I354" s="27"/>
      <c r="J354" s="28" t="s">
        <v>1617</v>
      </c>
      <c r="K354" s="29" t="s">
        <v>89</v>
      </c>
      <c r="L354" s="30" t="s">
        <v>35</v>
      </c>
      <c r="M354" s="31" t="s">
        <v>90</v>
      </c>
      <c r="N354" s="28" t="s">
        <v>1618</v>
      </c>
      <c r="O354" s="32">
        <v>7.203570971E9</v>
      </c>
      <c r="P354" s="58"/>
      <c r="Q354" s="22"/>
      <c r="R354" s="22"/>
      <c r="S354" s="22">
        <v>1.0</v>
      </c>
      <c r="T354" s="22">
        <v>1.0</v>
      </c>
      <c r="U354" s="22">
        <v>2.0</v>
      </c>
      <c r="V354" s="35">
        <v>45068.0</v>
      </c>
      <c r="W354" s="22" t="s">
        <v>800</v>
      </c>
      <c r="X354" s="22" t="s">
        <v>800</v>
      </c>
      <c r="Y354" s="36" t="str">
        <f t="shared" si="33"/>
        <v>renew</v>
      </c>
      <c r="Z354" s="21" t="s">
        <v>27</v>
      </c>
      <c r="AA354" s="21" t="s">
        <v>671</v>
      </c>
    </row>
    <row r="355">
      <c r="A355" s="20" t="s">
        <v>423</v>
      </c>
      <c r="B355" s="20" t="s">
        <v>1619</v>
      </c>
      <c r="C355" s="21">
        <v>1016.0</v>
      </c>
      <c r="D355" s="22" t="str">
        <f t="shared" si="1"/>
        <v>General</v>
      </c>
      <c r="E355" s="23" t="str">
        <f t="shared" si="2"/>
        <v>Lapsed</v>
      </c>
      <c r="F355" s="24">
        <v>1.0</v>
      </c>
      <c r="G355" s="25">
        <v>44703.0</v>
      </c>
      <c r="H355" s="26">
        <f t="shared" si="9"/>
        <v>44926</v>
      </c>
      <c r="I355" s="27"/>
      <c r="J355" s="28" t="s">
        <v>1620</v>
      </c>
      <c r="K355" s="29" t="s">
        <v>89</v>
      </c>
      <c r="L355" s="30" t="s">
        <v>35</v>
      </c>
      <c r="M355" s="31" t="s">
        <v>90</v>
      </c>
      <c r="N355" s="28" t="s">
        <v>1621</v>
      </c>
      <c r="O355" s="32">
        <v>9.708254343E9</v>
      </c>
      <c r="P355" s="58">
        <v>38853.0</v>
      </c>
      <c r="Q355" s="22">
        <f>datedif(P355,today(),"Y")</f>
        <v>19</v>
      </c>
      <c r="R355" s="22"/>
      <c r="S355" s="22"/>
      <c r="T355" s="22"/>
      <c r="U355" s="22"/>
      <c r="V355" s="59"/>
      <c r="W355" s="22" t="s">
        <v>800</v>
      </c>
      <c r="X355" s="38"/>
      <c r="Y355" s="36" t="str">
        <f t="shared" si="33"/>
        <v>renew</v>
      </c>
      <c r="Z355" s="27"/>
      <c r="AA355" s="27"/>
    </row>
    <row r="356">
      <c r="A356" s="20" t="s">
        <v>1230</v>
      </c>
      <c r="B356" s="20" t="s">
        <v>1622</v>
      </c>
      <c r="C356" s="21">
        <v>1015.0</v>
      </c>
      <c r="D356" s="22" t="str">
        <f t="shared" si="1"/>
        <v>General</v>
      </c>
      <c r="E356" s="23" t="str">
        <f t="shared" si="2"/>
        <v>Lapsed</v>
      </c>
      <c r="F356" s="24">
        <v>1.0</v>
      </c>
      <c r="G356" s="25">
        <v>44703.0</v>
      </c>
      <c r="H356" s="26">
        <f t="shared" si="9"/>
        <v>44926</v>
      </c>
      <c r="I356" s="27"/>
      <c r="J356" s="28" t="s">
        <v>1623</v>
      </c>
      <c r="K356" s="29" t="s">
        <v>42</v>
      </c>
      <c r="L356" s="30" t="s">
        <v>35</v>
      </c>
      <c r="M356" s="31" t="s">
        <v>239</v>
      </c>
      <c r="N356" s="28" t="s">
        <v>1624</v>
      </c>
      <c r="O356" s="32">
        <v>9.709882667E9</v>
      </c>
      <c r="P356" s="58"/>
      <c r="Q356" s="22"/>
      <c r="R356" s="22"/>
      <c r="S356" s="22"/>
      <c r="T356" s="22"/>
      <c r="U356" s="22"/>
      <c r="V356" s="59"/>
      <c r="W356" s="22" t="s">
        <v>800</v>
      </c>
      <c r="X356" s="38"/>
      <c r="Y356" s="36" t="str">
        <f t="shared" si="33"/>
        <v>renew</v>
      </c>
      <c r="Z356" s="27"/>
      <c r="AA356" s="27"/>
    </row>
    <row r="357">
      <c r="A357" s="20" t="s">
        <v>326</v>
      </c>
      <c r="B357" s="20" t="s">
        <v>433</v>
      </c>
      <c r="C357" s="21">
        <v>1014.0</v>
      </c>
      <c r="D357" s="22" t="str">
        <f t="shared" si="1"/>
        <v>Youth</v>
      </c>
      <c r="E357" s="23" t="str">
        <f t="shared" si="2"/>
        <v>Lapsed</v>
      </c>
      <c r="F357" s="24">
        <v>1.0</v>
      </c>
      <c r="G357" s="25">
        <v>44703.0</v>
      </c>
      <c r="H357" s="26">
        <f t="shared" si="9"/>
        <v>44926</v>
      </c>
      <c r="I357" s="27"/>
      <c r="J357" s="28" t="s">
        <v>1625</v>
      </c>
      <c r="K357" s="29" t="s">
        <v>1626</v>
      </c>
      <c r="L357" s="30" t="s">
        <v>35</v>
      </c>
      <c r="M357" s="31" t="s">
        <v>1627</v>
      </c>
      <c r="N357" s="28" t="s">
        <v>1628</v>
      </c>
      <c r="O357" s="32">
        <v>9.706302581E9</v>
      </c>
      <c r="P357" s="58">
        <v>40451.0</v>
      </c>
      <c r="Q357" s="22">
        <f>datedif(P357,today(),"Y")</f>
        <v>15</v>
      </c>
      <c r="R357" s="22"/>
      <c r="S357" s="22"/>
      <c r="T357" s="22"/>
      <c r="U357" s="22"/>
      <c r="V357" s="59"/>
      <c r="W357" s="22" t="s">
        <v>800</v>
      </c>
      <c r="X357" s="38"/>
      <c r="Y357" s="36" t="str">
        <f t="shared" si="33"/>
        <v>renew</v>
      </c>
      <c r="Z357" s="27"/>
      <c r="AA357" s="27"/>
    </row>
    <row r="358">
      <c r="A358" s="20" t="s">
        <v>1099</v>
      </c>
      <c r="B358" s="20" t="s">
        <v>1100</v>
      </c>
      <c r="C358" s="21">
        <v>1013.0</v>
      </c>
      <c r="D358" s="22" t="str">
        <f t="shared" si="1"/>
        <v>General</v>
      </c>
      <c r="E358" s="23" t="str">
        <f t="shared" si="2"/>
        <v>Lapsed</v>
      </c>
      <c r="F358" s="24">
        <v>1.0</v>
      </c>
      <c r="G358" s="25">
        <v>44713.0</v>
      </c>
      <c r="H358" s="26">
        <f t="shared" si="9"/>
        <v>44926</v>
      </c>
      <c r="I358" s="27"/>
      <c r="J358" s="28" t="s">
        <v>1101</v>
      </c>
      <c r="K358" s="29" t="s">
        <v>157</v>
      </c>
      <c r="L358" s="30" t="s">
        <v>35</v>
      </c>
      <c r="M358" s="31" t="s">
        <v>158</v>
      </c>
      <c r="N358" s="28" t="s">
        <v>1629</v>
      </c>
      <c r="O358" s="32" t="s">
        <v>1630</v>
      </c>
      <c r="P358" s="58"/>
      <c r="Q358" s="22"/>
      <c r="R358" s="22"/>
      <c r="S358" s="22"/>
      <c r="T358" s="22"/>
      <c r="U358" s="22"/>
      <c r="V358" s="59"/>
      <c r="W358" s="22" t="s">
        <v>800</v>
      </c>
      <c r="X358" s="38"/>
      <c r="Y358" s="36" t="str">
        <f t="shared" si="33"/>
        <v>renew</v>
      </c>
      <c r="Z358" s="27"/>
      <c r="AA358" s="27"/>
    </row>
    <row r="359">
      <c r="A359" s="20" t="s">
        <v>1631</v>
      </c>
      <c r="B359" s="20" t="s">
        <v>1632</v>
      </c>
      <c r="C359" s="21">
        <v>1012.0</v>
      </c>
      <c r="D359" s="22" t="str">
        <f t="shared" si="1"/>
        <v>General</v>
      </c>
      <c r="E359" s="23" t="str">
        <f t="shared" si="2"/>
        <v>Lapsed</v>
      </c>
      <c r="F359" s="24">
        <v>1.0</v>
      </c>
      <c r="G359" s="25">
        <v>44713.0</v>
      </c>
      <c r="H359" s="26">
        <f t="shared" si="9"/>
        <v>44926</v>
      </c>
      <c r="I359" s="27"/>
      <c r="J359" s="28" t="s">
        <v>1633</v>
      </c>
      <c r="K359" s="29" t="s">
        <v>1634</v>
      </c>
      <c r="L359" s="30" t="s">
        <v>721</v>
      </c>
      <c r="M359" s="31" t="s">
        <v>1635</v>
      </c>
      <c r="N359" s="28" t="s">
        <v>1636</v>
      </c>
      <c r="O359" s="32" t="s">
        <v>1637</v>
      </c>
      <c r="P359" s="58"/>
      <c r="Q359" s="22"/>
      <c r="R359" s="22"/>
      <c r="S359" s="22"/>
      <c r="T359" s="22"/>
      <c r="U359" s="22"/>
      <c r="V359" s="59"/>
      <c r="W359" s="22" t="s">
        <v>800</v>
      </c>
      <c r="X359" s="38"/>
      <c r="Y359" s="36" t="str">
        <f t="shared" si="33"/>
        <v>renew</v>
      </c>
      <c r="Z359" s="21"/>
      <c r="AA359" s="75"/>
    </row>
    <row r="360">
      <c r="A360" s="20" t="s">
        <v>1638</v>
      </c>
      <c r="B360" s="20" t="s">
        <v>1639</v>
      </c>
      <c r="C360" s="21">
        <v>1011.0</v>
      </c>
      <c r="D360" s="22" t="str">
        <f t="shared" si="1"/>
        <v>General</v>
      </c>
      <c r="E360" s="23" t="str">
        <f t="shared" si="2"/>
        <v>Lapsed</v>
      </c>
      <c r="F360" s="24">
        <v>1.0</v>
      </c>
      <c r="G360" s="25">
        <v>45878.0</v>
      </c>
      <c r="H360" s="26">
        <f t="shared" si="9"/>
        <v>46022</v>
      </c>
      <c r="I360" s="27"/>
      <c r="J360" s="28" t="s">
        <v>1640</v>
      </c>
      <c r="K360" s="29" t="s">
        <v>560</v>
      </c>
      <c r="L360" s="30" t="s">
        <v>35</v>
      </c>
      <c r="M360" s="31" t="s">
        <v>1641</v>
      </c>
      <c r="N360" s="28" t="s">
        <v>723</v>
      </c>
      <c r="O360" s="32" t="s">
        <v>1642</v>
      </c>
      <c r="P360" s="58"/>
      <c r="Q360" s="22"/>
      <c r="R360" s="22"/>
      <c r="S360" s="22">
        <v>4.0</v>
      </c>
      <c r="T360" s="22">
        <v>1.0</v>
      </c>
      <c r="U360" s="22">
        <v>2.0</v>
      </c>
      <c r="V360" s="35">
        <v>45068.0</v>
      </c>
      <c r="W360" s="22" t="s">
        <v>800</v>
      </c>
      <c r="X360" s="22" t="s">
        <v>800</v>
      </c>
      <c r="Y360" s="36" t="str">
        <f t="shared" si="33"/>
        <v>renew</v>
      </c>
      <c r="Z360" s="21"/>
      <c r="AA360" s="75"/>
    </row>
    <row r="361">
      <c r="A361" s="20" t="s">
        <v>133</v>
      </c>
      <c r="B361" s="20" t="s">
        <v>1643</v>
      </c>
      <c r="C361" s="21">
        <v>1010.0</v>
      </c>
      <c r="D361" s="22" t="str">
        <f t="shared" si="1"/>
        <v>Youth</v>
      </c>
      <c r="E361" s="23" t="str">
        <f t="shared" si="2"/>
        <v>Lapsed</v>
      </c>
      <c r="F361" s="24">
        <v>1.0</v>
      </c>
      <c r="G361" s="25">
        <v>44714.0</v>
      </c>
      <c r="H361" s="26">
        <f t="shared" si="9"/>
        <v>44926</v>
      </c>
      <c r="I361" s="27"/>
      <c r="J361" s="28" t="s">
        <v>1644</v>
      </c>
      <c r="K361" s="29" t="s">
        <v>89</v>
      </c>
      <c r="L361" s="30" t="s">
        <v>35</v>
      </c>
      <c r="M361" s="31" t="s">
        <v>90</v>
      </c>
      <c r="N361" s="28" t="s">
        <v>1645</v>
      </c>
      <c r="O361" s="32" t="s">
        <v>1646</v>
      </c>
      <c r="P361" s="58">
        <v>40408.0</v>
      </c>
      <c r="Q361" s="22">
        <f t="shared" ref="Q361:Q362" si="36">datedif(P361,today(),"Y")</f>
        <v>15</v>
      </c>
      <c r="R361" s="22"/>
      <c r="S361" s="22"/>
      <c r="T361" s="22"/>
      <c r="U361" s="22"/>
      <c r="V361" s="59"/>
      <c r="W361" s="22" t="s">
        <v>800</v>
      </c>
      <c r="X361" s="38"/>
      <c r="Y361" s="36" t="str">
        <f t="shared" si="33"/>
        <v>renew</v>
      </c>
      <c r="Z361" s="21"/>
      <c r="AA361" s="75"/>
    </row>
    <row r="362">
      <c r="A362" s="20" t="s">
        <v>1647</v>
      </c>
      <c r="B362" s="20" t="s">
        <v>709</v>
      </c>
      <c r="C362" s="21">
        <v>1009.0</v>
      </c>
      <c r="D362" s="22" t="str">
        <f t="shared" si="1"/>
        <v>Youth</v>
      </c>
      <c r="E362" s="23" t="str">
        <f t="shared" si="2"/>
        <v>Active</v>
      </c>
      <c r="F362" s="24">
        <v>3.0</v>
      </c>
      <c r="G362" s="25">
        <v>45351.0</v>
      </c>
      <c r="H362" s="26">
        <f t="shared" si="9"/>
        <v>46387</v>
      </c>
      <c r="I362" s="21" t="s">
        <v>27</v>
      </c>
      <c r="J362" s="28" t="s">
        <v>710</v>
      </c>
      <c r="K362" s="29" t="s">
        <v>68</v>
      </c>
      <c r="L362" s="30" t="s">
        <v>35</v>
      </c>
      <c r="M362" s="31" t="s">
        <v>69</v>
      </c>
      <c r="N362" s="65" t="s">
        <v>711</v>
      </c>
      <c r="O362" s="32" t="s">
        <v>1648</v>
      </c>
      <c r="P362" s="58">
        <v>39866.0</v>
      </c>
      <c r="Q362" s="22">
        <f t="shared" si="36"/>
        <v>17</v>
      </c>
      <c r="R362" s="22"/>
      <c r="S362" s="22">
        <v>1.0</v>
      </c>
      <c r="T362" s="22">
        <v>1.0</v>
      </c>
      <c r="U362" s="22">
        <v>1.0</v>
      </c>
      <c r="V362" s="106">
        <v>45020.0</v>
      </c>
      <c r="W362" s="22" t="s">
        <v>800</v>
      </c>
      <c r="X362" s="22" t="s">
        <v>800</v>
      </c>
      <c r="Y362" s="36" t="s">
        <v>45</v>
      </c>
      <c r="Z362" s="27" t="s">
        <v>27</v>
      </c>
      <c r="AA362" s="27"/>
    </row>
    <row r="363">
      <c r="A363" s="20" t="s">
        <v>1649</v>
      </c>
      <c r="B363" s="20" t="s">
        <v>1650</v>
      </c>
      <c r="C363" s="21">
        <v>1008.0</v>
      </c>
      <c r="D363" s="22" t="str">
        <f t="shared" si="1"/>
        <v>General</v>
      </c>
      <c r="E363" s="23" t="str">
        <f t="shared" si="2"/>
        <v>Lapsed</v>
      </c>
      <c r="F363" s="24">
        <v>1.0</v>
      </c>
      <c r="G363" s="25">
        <v>44692.0</v>
      </c>
      <c r="H363" s="26">
        <f t="shared" si="9"/>
        <v>44926</v>
      </c>
      <c r="I363" s="27"/>
      <c r="J363" s="28" t="s">
        <v>1651</v>
      </c>
      <c r="K363" s="29" t="s">
        <v>640</v>
      </c>
      <c r="L363" s="30" t="s">
        <v>35</v>
      </c>
      <c r="M363" s="31" t="s">
        <v>641</v>
      </c>
      <c r="N363" s="65" t="s">
        <v>1652</v>
      </c>
      <c r="O363" s="32" t="s">
        <v>1653</v>
      </c>
      <c r="P363" s="37"/>
      <c r="Q363" s="38"/>
      <c r="R363" s="22"/>
      <c r="S363" s="22"/>
      <c r="T363" s="22"/>
      <c r="U363" s="22"/>
      <c r="V363" s="59"/>
      <c r="W363" s="22" t="s">
        <v>800</v>
      </c>
      <c r="X363" s="38"/>
      <c r="Y363" s="36" t="str">
        <f t="shared" ref="Y363:Y373" si="37">if(E363="Active","send","renew")</f>
        <v>renew</v>
      </c>
      <c r="Z363" s="27"/>
      <c r="AA363" s="27"/>
    </row>
    <row r="364">
      <c r="A364" s="20" t="s">
        <v>1654</v>
      </c>
      <c r="B364" s="20" t="s">
        <v>32</v>
      </c>
      <c r="C364" s="21">
        <v>1007.0</v>
      </c>
      <c r="D364" s="22" t="str">
        <f t="shared" si="1"/>
        <v>General</v>
      </c>
      <c r="E364" s="23" t="str">
        <f t="shared" si="2"/>
        <v>Lapsed</v>
      </c>
      <c r="F364" s="24">
        <v>1.0</v>
      </c>
      <c r="G364" s="25">
        <v>45205.0</v>
      </c>
      <c r="H364" s="26">
        <f t="shared" si="9"/>
        <v>45291</v>
      </c>
      <c r="I364" s="27"/>
      <c r="J364" s="28" t="s">
        <v>33</v>
      </c>
      <c r="K364" s="29" t="s">
        <v>34</v>
      </c>
      <c r="L364" s="30" t="s">
        <v>35</v>
      </c>
      <c r="M364" s="31" t="s">
        <v>36</v>
      </c>
      <c r="N364" s="65" t="s">
        <v>37</v>
      </c>
      <c r="O364" s="32" t="s">
        <v>1655</v>
      </c>
      <c r="P364" s="120">
        <v>39118.0</v>
      </c>
      <c r="Q364" s="22">
        <f>datedif(P364,today(),"Y")</f>
        <v>19</v>
      </c>
      <c r="R364" s="22"/>
      <c r="S364" s="22"/>
      <c r="T364" s="22"/>
      <c r="U364" s="22">
        <v>3.0</v>
      </c>
      <c r="V364" s="35">
        <v>45205.0</v>
      </c>
      <c r="W364" s="22" t="s">
        <v>800</v>
      </c>
      <c r="X364" s="22" t="s">
        <v>800</v>
      </c>
      <c r="Y364" s="36" t="str">
        <f t="shared" si="37"/>
        <v>renew</v>
      </c>
      <c r="Z364" s="27"/>
      <c r="AA364" s="27"/>
    </row>
    <row r="365">
      <c r="A365" s="20" t="s">
        <v>1656</v>
      </c>
      <c r="B365" s="20" t="s">
        <v>1657</v>
      </c>
      <c r="C365" s="21">
        <v>1006.0</v>
      </c>
      <c r="D365" s="22" t="str">
        <f t="shared" si="1"/>
        <v>General</v>
      </c>
      <c r="E365" s="23" t="str">
        <f t="shared" si="2"/>
        <v>Lapsed</v>
      </c>
      <c r="F365" s="24">
        <v>1.0</v>
      </c>
      <c r="G365" s="25">
        <v>45933.0</v>
      </c>
      <c r="H365" s="26">
        <f t="shared" si="9"/>
        <v>46022</v>
      </c>
      <c r="I365" s="27"/>
      <c r="J365" s="28" t="s">
        <v>1658</v>
      </c>
      <c r="K365" s="29" t="s">
        <v>42</v>
      </c>
      <c r="L365" s="30" t="s">
        <v>35</v>
      </c>
      <c r="M365" s="31" t="s">
        <v>293</v>
      </c>
      <c r="N365" s="65" t="s">
        <v>1659</v>
      </c>
      <c r="O365" s="32" t="s">
        <v>1660</v>
      </c>
      <c r="P365" s="37"/>
      <c r="Q365" s="38"/>
      <c r="R365" s="22"/>
      <c r="S365" s="22">
        <v>5.0</v>
      </c>
      <c r="T365" s="22"/>
      <c r="U365" s="22"/>
      <c r="V365" s="59"/>
      <c r="W365" s="22" t="s">
        <v>800</v>
      </c>
      <c r="X365" s="38"/>
      <c r="Y365" s="36" t="str">
        <f t="shared" si="37"/>
        <v>renew</v>
      </c>
      <c r="Z365" s="27"/>
      <c r="AA365" s="27"/>
    </row>
    <row r="366">
      <c r="A366" s="20" t="s">
        <v>1661</v>
      </c>
      <c r="B366" s="20" t="s">
        <v>1662</v>
      </c>
      <c r="C366" s="21">
        <v>1005.0</v>
      </c>
      <c r="D366" s="22" t="str">
        <f t="shared" si="1"/>
        <v>General</v>
      </c>
      <c r="E366" s="23" t="str">
        <f t="shared" si="2"/>
        <v>Lapsed</v>
      </c>
      <c r="F366" s="24">
        <v>1.0</v>
      </c>
      <c r="G366" s="25">
        <v>44692.0</v>
      </c>
      <c r="H366" s="26">
        <f t="shared" si="9"/>
        <v>44926</v>
      </c>
      <c r="I366" s="27"/>
      <c r="J366" s="28" t="s">
        <v>1663</v>
      </c>
      <c r="K366" s="29" t="s">
        <v>1664</v>
      </c>
      <c r="L366" s="30" t="s">
        <v>35</v>
      </c>
      <c r="M366" s="31" t="s">
        <v>1665</v>
      </c>
      <c r="N366" s="65" t="s">
        <v>1666</v>
      </c>
      <c r="O366" s="32" t="s">
        <v>1667</v>
      </c>
      <c r="P366" s="37"/>
      <c r="Q366" s="38"/>
      <c r="R366" s="22"/>
      <c r="S366" s="22"/>
      <c r="T366" s="22"/>
      <c r="U366" s="22"/>
      <c r="V366" s="59"/>
      <c r="W366" s="22" t="s">
        <v>800</v>
      </c>
      <c r="X366" s="38"/>
      <c r="Y366" s="36" t="str">
        <f t="shared" si="37"/>
        <v>renew</v>
      </c>
      <c r="Z366" s="27"/>
      <c r="AA366" s="27"/>
    </row>
    <row r="367">
      <c r="A367" s="20" t="s">
        <v>1668</v>
      </c>
      <c r="B367" s="84" t="s">
        <v>1669</v>
      </c>
      <c r="C367" s="21">
        <v>1004.0</v>
      </c>
      <c r="D367" s="22" t="str">
        <f t="shared" si="1"/>
        <v>Youth</v>
      </c>
      <c r="E367" s="23" t="str">
        <f t="shared" si="2"/>
        <v>Lapsed</v>
      </c>
      <c r="F367" s="24">
        <v>1.0</v>
      </c>
      <c r="G367" s="25">
        <v>45205.0</v>
      </c>
      <c r="H367" s="26">
        <f t="shared" si="9"/>
        <v>45291</v>
      </c>
      <c r="I367" s="27"/>
      <c r="J367" s="28" t="s">
        <v>1670</v>
      </c>
      <c r="K367" s="29" t="s">
        <v>68</v>
      </c>
      <c r="L367" s="121" t="s">
        <v>35</v>
      </c>
      <c r="M367" s="31" t="s">
        <v>69</v>
      </c>
      <c r="N367" s="65" t="s">
        <v>1671</v>
      </c>
      <c r="O367" s="32" t="s">
        <v>1672</v>
      </c>
      <c r="P367" s="58">
        <v>39774.0</v>
      </c>
      <c r="Q367" s="22">
        <f>datedif(P367,today(),"Y")</f>
        <v>17</v>
      </c>
      <c r="R367" s="22"/>
      <c r="S367" s="22"/>
      <c r="T367" s="22"/>
      <c r="U367" s="22">
        <v>3.0</v>
      </c>
      <c r="V367" s="59">
        <v>45205.0</v>
      </c>
      <c r="W367" s="22" t="s">
        <v>800</v>
      </c>
      <c r="X367" s="22" t="s">
        <v>800</v>
      </c>
      <c r="Y367" s="36" t="str">
        <f t="shared" si="37"/>
        <v>renew</v>
      </c>
      <c r="Z367" s="21"/>
      <c r="AA367" s="21"/>
    </row>
    <row r="368">
      <c r="A368" s="20" t="s">
        <v>1673</v>
      </c>
      <c r="B368" s="20" t="s">
        <v>1674</v>
      </c>
      <c r="C368" s="21">
        <v>1002.0</v>
      </c>
      <c r="D368" s="22" t="str">
        <f t="shared" si="1"/>
        <v>General</v>
      </c>
      <c r="E368" s="23" t="str">
        <f t="shared" si="2"/>
        <v>Lapsed</v>
      </c>
      <c r="F368" s="24">
        <v>1.0</v>
      </c>
      <c r="G368" s="25">
        <v>45817.0</v>
      </c>
      <c r="H368" s="26">
        <f t="shared" si="9"/>
        <v>46022</v>
      </c>
      <c r="I368" s="27"/>
      <c r="J368" s="28" t="s">
        <v>1675</v>
      </c>
      <c r="K368" s="29" t="s">
        <v>42</v>
      </c>
      <c r="L368" s="30" t="s">
        <v>35</v>
      </c>
      <c r="M368" s="31" t="s">
        <v>43</v>
      </c>
      <c r="N368" s="65" t="s">
        <v>1676</v>
      </c>
      <c r="O368" s="32" t="s">
        <v>1677</v>
      </c>
      <c r="P368" s="58"/>
      <c r="Q368" s="22"/>
      <c r="R368" s="85"/>
      <c r="S368" s="22">
        <v>2.0</v>
      </c>
      <c r="T368" s="22">
        <v>1.0</v>
      </c>
      <c r="U368" s="22"/>
      <c r="V368" s="86"/>
      <c r="W368" s="22"/>
      <c r="X368" s="38"/>
      <c r="Y368" s="36" t="str">
        <f t="shared" si="37"/>
        <v>renew</v>
      </c>
      <c r="Z368" s="21"/>
      <c r="AA368" s="75"/>
    </row>
    <row r="369">
      <c r="A369" s="20" t="s">
        <v>1678</v>
      </c>
      <c r="B369" s="20" t="s">
        <v>1674</v>
      </c>
      <c r="C369" s="21">
        <v>1002.0</v>
      </c>
      <c r="D369" s="22" t="str">
        <f t="shared" si="1"/>
        <v>General</v>
      </c>
      <c r="E369" s="23" t="str">
        <f t="shared" si="2"/>
        <v>Lapsed</v>
      </c>
      <c r="F369" s="24">
        <v>1.0</v>
      </c>
      <c r="G369" s="25">
        <v>45817.0</v>
      </c>
      <c r="H369" s="26">
        <f t="shared" si="9"/>
        <v>46022</v>
      </c>
      <c r="I369" s="27"/>
      <c r="J369" s="28" t="s">
        <v>1675</v>
      </c>
      <c r="K369" s="29" t="s">
        <v>42</v>
      </c>
      <c r="L369" s="30" t="s">
        <v>35</v>
      </c>
      <c r="M369" s="31" t="s">
        <v>43</v>
      </c>
      <c r="N369" s="65" t="s">
        <v>1679</v>
      </c>
      <c r="O369" s="32" t="s">
        <v>1677</v>
      </c>
      <c r="P369" s="58"/>
      <c r="Q369" s="22"/>
      <c r="R369" s="22"/>
      <c r="S369" s="22">
        <v>2.0</v>
      </c>
      <c r="T369" s="22">
        <v>1.0</v>
      </c>
      <c r="U369" s="22">
        <v>2.0</v>
      </c>
      <c r="V369" s="35">
        <v>45123.0</v>
      </c>
      <c r="W369" s="22" t="s">
        <v>800</v>
      </c>
      <c r="X369" s="22" t="s">
        <v>800</v>
      </c>
      <c r="Y369" s="36" t="str">
        <f t="shared" si="37"/>
        <v>renew</v>
      </c>
      <c r="Z369" s="27"/>
      <c r="AA369" s="27"/>
    </row>
    <row r="370">
      <c r="A370" s="20" t="s">
        <v>1680</v>
      </c>
      <c r="B370" s="20" t="s">
        <v>1674</v>
      </c>
      <c r="C370" s="21">
        <v>1002.0</v>
      </c>
      <c r="D370" s="22" t="str">
        <f t="shared" si="1"/>
        <v>General</v>
      </c>
      <c r="E370" s="23" t="str">
        <f t="shared" si="2"/>
        <v>Lapsed</v>
      </c>
      <c r="F370" s="24">
        <v>1.0</v>
      </c>
      <c r="G370" s="25">
        <v>45817.0</v>
      </c>
      <c r="H370" s="26">
        <f t="shared" si="9"/>
        <v>46022</v>
      </c>
      <c r="I370" s="27"/>
      <c r="J370" s="28" t="s">
        <v>1675</v>
      </c>
      <c r="K370" s="29" t="s">
        <v>42</v>
      </c>
      <c r="L370" s="30" t="s">
        <v>35</v>
      </c>
      <c r="M370" s="31" t="s">
        <v>43</v>
      </c>
      <c r="N370" s="65" t="s">
        <v>1676</v>
      </c>
      <c r="O370" s="32" t="s">
        <v>1681</v>
      </c>
      <c r="P370" s="58">
        <v>38675.0</v>
      </c>
      <c r="Q370" s="22">
        <f>datedif(P370,today(),"Y")</f>
        <v>20</v>
      </c>
      <c r="R370" s="22"/>
      <c r="S370" s="22">
        <v>2.0</v>
      </c>
      <c r="T370" s="22"/>
      <c r="U370" s="22">
        <v>3.0</v>
      </c>
      <c r="V370" s="107">
        <v>45195.0</v>
      </c>
      <c r="W370" s="22" t="s">
        <v>800</v>
      </c>
      <c r="X370" s="22" t="s">
        <v>800</v>
      </c>
      <c r="Y370" s="36" t="str">
        <f t="shared" si="37"/>
        <v>renew</v>
      </c>
      <c r="Z370" s="27"/>
      <c r="AA370" s="27"/>
    </row>
    <row r="371">
      <c r="A371" s="84" t="s">
        <v>1682</v>
      </c>
      <c r="B371" s="20" t="s">
        <v>1683</v>
      </c>
      <c r="C371" s="21">
        <v>1001.0</v>
      </c>
      <c r="D371" s="22" t="str">
        <f t="shared" si="1"/>
        <v>General</v>
      </c>
      <c r="E371" s="23" t="str">
        <f t="shared" si="2"/>
        <v>Lapsed</v>
      </c>
      <c r="F371" s="24">
        <v>1.0</v>
      </c>
      <c r="G371" s="25">
        <v>44692.0</v>
      </c>
      <c r="H371" s="26">
        <f t="shared" si="9"/>
        <v>44926</v>
      </c>
      <c r="I371" s="27"/>
      <c r="J371" s="28" t="s">
        <v>1684</v>
      </c>
      <c r="K371" s="29" t="s">
        <v>1443</v>
      </c>
      <c r="L371" s="30" t="s">
        <v>35</v>
      </c>
      <c r="M371" s="31" t="s">
        <v>69</v>
      </c>
      <c r="N371" s="65" t="s">
        <v>1685</v>
      </c>
      <c r="O371" s="32" t="s">
        <v>1686</v>
      </c>
      <c r="P371" s="37"/>
      <c r="Q371" s="22"/>
      <c r="R371" s="22"/>
      <c r="S371" s="22"/>
      <c r="T371" s="22"/>
      <c r="U371" s="22"/>
      <c r="V371" s="59"/>
      <c r="W371" s="22" t="s">
        <v>800</v>
      </c>
      <c r="X371" s="38"/>
      <c r="Y371" s="36" t="str">
        <f t="shared" si="37"/>
        <v>renew</v>
      </c>
      <c r="Z371" s="27"/>
      <c r="AA371" s="27"/>
    </row>
    <row r="372">
      <c r="A372" s="20" t="s">
        <v>1687</v>
      </c>
      <c r="B372" s="20" t="s">
        <v>1688</v>
      </c>
      <c r="C372" s="21">
        <v>1000.0</v>
      </c>
      <c r="D372" s="22" t="str">
        <f t="shared" si="1"/>
        <v>General</v>
      </c>
      <c r="E372" s="23" t="str">
        <f t="shared" si="2"/>
        <v>Lapsed</v>
      </c>
      <c r="F372" s="24">
        <v>1.0</v>
      </c>
      <c r="G372" s="25">
        <v>45771.0</v>
      </c>
      <c r="H372" s="26">
        <f t="shared" si="9"/>
        <v>46022</v>
      </c>
      <c r="I372" s="27"/>
      <c r="J372" s="28" t="s">
        <v>1689</v>
      </c>
      <c r="K372" s="29" t="s">
        <v>190</v>
      </c>
      <c r="L372" s="30" t="s">
        <v>35</v>
      </c>
      <c r="M372" s="31" t="s">
        <v>191</v>
      </c>
      <c r="N372" s="65" t="s">
        <v>1690</v>
      </c>
      <c r="O372" s="32" t="s">
        <v>1691</v>
      </c>
      <c r="P372" s="37"/>
      <c r="Q372" s="22"/>
      <c r="R372" s="22"/>
      <c r="S372" s="22">
        <v>1.0</v>
      </c>
      <c r="T372" s="22">
        <v>1.0</v>
      </c>
      <c r="U372" s="22">
        <v>3.0</v>
      </c>
      <c r="V372" s="107">
        <v>45200.0</v>
      </c>
      <c r="W372" s="22" t="s">
        <v>800</v>
      </c>
      <c r="X372" s="22" t="s">
        <v>800</v>
      </c>
      <c r="Y372" s="36" t="str">
        <f t="shared" si="37"/>
        <v>renew</v>
      </c>
      <c r="Z372" s="27" t="s">
        <v>27</v>
      </c>
      <c r="AA372" s="27" t="s">
        <v>671</v>
      </c>
    </row>
    <row r="373">
      <c r="A373" s="122" t="s">
        <v>1188</v>
      </c>
      <c r="B373" s="67" t="s">
        <v>1688</v>
      </c>
      <c r="C373" s="23">
        <v>1000.0</v>
      </c>
      <c r="D373" s="22" t="str">
        <f t="shared" si="1"/>
        <v>General</v>
      </c>
      <c r="E373" s="23" t="str">
        <f t="shared" si="2"/>
        <v>Lapsed</v>
      </c>
      <c r="F373" s="68">
        <v>1.0</v>
      </c>
      <c r="G373" s="123">
        <v>45545.0</v>
      </c>
      <c r="H373" s="26">
        <f t="shared" si="9"/>
        <v>45657</v>
      </c>
      <c r="I373" s="83"/>
      <c r="J373" s="124" t="s">
        <v>1689</v>
      </c>
      <c r="K373" s="67" t="s">
        <v>190</v>
      </c>
      <c r="L373" s="23" t="s">
        <v>35</v>
      </c>
      <c r="M373" s="125" t="s">
        <v>191</v>
      </c>
      <c r="N373" s="126" t="s">
        <v>1692</v>
      </c>
      <c r="O373" s="127" t="s">
        <v>1693</v>
      </c>
      <c r="P373" s="37"/>
      <c r="Q373" s="128"/>
      <c r="R373" s="124"/>
      <c r="S373" s="129"/>
      <c r="T373" s="129">
        <v>1.0</v>
      </c>
      <c r="U373" s="129">
        <v>3.0</v>
      </c>
      <c r="V373" s="107">
        <v>45200.0</v>
      </c>
      <c r="W373" s="124" t="s">
        <v>800</v>
      </c>
      <c r="X373" s="124" t="s">
        <v>800</v>
      </c>
      <c r="Y373" s="36" t="str">
        <f t="shared" si="37"/>
        <v>renew</v>
      </c>
      <c r="Z373" s="130"/>
      <c r="AA373" s="27"/>
    </row>
    <row r="374">
      <c r="A374" s="20" t="s">
        <v>1694</v>
      </c>
      <c r="B374" s="20" t="s">
        <v>1695</v>
      </c>
      <c r="C374" s="21">
        <v>999.0</v>
      </c>
      <c r="D374" s="22" t="str">
        <f t="shared" si="1"/>
        <v>General</v>
      </c>
      <c r="E374" s="23" t="str">
        <f t="shared" si="2"/>
        <v>Active</v>
      </c>
      <c r="F374" s="24">
        <v>1.0</v>
      </c>
      <c r="G374" s="25">
        <v>46077.0</v>
      </c>
      <c r="H374" s="26">
        <f t="shared" si="9"/>
        <v>46387</v>
      </c>
      <c r="I374" s="27" t="s">
        <v>27</v>
      </c>
      <c r="J374" s="28" t="s">
        <v>1696</v>
      </c>
      <c r="K374" s="29" t="s">
        <v>647</v>
      </c>
      <c r="L374" s="30" t="s">
        <v>35</v>
      </c>
      <c r="M374" s="31" t="s">
        <v>1062</v>
      </c>
      <c r="N374" s="131" t="s">
        <v>1697</v>
      </c>
      <c r="O374" s="32" t="s">
        <v>1698</v>
      </c>
      <c r="P374" s="37"/>
      <c r="Q374" s="22"/>
      <c r="R374" s="118"/>
      <c r="S374" s="22">
        <v>1.0</v>
      </c>
      <c r="T374" s="22">
        <v>1.0</v>
      </c>
      <c r="U374" s="22">
        <v>1.0</v>
      </c>
      <c r="V374" s="106">
        <v>44950.0</v>
      </c>
      <c r="W374" s="22" t="s">
        <v>800</v>
      </c>
      <c r="X374" s="22" t="s">
        <v>800</v>
      </c>
      <c r="Y374" s="36" t="s">
        <v>45</v>
      </c>
      <c r="Z374" s="27" t="s">
        <v>8</v>
      </c>
      <c r="AA374" s="27"/>
    </row>
    <row r="375">
      <c r="A375" s="84" t="s">
        <v>1699</v>
      </c>
      <c r="B375" s="20" t="s">
        <v>1700</v>
      </c>
      <c r="C375" s="21">
        <v>998.0</v>
      </c>
      <c r="D375" s="22" t="str">
        <f t="shared" si="1"/>
        <v>General</v>
      </c>
      <c r="E375" s="23" t="str">
        <f t="shared" si="2"/>
        <v>Lapsed</v>
      </c>
      <c r="F375" s="24">
        <v>1.0</v>
      </c>
      <c r="G375" s="25">
        <v>45849.0</v>
      </c>
      <c r="H375" s="26">
        <f t="shared" si="9"/>
        <v>46022</v>
      </c>
      <c r="I375" s="21"/>
      <c r="J375" s="28" t="s">
        <v>1701</v>
      </c>
      <c r="K375" s="29" t="s">
        <v>190</v>
      </c>
      <c r="L375" s="30" t="s">
        <v>35</v>
      </c>
      <c r="M375" s="31" t="s">
        <v>191</v>
      </c>
      <c r="N375" s="65" t="s">
        <v>1702</v>
      </c>
      <c r="O375" s="32" t="s">
        <v>1703</v>
      </c>
      <c r="P375" s="37"/>
      <c r="Q375" s="22"/>
      <c r="R375" s="56">
        <v>2024.0</v>
      </c>
      <c r="S375" s="22">
        <v>4.0</v>
      </c>
      <c r="T375" s="22">
        <v>2.0</v>
      </c>
      <c r="U375" s="22"/>
      <c r="V375" s="59"/>
      <c r="W375" s="22" t="s">
        <v>800</v>
      </c>
      <c r="X375" s="38"/>
      <c r="Y375" s="36" t="str">
        <f t="shared" ref="Y375:Y382" si="38">if(E375="Active","send","renew")</f>
        <v>renew</v>
      </c>
      <c r="Z375" s="21" t="s">
        <v>27</v>
      </c>
      <c r="AA375" s="21" t="s">
        <v>671</v>
      </c>
    </row>
    <row r="376">
      <c r="A376" s="20" t="s">
        <v>1603</v>
      </c>
      <c r="B376" s="20" t="s">
        <v>1704</v>
      </c>
      <c r="C376" s="21">
        <v>997.0</v>
      </c>
      <c r="D376" s="22" t="str">
        <f t="shared" si="1"/>
        <v>General</v>
      </c>
      <c r="E376" s="23" t="str">
        <f t="shared" si="2"/>
        <v>Lapsed</v>
      </c>
      <c r="F376" s="24">
        <v>1.0</v>
      </c>
      <c r="G376" s="25">
        <v>44692.0</v>
      </c>
      <c r="H376" s="26">
        <f t="shared" si="9"/>
        <v>44926</v>
      </c>
      <c r="I376" s="27"/>
      <c r="J376" s="28" t="s">
        <v>1705</v>
      </c>
      <c r="K376" s="29" t="s">
        <v>647</v>
      </c>
      <c r="L376" s="30" t="s">
        <v>35</v>
      </c>
      <c r="M376" s="31" t="s">
        <v>137</v>
      </c>
      <c r="N376" s="65" t="s">
        <v>1706</v>
      </c>
      <c r="O376" s="32" t="s">
        <v>1707</v>
      </c>
      <c r="P376" s="37"/>
      <c r="Q376" s="22"/>
      <c r="R376" s="22"/>
      <c r="S376" s="22"/>
      <c r="T376" s="22"/>
      <c r="U376" s="22"/>
      <c r="V376" s="59"/>
      <c r="W376" s="22" t="s">
        <v>800</v>
      </c>
      <c r="X376" s="38"/>
      <c r="Y376" s="36" t="str">
        <f t="shared" si="38"/>
        <v>renew</v>
      </c>
      <c r="Z376" s="21"/>
      <c r="AA376" s="75"/>
    </row>
    <row r="377">
      <c r="A377" s="84" t="s">
        <v>1708</v>
      </c>
      <c r="B377" s="20" t="s">
        <v>1709</v>
      </c>
      <c r="C377" s="21">
        <v>996.0</v>
      </c>
      <c r="D377" s="22" t="str">
        <f t="shared" si="1"/>
        <v>Youth</v>
      </c>
      <c r="E377" s="23" t="str">
        <f t="shared" si="2"/>
        <v>Lapsed</v>
      </c>
      <c r="F377" s="24">
        <v>1.0</v>
      </c>
      <c r="G377" s="25">
        <v>45756.0</v>
      </c>
      <c r="H377" s="26">
        <f t="shared" si="9"/>
        <v>46022</v>
      </c>
      <c r="I377" s="27"/>
      <c r="J377" s="28" t="s">
        <v>1710</v>
      </c>
      <c r="K377" s="29" t="s">
        <v>322</v>
      </c>
      <c r="L377" s="30" t="s">
        <v>35</v>
      </c>
      <c r="M377" s="42" t="s">
        <v>323</v>
      </c>
      <c r="N377" s="65" t="s">
        <v>1711</v>
      </c>
      <c r="O377" s="32" t="s">
        <v>1712</v>
      </c>
      <c r="P377" s="58">
        <v>40659.0</v>
      </c>
      <c r="Q377" s="22">
        <f>datedif(P377,today(),"Y")</f>
        <v>14</v>
      </c>
      <c r="R377" s="22"/>
      <c r="S377" s="22">
        <v>1.0</v>
      </c>
      <c r="T377" s="22"/>
      <c r="U377" s="22"/>
      <c r="V377" s="59"/>
      <c r="W377" s="22" t="s">
        <v>800</v>
      </c>
      <c r="X377" s="38"/>
      <c r="Y377" s="36" t="str">
        <f t="shared" si="38"/>
        <v>renew</v>
      </c>
      <c r="Z377" s="27" t="s">
        <v>8</v>
      </c>
      <c r="AA377" s="27"/>
    </row>
    <row r="378">
      <c r="A378" s="20" t="s">
        <v>1027</v>
      </c>
      <c r="B378" s="20" t="s">
        <v>1713</v>
      </c>
      <c r="C378" s="21">
        <v>995.0</v>
      </c>
      <c r="D378" s="22" t="str">
        <f t="shared" si="1"/>
        <v>General</v>
      </c>
      <c r="E378" s="23" t="str">
        <f t="shared" si="2"/>
        <v>Lapsed</v>
      </c>
      <c r="F378" s="24">
        <v>1.0</v>
      </c>
      <c r="G378" s="25">
        <v>45396.0</v>
      </c>
      <c r="H378" s="26">
        <f t="shared" si="9"/>
        <v>45657</v>
      </c>
      <c r="I378" s="27"/>
      <c r="J378" s="28" t="s">
        <v>1714</v>
      </c>
      <c r="K378" s="29" t="s">
        <v>42</v>
      </c>
      <c r="L378" s="30" t="s">
        <v>35</v>
      </c>
      <c r="M378" s="42" t="s">
        <v>293</v>
      </c>
      <c r="N378" s="65" t="s">
        <v>1715</v>
      </c>
      <c r="O378" s="32" t="s">
        <v>1716</v>
      </c>
      <c r="P378" s="37"/>
      <c r="Q378" s="38"/>
      <c r="R378" s="118"/>
      <c r="S378" s="22"/>
      <c r="T378" s="22">
        <v>1.0</v>
      </c>
      <c r="U378" s="22">
        <v>1.0</v>
      </c>
      <c r="V378" s="106">
        <v>44963.0</v>
      </c>
      <c r="W378" s="22" t="s">
        <v>800</v>
      </c>
      <c r="X378" s="22" t="s">
        <v>800</v>
      </c>
      <c r="Y378" s="36" t="str">
        <f t="shared" si="38"/>
        <v>renew</v>
      </c>
      <c r="Z378" s="27"/>
      <c r="AA378" s="27"/>
    </row>
    <row r="379">
      <c r="A379" s="20" t="s">
        <v>1717</v>
      </c>
      <c r="B379" s="20" t="s">
        <v>1718</v>
      </c>
      <c r="C379" s="21">
        <v>994.0</v>
      </c>
      <c r="D379" s="22" t="str">
        <f t="shared" si="1"/>
        <v>General</v>
      </c>
      <c r="E379" s="23" t="str">
        <f t="shared" si="2"/>
        <v>Lapsed</v>
      </c>
      <c r="F379" s="24">
        <v>1.0</v>
      </c>
      <c r="G379" s="25">
        <v>44662.0</v>
      </c>
      <c r="H379" s="26">
        <f t="shared" si="9"/>
        <v>44926</v>
      </c>
      <c r="I379" s="75"/>
      <c r="J379" s="62" t="s">
        <v>1719</v>
      </c>
      <c r="K379" s="62" t="s">
        <v>1366</v>
      </c>
      <c r="L379" s="30" t="s">
        <v>35</v>
      </c>
      <c r="M379" s="64">
        <v>80643.0</v>
      </c>
      <c r="N379" s="80" t="s">
        <v>1720</v>
      </c>
      <c r="O379" s="66" t="s">
        <v>1721</v>
      </c>
      <c r="P379" s="37"/>
      <c r="Q379" s="38"/>
      <c r="R379" s="22"/>
      <c r="S379" s="22"/>
      <c r="T379" s="22"/>
      <c r="U379" s="22"/>
      <c r="V379" s="59"/>
      <c r="W379" s="22" t="s">
        <v>800</v>
      </c>
      <c r="X379" s="38"/>
      <c r="Y379" s="36" t="str">
        <f t="shared" si="38"/>
        <v>renew</v>
      </c>
      <c r="Z379" s="130"/>
      <c r="AA379" s="27"/>
    </row>
    <row r="380">
      <c r="A380" s="87" t="s">
        <v>1722</v>
      </c>
      <c r="B380" s="87" t="s">
        <v>1723</v>
      </c>
      <c r="C380" s="75">
        <v>993.0</v>
      </c>
      <c r="D380" s="22" t="str">
        <f t="shared" si="1"/>
        <v>General</v>
      </c>
      <c r="E380" s="23" t="str">
        <f t="shared" si="2"/>
        <v>Lapsed</v>
      </c>
      <c r="F380" s="24">
        <v>1.0</v>
      </c>
      <c r="G380" s="25">
        <v>44645.0</v>
      </c>
      <c r="H380" s="26">
        <f t="shared" si="9"/>
        <v>44926</v>
      </c>
      <c r="I380" s="132"/>
      <c r="J380" s="133" t="s">
        <v>1724</v>
      </c>
      <c r="K380" s="62" t="s">
        <v>1725</v>
      </c>
      <c r="L380" s="81" t="s">
        <v>35</v>
      </c>
      <c r="M380" s="64">
        <v>80613.0</v>
      </c>
      <c r="N380" s="134" t="s">
        <v>1726</v>
      </c>
      <c r="O380" s="66" t="s">
        <v>1727</v>
      </c>
      <c r="P380" s="37"/>
      <c r="Q380" s="38"/>
      <c r="R380" s="22"/>
      <c r="S380" s="22"/>
      <c r="T380" s="22"/>
      <c r="U380" s="22"/>
      <c r="V380" s="135"/>
      <c r="W380" s="22" t="s">
        <v>800</v>
      </c>
      <c r="X380" s="38"/>
      <c r="Y380" s="36" t="str">
        <f t="shared" si="38"/>
        <v>renew</v>
      </c>
      <c r="Z380" s="75"/>
      <c r="AA380" s="75"/>
    </row>
    <row r="381">
      <c r="A381" s="87" t="s">
        <v>1728</v>
      </c>
      <c r="B381" s="87" t="s">
        <v>1729</v>
      </c>
      <c r="C381" s="75">
        <v>992.0</v>
      </c>
      <c r="D381" s="22" t="str">
        <f t="shared" si="1"/>
        <v>General</v>
      </c>
      <c r="E381" s="23" t="str">
        <f t="shared" si="2"/>
        <v>Lapsed</v>
      </c>
      <c r="F381" s="24">
        <v>1.0</v>
      </c>
      <c r="G381" s="25">
        <v>45407.0</v>
      </c>
      <c r="H381" s="26">
        <f t="shared" si="9"/>
        <v>45657</v>
      </c>
      <c r="I381" s="114"/>
      <c r="J381" s="133" t="s">
        <v>1730</v>
      </c>
      <c r="K381" s="62" t="s">
        <v>939</v>
      </c>
      <c r="L381" s="63" t="s">
        <v>35</v>
      </c>
      <c r="M381" s="64">
        <v>80648.0</v>
      </c>
      <c r="N381" s="134" t="s">
        <v>1731</v>
      </c>
      <c r="O381" s="54" t="s">
        <v>1732</v>
      </c>
      <c r="P381" s="136"/>
      <c r="Q381" s="137"/>
      <c r="R381" s="22"/>
      <c r="S381" s="22"/>
      <c r="T381" s="22">
        <v>1.0</v>
      </c>
      <c r="U381" s="22"/>
      <c r="V381" s="135"/>
      <c r="W381" s="22" t="s">
        <v>800</v>
      </c>
      <c r="X381" s="137"/>
      <c r="Y381" s="36" t="str">
        <f t="shared" si="38"/>
        <v>renew</v>
      </c>
      <c r="Z381" s="21"/>
      <c r="AA381" s="75"/>
    </row>
    <row r="382">
      <c r="A382" s="87" t="s">
        <v>1733</v>
      </c>
      <c r="B382" s="87" t="s">
        <v>1734</v>
      </c>
      <c r="C382" s="138">
        <v>991.0</v>
      </c>
      <c r="D382" s="22" t="str">
        <f t="shared" si="1"/>
        <v>General</v>
      </c>
      <c r="E382" s="23" t="str">
        <f t="shared" si="2"/>
        <v>Lapsed</v>
      </c>
      <c r="F382" s="24">
        <v>1.0</v>
      </c>
      <c r="G382" s="25">
        <v>44514.0</v>
      </c>
      <c r="H382" s="26">
        <f t="shared" si="9"/>
        <v>44561</v>
      </c>
      <c r="I382" s="75"/>
      <c r="J382" s="62" t="s">
        <v>1735</v>
      </c>
      <c r="K382" s="139" t="s">
        <v>164</v>
      </c>
      <c r="L382" s="140" t="s">
        <v>35</v>
      </c>
      <c r="M382" s="64">
        <v>80516.0</v>
      </c>
      <c r="N382" s="80" t="s">
        <v>1736</v>
      </c>
      <c r="O382" s="66" t="s">
        <v>1737</v>
      </c>
      <c r="P382" s="37"/>
      <c r="Q382" s="38"/>
      <c r="R382" s="22"/>
      <c r="S382" s="22"/>
      <c r="T382" s="22"/>
      <c r="U382" s="22"/>
      <c r="V382" s="135"/>
      <c r="W382" s="22" t="s">
        <v>800</v>
      </c>
      <c r="X382" s="38"/>
      <c r="Y382" s="36" t="str">
        <f t="shared" si="38"/>
        <v>renew</v>
      </c>
      <c r="Z382" s="75"/>
      <c r="AA382" s="75"/>
    </row>
    <row r="383">
      <c r="A383" s="87" t="s">
        <v>1738</v>
      </c>
      <c r="B383" s="87" t="s">
        <v>202</v>
      </c>
      <c r="C383" s="138">
        <v>990.0</v>
      </c>
      <c r="D383" s="22" t="str">
        <f t="shared" si="1"/>
        <v>General</v>
      </c>
      <c r="E383" s="23" t="str">
        <f t="shared" si="2"/>
        <v>Active</v>
      </c>
      <c r="F383" s="24">
        <v>1.0</v>
      </c>
      <c r="G383" s="25">
        <v>46129.0</v>
      </c>
      <c r="H383" s="26">
        <f t="shared" si="9"/>
        <v>46387</v>
      </c>
      <c r="I383" s="21"/>
      <c r="J383" s="29" t="s">
        <v>1739</v>
      </c>
      <c r="K383" s="29" t="s">
        <v>651</v>
      </c>
      <c r="L383" s="140" t="s">
        <v>35</v>
      </c>
      <c r="M383" s="42" t="s">
        <v>1740</v>
      </c>
      <c r="N383" s="131" t="s">
        <v>1741</v>
      </c>
      <c r="O383" s="66" t="s">
        <v>1742</v>
      </c>
      <c r="P383" s="37"/>
      <c r="Q383" s="38"/>
      <c r="R383" s="118"/>
      <c r="S383" s="22"/>
      <c r="T383" s="22"/>
      <c r="U383" s="22">
        <v>1.0</v>
      </c>
      <c r="V383" s="141">
        <v>44938.0</v>
      </c>
      <c r="W383" s="22" t="s">
        <v>800</v>
      </c>
      <c r="X383" s="22" t="s">
        <v>800</v>
      </c>
      <c r="Y383" s="36" t="s">
        <v>412</v>
      </c>
      <c r="Z383" s="21"/>
      <c r="AA383" s="75"/>
    </row>
    <row r="384">
      <c r="A384" s="87" t="s">
        <v>922</v>
      </c>
      <c r="B384" s="87" t="s">
        <v>1743</v>
      </c>
      <c r="C384" s="75">
        <v>989.0</v>
      </c>
      <c r="D384" s="22" t="str">
        <f t="shared" si="1"/>
        <v>General</v>
      </c>
      <c r="E384" s="23" t="str">
        <f t="shared" si="2"/>
        <v>Lapsed</v>
      </c>
      <c r="F384" s="24">
        <v>1.0</v>
      </c>
      <c r="G384" s="25">
        <v>45933.0</v>
      </c>
      <c r="H384" s="26">
        <f t="shared" si="9"/>
        <v>46022</v>
      </c>
      <c r="I384" s="27"/>
      <c r="J384" s="62" t="s">
        <v>1744</v>
      </c>
      <c r="K384" s="62" t="s">
        <v>1745</v>
      </c>
      <c r="L384" s="63" t="s">
        <v>342</v>
      </c>
      <c r="M384" s="64">
        <v>64155.0</v>
      </c>
      <c r="N384" s="53" t="s">
        <v>1746</v>
      </c>
      <c r="O384" s="66" t="s">
        <v>1747</v>
      </c>
      <c r="P384" s="37"/>
      <c r="Q384" s="38"/>
      <c r="R384" s="118"/>
      <c r="S384" s="22">
        <v>5.0</v>
      </c>
      <c r="T384" s="22">
        <v>1.0</v>
      </c>
      <c r="U384" s="22">
        <v>1.0</v>
      </c>
      <c r="V384" s="141">
        <v>44928.0</v>
      </c>
      <c r="W384" s="22" t="s">
        <v>800</v>
      </c>
      <c r="X384" s="22" t="s">
        <v>800</v>
      </c>
      <c r="Y384" s="36" t="str">
        <f t="shared" ref="Y384:Y397" si="39">if(E384="Active","send","renew")</f>
        <v>renew</v>
      </c>
      <c r="Z384" s="27"/>
      <c r="AA384" s="27"/>
    </row>
    <row r="385">
      <c r="A385" s="87" t="s">
        <v>1748</v>
      </c>
      <c r="B385" s="87" t="s">
        <v>1749</v>
      </c>
      <c r="C385" s="138">
        <v>988.0</v>
      </c>
      <c r="D385" s="22" t="str">
        <f t="shared" si="1"/>
        <v>General</v>
      </c>
      <c r="E385" s="23" t="str">
        <f t="shared" si="2"/>
        <v>Lapsed</v>
      </c>
      <c r="F385" s="24">
        <v>1.0</v>
      </c>
      <c r="G385" s="25">
        <v>44493.0</v>
      </c>
      <c r="H385" s="26">
        <f t="shared" si="9"/>
        <v>44561</v>
      </c>
      <c r="I385" s="75"/>
      <c r="J385" s="62" t="s">
        <v>1750</v>
      </c>
      <c r="K385" s="139" t="s">
        <v>68</v>
      </c>
      <c r="L385" s="140" t="s">
        <v>35</v>
      </c>
      <c r="M385" s="64">
        <v>80550.0</v>
      </c>
      <c r="N385" s="53" t="s">
        <v>1751</v>
      </c>
      <c r="O385" s="66" t="s">
        <v>1752</v>
      </c>
      <c r="P385" s="37"/>
      <c r="Q385" s="38"/>
      <c r="R385" s="22"/>
      <c r="S385" s="38"/>
      <c r="T385" s="38"/>
      <c r="U385" s="38"/>
      <c r="V385" s="59"/>
      <c r="W385" s="22" t="s">
        <v>800</v>
      </c>
      <c r="X385" s="38"/>
      <c r="Y385" s="36" t="str">
        <f t="shared" si="39"/>
        <v>renew</v>
      </c>
      <c r="Z385" s="130"/>
      <c r="AA385" s="27"/>
    </row>
    <row r="386">
      <c r="A386" s="87" t="s">
        <v>1753</v>
      </c>
      <c r="B386" s="87" t="s">
        <v>1201</v>
      </c>
      <c r="C386" s="142">
        <v>987.0</v>
      </c>
      <c r="D386" s="22" t="str">
        <f t="shared" si="1"/>
        <v>General</v>
      </c>
      <c r="E386" s="23" t="str">
        <f t="shared" si="2"/>
        <v>Lapsed</v>
      </c>
      <c r="F386" s="24">
        <v>1.0</v>
      </c>
      <c r="G386" s="25">
        <v>45451.0</v>
      </c>
      <c r="H386" s="26">
        <f t="shared" si="9"/>
        <v>45657</v>
      </c>
      <c r="I386" s="21"/>
      <c r="J386" s="62" t="s">
        <v>1754</v>
      </c>
      <c r="K386" s="62" t="s">
        <v>1203</v>
      </c>
      <c r="L386" s="63" t="s">
        <v>35</v>
      </c>
      <c r="M386" s="64">
        <v>80005.0</v>
      </c>
      <c r="N386" s="80" t="s">
        <v>1755</v>
      </c>
      <c r="O386" s="66"/>
      <c r="P386" s="37"/>
      <c r="Q386" s="38"/>
      <c r="R386" s="22"/>
      <c r="S386" s="22"/>
      <c r="T386" s="22">
        <v>1.0</v>
      </c>
      <c r="U386" s="22">
        <v>2.0</v>
      </c>
      <c r="V386" s="35">
        <v>45069.0</v>
      </c>
      <c r="W386" s="22" t="s">
        <v>800</v>
      </c>
      <c r="X386" s="22" t="s">
        <v>800</v>
      </c>
      <c r="Y386" s="36" t="str">
        <f t="shared" si="39"/>
        <v>renew</v>
      </c>
      <c r="Z386" s="27"/>
      <c r="AA386" s="27"/>
    </row>
    <row r="387">
      <c r="A387" s="87" t="s">
        <v>1756</v>
      </c>
      <c r="B387" s="87" t="s">
        <v>1757</v>
      </c>
      <c r="C387" s="75">
        <v>986.0</v>
      </c>
      <c r="D387" s="22" t="str">
        <f t="shared" si="1"/>
        <v>General</v>
      </c>
      <c r="E387" s="23" t="str">
        <f t="shared" si="2"/>
        <v>Lapsed</v>
      </c>
      <c r="F387" s="24">
        <v>1.0</v>
      </c>
      <c r="G387" s="25">
        <v>44495.0</v>
      </c>
      <c r="H387" s="26">
        <f t="shared" si="9"/>
        <v>44561</v>
      </c>
      <c r="I387" s="75"/>
      <c r="J387" s="62" t="s">
        <v>1758</v>
      </c>
      <c r="K387" s="62" t="s">
        <v>761</v>
      </c>
      <c r="L387" s="63" t="s">
        <v>35</v>
      </c>
      <c r="M387" s="64">
        <v>80401.0</v>
      </c>
      <c r="N387" s="80" t="s">
        <v>1759</v>
      </c>
      <c r="O387" s="66" t="s">
        <v>1760</v>
      </c>
      <c r="P387" s="37"/>
      <c r="Q387" s="38"/>
      <c r="R387" s="22"/>
      <c r="S387" s="38"/>
      <c r="T387" s="38"/>
      <c r="U387" s="38"/>
      <c r="V387" s="59"/>
      <c r="W387" s="22" t="s">
        <v>800</v>
      </c>
      <c r="X387" s="38"/>
      <c r="Y387" s="36" t="str">
        <f t="shared" si="39"/>
        <v>renew</v>
      </c>
      <c r="Z387" s="130"/>
      <c r="AA387" s="27"/>
    </row>
    <row r="388">
      <c r="A388" s="87" t="s">
        <v>1761</v>
      </c>
      <c r="B388" s="87" t="s">
        <v>1762</v>
      </c>
      <c r="C388" s="75">
        <v>985.0</v>
      </c>
      <c r="D388" s="22" t="str">
        <f t="shared" si="1"/>
        <v>General</v>
      </c>
      <c r="E388" s="23" t="str">
        <f t="shared" si="2"/>
        <v>Lapsed</v>
      </c>
      <c r="F388" s="24">
        <v>1.0</v>
      </c>
      <c r="G388" s="25">
        <v>44494.0</v>
      </c>
      <c r="H388" s="26">
        <f t="shared" si="9"/>
        <v>44561</v>
      </c>
      <c r="I388" s="75"/>
      <c r="J388" s="62" t="s">
        <v>1763</v>
      </c>
      <c r="K388" s="62" t="s">
        <v>448</v>
      </c>
      <c r="L388" s="63" t="s">
        <v>35</v>
      </c>
      <c r="M388" s="64">
        <v>80513.0</v>
      </c>
      <c r="N388" s="80" t="s">
        <v>1764</v>
      </c>
      <c r="O388" s="66" t="s">
        <v>1765</v>
      </c>
      <c r="P388" s="37"/>
      <c r="Q388" s="38"/>
      <c r="R388" s="22"/>
      <c r="S388" s="38"/>
      <c r="T388" s="38"/>
      <c r="U388" s="38"/>
      <c r="V388" s="59"/>
      <c r="W388" s="22" t="s">
        <v>800</v>
      </c>
      <c r="X388" s="38"/>
      <c r="Y388" s="36" t="str">
        <f t="shared" si="39"/>
        <v>renew</v>
      </c>
      <c r="Z388" s="130"/>
      <c r="AA388" s="27"/>
    </row>
    <row r="389">
      <c r="A389" s="87" t="s">
        <v>1766</v>
      </c>
      <c r="B389" s="87" t="s">
        <v>1767</v>
      </c>
      <c r="C389" s="142">
        <v>984.0</v>
      </c>
      <c r="D389" s="22" t="str">
        <f t="shared" si="1"/>
        <v>General</v>
      </c>
      <c r="E389" s="23" t="str">
        <f t="shared" si="2"/>
        <v>Lapsed</v>
      </c>
      <c r="F389" s="24">
        <v>1.0</v>
      </c>
      <c r="G389" s="25">
        <v>44477.0</v>
      </c>
      <c r="H389" s="26">
        <f t="shared" si="9"/>
        <v>44561</v>
      </c>
      <c r="I389" s="75"/>
      <c r="J389" s="29" t="s">
        <v>1768</v>
      </c>
      <c r="K389" s="29" t="s">
        <v>473</v>
      </c>
      <c r="L389" s="63" t="s">
        <v>35</v>
      </c>
      <c r="M389" s="42" t="s">
        <v>474</v>
      </c>
      <c r="N389" s="80" t="s">
        <v>1769</v>
      </c>
      <c r="O389" s="66" t="s">
        <v>1770</v>
      </c>
      <c r="P389" s="37"/>
      <c r="Q389" s="38"/>
      <c r="R389" s="22"/>
      <c r="S389" s="38"/>
      <c r="T389" s="38"/>
      <c r="U389" s="38"/>
      <c r="V389" s="59"/>
      <c r="W389" s="22" t="s">
        <v>800</v>
      </c>
      <c r="X389" s="38"/>
      <c r="Y389" s="36" t="str">
        <f t="shared" si="39"/>
        <v>renew</v>
      </c>
      <c r="Z389" s="143"/>
      <c r="AA389" s="113"/>
    </row>
    <row r="390">
      <c r="A390" s="87" t="s">
        <v>1771</v>
      </c>
      <c r="B390" s="87" t="s">
        <v>1767</v>
      </c>
      <c r="C390" s="142">
        <v>983.0</v>
      </c>
      <c r="D390" s="22" t="str">
        <f t="shared" si="1"/>
        <v>Youth</v>
      </c>
      <c r="E390" s="23" t="str">
        <f t="shared" si="2"/>
        <v>Lapsed</v>
      </c>
      <c r="F390" s="24">
        <v>1.0</v>
      </c>
      <c r="G390" s="25">
        <v>45406.0</v>
      </c>
      <c r="H390" s="26">
        <f t="shared" si="9"/>
        <v>45657</v>
      </c>
      <c r="I390" s="21"/>
      <c r="J390" s="29" t="s">
        <v>1768</v>
      </c>
      <c r="K390" s="29" t="s">
        <v>473</v>
      </c>
      <c r="L390" s="63" t="s">
        <v>35</v>
      </c>
      <c r="M390" s="42" t="s">
        <v>474</v>
      </c>
      <c r="N390" s="80" t="s">
        <v>1769</v>
      </c>
      <c r="O390" s="66" t="s">
        <v>1770</v>
      </c>
      <c r="P390" s="144">
        <v>39900.0</v>
      </c>
      <c r="Q390" s="22">
        <f>datedif(P390,today(),"Y")</f>
        <v>17</v>
      </c>
      <c r="R390" s="22"/>
      <c r="S390" s="22"/>
      <c r="T390" s="22">
        <v>1.0</v>
      </c>
      <c r="U390" s="22">
        <v>3.0</v>
      </c>
      <c r="V390" s="116">
        <v>45205.0</v>
      </c>
      <c r="W390" s="22" t="s">
        <v>800</v>
      </c>
      <c r="X390" s="22" t="s">
        <v>800</v>
      </c>
      <c r="Y390" s="36" t="str">
        <f t="shared" si="39"/>
        <v>renew</v>
      </c>
      <c r="Z390" s="27"/>
      <c r="AA390" s="27"/>
    </row>
    <row r="391">
      <c r="A391" s="87" t="s">
        <v>1772</v>
      </c>
      <c r="B391" s="87" t="s">
        <v>439</v>
      </c>
      <c r="C391" s="75">
        <v>982.0</v>
      </c>
      <c r="D391" s="22" t="str">
        <f t="shared" si="1"/>
        <v>General</v>
      </c>
      <c r="E391" s="23" t="str">
        <f t="shared" si="2"/>
        <v>Lapsed</v>
      </c>
      <c r="F391" s="24">
        <v>1.0</v>
      </c>
      <c r="G391" s="25">
        <v>44478.0</v>
      </c>
      <c r="H391" s="26">
        <f t="shared" si="9"/>
        <v>44561</v>
      </c>
      <c r="I391" s="75"/>
      <c r="J391" s="62" t="s">
        <v>1773</v>
      </c>
      <c r="K391" s="62" t="s">
        <v>1774</v>
      </c>
      <c r="L391" s="63" t="s">
        <v>35</v>
      </c>
      <c r="M391" s="64">
        <v>80465.0</v>
      </c>
      <c r="N391" s="80" t="s">
        <v>1775</v>
      </c>
      <c r="O391" s="66" t="s">
        <v>1776</v>
      </c>
      <c r="P391" s="37"/>
      <c r="Q391" s="38"/>
      <c r="R391" s="22"/>
      <c r="S391" s="38"/>
      <c r="T391" s="38"/>
      <c r="U391" s="38"/>
      <c r="V391" s="59"/>
      <c r="W391" s="22" t="s">
        <v>800</v>
      </c>
      <c r="X391" s="38"/>
      <c r="Y391" s="36" t="str">
        <f t="shared" si="39"/>
        <v>renew</v>
      </c>
      <c r="Z391" s="130"/>
      <c r="AA391" s="27"/>
    </row>
    <row r="392">
      <c r="A392" s="87" t="s">
        <v>1777</v>
      </c>
      <c r="B392" s="87" t="s">
        <v>1778</v>
      </c>
      <c r="C392" s="75">
        <v>981.0</v>
      </c>
      <c r="D392" s="22" t="str">
        <f t="shared" si="1"/>
        <v>General</v>
      </c>
      <c r="E392" s="23" t="str">
        <f t="shared" si="2"/>
        <v>Lapsed</v>
      </c>
      <c r="F392" s="24">
        <v>1.0</v>
      </c>
      <c r="G392" s="25">
        <v>44477.0</v>
      </c>
      <c r="H392" s="26">
        <f t="shared" si="9"/>
        <v>44561</v>
      </c>
      <c r="I392" s="75"/>
      <c r="J392" s="62" t="s">
        <v>1779</v>
      </c>
      <c r="K392" s="62" t="s">
        <v>1780</v>
      </c>
      <c r="L392" s="63" t="s">
        <v>35</v>
      </c>
      <c r="M392" s="64">
        <v>80534.0</v>
      </c>
      <c r="N392" s="80" t="s">
        <v>1781</v>
      </c>
      <c r="O392" s="66" t="s">
        <v>1782</v>
      </c>
      <c r="P392" s="37"/>
      <c r="Q392" s="38"/>
      <c r="R392" s="22"/>
      <c r="S392" s="22"/>
      <c r="T392" s="38"/>
      <c r="U392" s="38"/>
      <c r="V392" s="59"/>
      <c r="W392" s="22" t="s">
        <v>800</v>
      </c>
      <c r="X392" s="38"/>
      <c r="Y392" s="36" t="str">
        <f t="shared" si="39"/>
        <v>renew</v>
      </c>
      <c r="Z392" s="130"/>
      <c r="AA392" s="27"/>
    </row>
    <row r="393">
      <c r="A393" s="87" t="s">
        <v>1783</v>
      </c>
      <c r="B393" s="87" t="s">
        <v>1784</v>
      </c>
      <c r="C393" s="75">
        <v>980.0</v>
      </c>
      <c r="D393" s="22" t="str">
        <f t="shared" si="1"/>
        <v>General</v>
      </c>
      <c r="E393" s="23" t="str">
        <f t="shared" si="2"/>
        <v>Lapsed</v>
      </c>
      <c r="F393" s="24">
        <v>1.0</v>
      </c>
      <c r="G393" s="25">
        <v>44477.0</v>
      </c>
      <c r="H393" s="26">
        <f t="shared" si="9"/>
        <v>44561</v>
      </c>
      <c r="I393" s="75"/>
      <c r="J393" s="62" t="s">
        <v>1785</v>
      </c>
      <c r="K393" s="62" t="s">
        <v>423</v>
      </c>
      <c r="L393" s="63" t="s">
        <v>35</v>
      </c>
      <c r="M393" s="64">
        <v>80107.0</v>
      </c>
      <c r="N393" s="80" t="s">
        <v>1786</v>
      </c>
      <c r="O393" s="66" t="s">
        <v>1787</v>
      </c>
      <c r="P393" s="37"/>
      <c r="Q393" s="38"/>
      <c r="R393" s="22"/>
      <c r="S393" s="38"/>
      <c r="T393" s="38"/>
      <c r="U393" s="38"/>
      <c r="V393" s="59"/>
      <c r="W393" s="22" t="s">
        <v>800</v>
      </c>
      <c r="X393" s="38"/>
      <c r="Y393" s="36" t="str">
        <f t="shared" si="39"/>
        <v>renew</v>
      </c>
      <c r="Z393" s="75"/>
      <c r="AA393" s="75"/>
    </row>
    <row r="394">
      <c r="A394" s="87" t="s">
        <v>1315</v>
      </c>
      <c r="B394" s="87" t="s">
        <v>1788</v>
      </c>
      <c r="C394" s="75">
        <v>979.0</v>
      </c>
      <c r="D394" s="22" t="str">
        <f t="shared" si="1"/>
        <v>General</v>
      </c>
      <c r="E394" s="23" t="str">
        <f t="shared" si="2"/>
        <v>Lapsed</v>
      </c>
      <c r="F394" s="108">
        <v>3.0</v>
      </c>
      <c r="G394" s="25">
        <v>45019.0</v>
      </c>
      <c r="H394" s="26">
        <f t="shared" si="9"/>
        <v>46022</v>
      </c>
      <c r="I394" s="21"/>
      <c r="J394" s="62" t="s">
        <v>1789</v>
      </c>
      <c r="K394" s="62" t="s">
        <v>448</v>
      </c>
      <c r="L394" s="63" t="s">
        <v>35</v>
      </c>
      <c r="M394" s="64">
        <v>80513.0</v>
      </c>
      <c r="N394" s="80" t="s">
        <v>1790</v>
      </c>
      <c r="O394" s="66" t="s">
        <v>1791</v>
      </c>
      <c r="P394" s="37"/>
      <c r="Q394" s="38"/>
      <c r="R394" s="22"/>
      <c r="S394" s="22">
        <v>1.0</v>
      </c>
      <c r="T394" s="22">
        <v>1.0</v>
      </c>
      <c r="U394" s="22">
        <v>1.0</v>
      </c>
      <c r="V394" s="106">
        <v>45019.0</v>
      </c>
      <c r="W394" s="22" t="s">
        <v>800</v>
      </c>
      <c r="X394" s="22" t="s">
        <v>800</v>
      </c>
      <c r="Y394" s="36" t="str">
        <f t="shared" si="39"/>
        <v>renew</v>
      </c>
      <c r="Z394" s="21" t="s">
        <v>27</v>
      </c>
      <c r="AA394" s="75"/>
    </row>
    <row r="395">
      <c r="A395" s="87" t="s">
        <v>1341</v>
      </c>
      <c r="B395" s="87" t="s">
        <v>1792</v>
      </c>
      <c r="C395" s="75">
        <v>978.0</v>
      </c>
      <c r="D395" s="22" t="str">
        <f t="shared" si="1"/>
        <v>General</v>
      </c>
      <c r="E395" s="23" t="str">
        <f t="shared" si="2"/>
        <v>Lapsed</v>
      </c>
      <c r="F395" s="24">
        <v>1.0</v>
      </c>
      <c r="G395" s="25">
        <v>44476.0</v>
      </c>
      <c r="H395" s="26">
        <f t="shared" si="9"/>
        <v>44561</v>
      </c>
      <c r="I395" s="75"/>
      <c r="J395" s="62" t="s">
        <v>1793</v>
      </c>
      <c r="K395" s="62" t="s">
        <v>1794</v>
      </c>
      <c r="L395" s="81" t="s">
        <v>35</v>
      </c>
      <c r="M395" s="64">
        <v>80423.0</v>
      </c>
      <c r="N395" s="145"/>
      <c r="O395" s="66" t="s">
        <v>1795</v>
      </c>
      <c r="P395" s="37"/>
      <c r="Q395" s="38"/>
      <c r="R395" s="22"/>
      <c r="S395" s="38"/>
      <c r="T395" s="38"/>
      <c r="U395" s="38"/>
      <c r="V395" s="59"/>
      <c r="W395" s="22" t="s">
        <v>800</v>
      </c>
      <c r="X395" s="38"/>
      <c r="Y395" s="36" t="str">
        <f t="shared" si="39"/>
        <v>renew</v>
      </c>
      <c r="Z395" s="130"/>
      <c r="AA395" s="27"/>
    </row>
    <row r="396">
      <c r="A396" s="87" t="s">
        <v>1772</v>
      </c>
      <c r="B396" s="87" t="s">
        <v>1796</v>
      </c>
      <c r="C396" s="75">
        <v>977.0</v>
      </c>
      <c r="D396" s="22" t="str">
        <f t="shared" si="1"/>
        <v>General</v>
      </c>
      <c r="E396" s="23" t="str">
        <f t="shared" si="2"/>
        <v>Lapsed</v>
      </c>
      <c r="F396" s="24">
        <v>1.0</v>
      </c>
      <c r="G396" s="25">
        <v>44476.0</v>
      </c>
      <c r="H396" s="26">
        <f t="shared" si="9"/>
        <v>44561</v>
      </c>
      <c r="I396" s="75"/>
      <c r="J396" s="62" t="s">
        <v>1797</v>
      </c>
      <c r="K396" s="62" t="s">
        <v>448</v>
      </c>
      <c r="L396" s="63" t="s">
        <v>35</v>
      </c>
      <c r="M396" s="64">
        <v>80513.0</v>
      </c>
      <c r="N396" s="80" t="s">
        <v>1798</v>
      </c>
      <c r="O396" s="66" t="s">
        <v>1799</v>
      </c>
      <c r="P396" s="37"/>
      <c r="Q396" s="38"/>
      <c r="R396" s="22"/>
      <c r="S396" s="38"/>
      <c r="T396" s="38"/>
      <c r="U396" s="38"/>
      <c r="V396" s="59"/>
      <c r="W396" s="22" t="s">
        <v>800</v>
      </c>
      <c r="X396" s="38"/>
      <c r="Y396" s="36" t="str">
        <f t="shared" si="39"/>
        <v>renew</v>
      </c>
      <c r="Z396" s="75"/>
      <c r="AA396" s="75"/>
    </row>
    <row r="397">
      <c r="A397" s="87" t="s">
        <v>1800</v>
      </c>
      <c r="B397" s="87" t="s">
        <v>1796</v>
      </c>
      <c r="C397" s="75">
        <v>976.0</v>
      </c>
      <c r="D397" s="22" t="str">
        <f t="shared" si="1"/>
        <v>General</v>
      </c>
      <c r="E397" s="23" t="str">
        <f t="shared" si="2"/>
        <v>Lapsed</v>
      </c>
      <c r="F397" s="24">
        <v>1.0</v>
      </c>
      <c r="G397" s="25">
        <v>44476.0</v>
      </c>
      <c r="H397" s="26">
        <f t="shared" si="9"/>
        <v>44561</v>
      </c>
      <c r="I397" s="75"/>
      <c r="J397" s="62" t="s">
        <v>1797</v>
      </c>
      <c r="K397" s="62" t="s">
        <v>448</v>
      </c>
      <c r="L397" s="63" t="s">
        <v>35</v>
      </c>
      <c r="M397" s="64">
        <v>80513.0</v>
      </c>
      <c r="N397" s="80" t="s">
        <v>1801</v>
      </c>
      <c r="O397" s="66" t="s">
        <v>1802</v>
      </c>
      <c r="P397" s="37"/>
      <c r="Q397" s="38"/>
      <c r="R397" s="22"/>
      <c r="S397" s="38"/>
      <c r="T397" s="38"/>
      <c r="U397" s="38"/>
      <c r="V397" s="59"/>
      <c r="W397" s="22" t="s">
        <v>800</v>
      </c>
      <c r="X397" s="38"/>
      <c r="Y397" s="36" t="str">
        <f t="shared" si="39"/>
        <v>renew</v>
      </c>
      <c r="Z397" s="75"/>
      <c r="AA397" s="75"/>
    </row>
    <row r="398">
      <c r="A398" s="87" t="s">
        <v>1081</v>
      </c>
      <c r="B398" s="87" t="s">
        <v>1803</v>
      </c>
      <c r="C398" s="75">
        <v>975.0</v>
      </c>
      <c r="D398" s="22" t="str">
        <f t="shared" si="1"/>
        <v>General</v>
      </c>
      <c r="E398" s="23" t="str">
        <f t="shared" si="2"/>
        <v>Active</v>
      </c>
      <c r="F398" s="24">
        <v>3.0</v>
      </c>
      <c r="G398" s="146">
        <v>45771.0</v>
      </c>
      <c r="H398" s="26">
        <f t="shared" si="9"/>
        <v>46752</v>
      </c>
      <c r="I398" s="21" t="s">
        <v>27</v>
      </c>
      <c r="J398" s="62" t="s">
        <v>1804</v>
      </c>
      <c r="K398" s="62" t="s">
        <v>1805</v>
      </c>
      <c r="L398" s="63" t="s">
        <v>35</v>
      </c>
      <c r="M398" s="64">
        <v>80466.0</v>
      </c>
      <c r="N398" s="80" t="s">
        <v>1806</v>
      </c>
      <c r="O398" s="66" t="s">
        <v>1807</v>
      </c>
      <c r="P398" s="37"/>
      <c r="Q398" s="38"/>
      <c r="R398" s="22"/>
      <c r="S398" s="22">
        <v>1.0</v>
      </c>
      <c r="T398" s="22"/>
      <c r="U398" s="22">
        <v>1.0</v>
      </c>
      <c r="V398" s="147">
        <v>45049.0</v>
      </c>
      <c r="W398" s="22" t="s">
        <v>800</v>
      </c>
      <c r="X398" s="22" t="s">
        <v>800</v>
      </c>
      <c r="Y398" s="36" t="s">
        <v>45</v>
      </c>
      <c r="Z398" s="27" t="s">
        <v>27</v>
      </c>
      <c r="AA398" s="27"/>
    </row>
    <row r="399">
      <c r="A399" s="87" t="s">
        <v>1808</v>
      </c>
      <c r="B399" s="87" t="s">
        <v>1809</v>
      </c>
      <c r="C399" s="75">
        <v>974.0</v>
      </c>
      <c r="D399" s="22" t="str">
        <f t="shared" si="1"/>
        <v>General</v>
      </c>
      <c r="E399" s="23" t="str">
        <f t="shared" si="2"/>
        <v>Lapsed</v>
      </c>
      <c r="F399" s="24">
        <v>1.0</v>
      </c>
      <c r="G399" s="25">
        <v>44476.0</v>
      </c>
      <c r="H399" s="26">
        <f t="shared" si="9"/>
        <v>44561</v>
      </c>
      <c r="I399" s="75"/>
      <c r="J399" s="62" t="s">
        <v>1810</v>
      </c>
      <c r="K399" s="62" t="s">
        <v>82</v>
      </c>
      <c r="L399" s="63" t="s">
        <v>57</v>
      </c>
      <c r="M399" s="64">
        <v>82201.0</v>
      </c>
      <c r="N399" s="80" t="s">
        <v>1811</v>
      </c>
      <c r="O399" s="66" t="s">
        <v>1812</v>
      </c>
      <c r="P399" s="37"/>
      <c r="Q399" s="38"/>
      <c r="R399" s="22"/>
      <c r="S399" s="38"/>
      <c r="T399" s="38"/>
      <c r="U399" s="38"/>
      <c r="V399" s="59"/>
      <c r="W399" s="22" t="s">
        <v>800</v>
      </c>
      <c r="X399" s="38"/>
      <c r="Y399" s="36" t="str">
        <f t="shared" ref="Y399:Y408" si="40">if(E399="Active","send","renew")</f>
        <v>renew</v>
      </c>
      <c r="Z399" s="130"/>
      <c r="AA399" s="27"/>
    </row>
    <row r="400">
      <c r="A400" s="87" t="s">
        <v>1813</v>
      </c>
      <c r="B400" s="87" t="s">
        <v>1814</v>
      </c>
      <c r="C400" s="75">
        <v>973.0</v>
      </c>
      <c r="D400" s="22" t="str">
        <f t="shared" si="1"/>
        <v>General</v>
      </c>
      <c r="E400" s="23" t="str">
        <f t="shared" si="2"/>
        <v>Lapsed</v>
      </c>
      <c r="F400" s="24">
        <v>1.0</v>
      </c>
      <c r="G400" s="25">
        <v>44476.0</v>
      </c>
      <c r="H400" s="26">
        <f t="shared" si="9"/>
        <v>44561</v>
      </c>
      <c r="I400" s="75"/>
      <c r="J400" s="62" t="s">
        <v>1815</v>
      </c>
      <c r="K400" s="62" t="s">
        <v>1816</v>
      </c>
      <c r="L400" s="63" t="s">
        <v>35</v>
      </c>
      <c r="M400" s="64">
        <v>80530.0</v>
      </c>
      <c r="N400" s="134" t="s">
        <v>1817</v>
      </c>
      <c r="O400" s="66" t="s">
        <v>1818</v>
      </c>
      <c r="P400" s="37"/>
      <c r="Q400" s="38"/>
      <c r="R400" s="22"/>
      <c r="S400" s="38"/>
      <c r="T400" s="38"/>
      <c r="U400" s="38"/>
      <c r="V400" s="59"/>
      <c r="W400" s="22" t="s">
        <v>800</v>
      </c>
      <c r="X400" s="38"/>
      <c r="Y400" s="36" t="str">
        <f t="shared" si="40"/>
        <v>renew</v>
      </c>
      <c r="Z400" s="130"/>
      <c r="AA400" s="27"/>
    </row>
    <row r="401">
      <c r="A401" s="87" t="s">
        <v>1819</v>
      </c>
      <c r="B401" s="87" t="s">
        <v>1820</v>
      </c>
      <c r="C401" s="75">
        <v>972.0</v>
      </c>
      <c r="D401" s="22" t="str">
        <f t="shared" si="1"/>
        <v>General</v>
      </c>
      <c r="E401" s="23" t="str">
        <f t="shared" si="2"/>
        <v>Lapsed</v>
      </c>
      <c r="F401" s="24">
        <v>1.0</v>
      </c>
      <c r="G401" s="25">
        <v>45878.0</v>
      </c>
      <c r="H401" s="26">
        <f t="shared" si="9"/>
        <v>46022</v>
      </c>
      <c r="I401" s="75"/>
      <c r="J401" s="62" t="s">
        <v>1821</v>
      </c>
      <c r="K401" s="62" t="s">
        <v>42</v>
      </c>
      <c r="L401" s="63" t="s">
        <v>35</v>
      </c>
      <c r="M401" s="64">
        <v>80524.0</v>
      </c>
      <c r="N401" s="80" t="s">
        <v>1822</v>
      </c>
      <c r="O401" s="66" t="s">
        <v>1823</v>
      </c>
      <c r="P401" s="37"/>
      <c r="Q401" s="38"/>
      <c r="R401" s="22"/>
      <c r="S401" s="22">
        <v>4.0</v>
      </c>
      <c r="T401" s="22"/>
      <c r="U401" s="22"/>
      <c r="V401" s="59"/>
      <c r="W401" s="22" t="s">
        <v>800</v>
      </c>
      <c r="X401" s="38"/>
      <c r="Y401" s="36" t="str">
        <f t="shared" si="40"/>
        <v>renew</v>
      </c>
      <c r="Z401" s="130"/>
      <c r="AA401" s="27"/>
    </row>
    <row r="402">
      <c r="A402" s="87" t="s">
        <v>561</v>
      </c>
      <c r="B402" s="87" t="s">
        <v>1824</v>
      </c>
      <c r="C402" s="142">
        <v>971.0</v>
      </c>
      <c r="D402" s="22" t="str">
        <f t="shared" si="1"/>
        <v>General</v>
      </c>
      <c r="E402" s="23" t="str">
        <f t="shared" si="2"/>
        <v>Lapsed</v>
      </c>
      <c r="F402" s="24">
        <v>1.0</v>
      </c>
      <c r="G402" s="25">
        <v>45566.0</v>
      </c>
      <c r="H402" s="26">
        <f t="shared" si="9"/>
        <v>45657</v>
      </c>
      <c r="I402" s="21"/>
      <c r="J402" s="62" t="s">
        <v>1825</v>
      </c>
      <c r="K402" s="62" t="s">
        <v>68</v>
      </c>
      <c r="L402" s="63" t="s">
        <v>35</v>
      </c>
      <c r="M402" s="64">
        <v>80550.0</v>
      </c>
      <c r="N402" s="148" t="s">
        <v>1826</v>
      </c>
      <c r="O402" s="66" t="s">
        <v>1827</v>
      </c>
      <c r="P402" s="37"/>
      <c r="Q402" s="38"/>
      <c r="R402" s="22"/>
      <c r="S402" s="22"/>
      <c r="T402" s="22">
        <v>2.0</v>
      </c>
      <c r="U402" s="22"/>
      <c r="V402" s="59"/>
      <c r="W402" s="22" t="s">
        <v>800</v>
      </c>
      <c r="X402" s="38"/>
      <c r="Y402" s="36" t="str">
        <f t="shared" si="40"/>
        <v>renew</v>
      </c>
      <c r="Z402" s="27"/>
      <c r="AA402" s="27"/>
    </row>
    <row r="403">
      <c r="A403" s="87" t="s">
        <v>1828</v>
      </c>
      <c r="B403" s="87" t="s">
        <v>1829</v>
      </c>
      <c r="C403" s="75">
        <v>970.0</v>
      </c>
      <c r="D403" s="22" t="str">
        <f t="shared" si="1"/>
        <v>General</v>
      </c>
      <c r="E403" s="23" t="str">
        <f t="shared" si="2"/>
        <v>Lapsed</v>
      </c>
      <c r="F403" s="24">
        <v>1.0</v>
      </c>
      <c r="G403" s="25">
        <v>45159.0</v>
      </c>
      <c r="H403" s="26">
        <f t="shared" si="9"/>
        <v>45291</v>
      </c>
      <c r="I403" s="75"/>
      <c r="J403" s="62" t="s">
        <v>1830</v>
      </c>
      <c r="K403" s="62" t="s">
        <v>190</v>
      </c>
      <c r="L403" s="63" t="s">
        <v>35</v>
      </c>
      <c r="M403" s="64">
        <v>80537.0</v>
      </c>
      <c r="N403" s="80" t="s">
        <v>1831</v>
      </c>
      <c r="O403" s="66" t="s">
        <v>1832</v>
      </c>
      <c r="P403" s="37"/>
      <c r="Q403" s="38"/>
      <c r="R403" s="22"/>
      <c r="S403" s="22"/>
      <c r="T403" s="22"/>
      <c r="U403" s="22">
        <v>2.0</v>
      </c>
      <c r="V403" s="107">
        <v>45159.0</v>
      </c>
      <c r="W403" s="38"/>
      <c r="X403" s="22" t="s">
        <v>800</v>
      </c>
      <c r="Y403" s="36" t="str">
        <f t="shared" si="40"/>
        <v>renew</v>
      </c>
      <c r="Z403" s="130"/>
      <c r="AA403" s="27"/>
    </row>
    <row r="404">
      <c r="A404" s="87" t="s">
        <v>1833</v>
      </c>
      <c r="B404" s="87" t="s">
        <v>1834</v>
      </c>
      <c r="C404" s="75">
        <v>969.0</v>
      </c>
      <c r="D404" s="22" t="str">
        <f t="shared" si="1"/>
        <v>General</v>
      </c>
      <c r="E404" s="23" t="str">
        <f t="shared" si="2"/>
        <v>Lapsed</v>
      </c>
      <c r="F404" s="24">
        <v>1.0</v>
      </c>
      <c r="G404" s="25">
        <v>45753.0</v>
      </c>
      <c r="H404" s="26">
        <f t="shared" si="9"/>
        <v>46022</v>
      </c>
      <c r="I404" s="21"/>
      <c r="J404" s="62" t="s">
        <v>1835</v>
      </c>
      <c r="K404" s="62" t="s">
        <v>1836</v>
      </c>
      <c r="L404" s="63" t="s">
        <v>35</v>
      </c>
      <c r="M404" s="64">
        <v>81625.0</v>
      </c>
      <c r="N404" s="131" t="s">
        <v>1837</v>
      </c>
      <c r="O404" s="66" t="s">
        <v>1838</v>
      </c>
      <c r="P404" s="37"/>
      <c r="Q404" s="38"/>
      <c r="R404" s="22"/>
      <c r="S404" s="22">
        <v>1.0</v>
      </c>
      <c r="T404" s="22">
        <v>1.0</v>
      </c>
      <c r="U404" s="22">
        <v>3.0</v>
      </c>
      <c r="V404" s="106">
        <v>45200.0</v>
      </c>
      <c r="W404" s="38"/>
      <c r="X404" s="22" t="s">
        <v>800</v>
      </c>
      <c r="Y404" s="36" t="str">
        <f t="shared" si="40"/>
        <v>renew</v>
      </c>
      <c r="Z404" s="27" t="s">
        <v>8</v>
      </c>
      <c r="AA404" s="27"/>
    </row>
    <row r="405">
      <c r="A405" s="87" t="s">
        <v>1839</v>
      </c>
      <c r="B405" s="87" t="s">
        <v>1840</v>
      </c>
      <c r="C405" s="75">
        <v>968.0</v>
      </c>
      <c r="D405" s="22" t="str">
        <f t="shared" si="1"/>
        <v>General</v>
      </c>
      <c r="E405" s="23" t="str">
        <f t="shared" si="2"/>
        <v>Lapsed</v>
      </c>
      <c r="F405" s="24">
        <v>1.0</v>
      </c>
      <c r="G405" s="25">
        <v>45849.0</v>
      </c>
      <c r="H405" s="26">
        <f t="shared" si="9"/>
        <v>46022</v>
      </c>
      <c r="I405" s="21"/>
      <c r="J405" s="62" t="s">
        <v>1841</v>
      </c>
      <c r="K405" s="62" t="s">
        <v>89</v>
      </c>
      <c r="L405" s="63" t="s">
        <v>35</v>
      </c>
      <c r="M405" s="64">
        <v>80549.0</v>
      </c>
      <c r="N405" s="80" t="s">
        <v>1842</v>
      </c>
      <c r="O405" s="66" t="s">
        <v>1843</v>
      </c>
      <c r="P405" s="37"/>
      <c r="Q405" s="38"/>
      <c r="R405" s="22"/>
      <c r="S405" s="22">
        <v>4.0</v>
      </c>
      <c r="T405" s="38"/>
      <c r="U405" s="38"/>
      <c r="V405" s="59"/>
      <c r="W405" s="22" t="s">
        <v>800</v>
      </c>
      <c r="X405" s="38"/>
      <c r="Y405" s="36" t="str">
        <f t="shared" si="40"/>
        <v>renew</v>
      </c>
      <c r="Z405" s="27" t="s">
        <v>27</v>
      </c>
      <c r="AA405" s="27"/>
    </row>
    <row r="406">
      <c r="A406" s="87" t="s">
        <v>560</v>
      </c>
      <c r="B406" s="87" t="s">
        <v>1840</v>
      </c>
      <c r="C406" s="75">
        <v>967.0</v>
      </c>
      <c r="D406" s="22" t="str">
        <f t="shared" si="1"/>
        <v>General</v>
      </c>
      <c r="E406" s="23" t="str">
        <f t="shared" si="2"/>
        <v>Lapsed</v>
      </c>
      <c r="F406" s="24">
        <v>1.0</v>
      </c>
      <c r="G406" s="25">
        <v>44467.0</v>
      </c>
      <c r="H406" s="26">
        <f t="shared" si="9"/>
        <v>44561</v>
      </c>
      <c r="I406" s="75"/>
      <c r="J406" s="62" t="s">
        <v>1841</v>
      </c>
      <c r="K406" s="62" t="s">
        <v>89</v>
      </c>
      <c r="L406" s="63" t="s">
        <v>35</v>
      </c>
      <c r="M406" s="64">
        <v>80549.0</v>
      </c>
      <c r="N406" s="53" t="s">
        <v>1842</v>
      </c>
      <c r="O406" s="66" t="s">
        <v>1843</v>
      </c>
      <c r="P406" s="37"/>
      <c r="Q406" s="38"/>
      <c r="R406" s="22"/>
      <c r="S406" s="38"/>
      <c r="T406" s="38"/>
      <c r="U406" s="38"/>
      <c r="V406" s="59"/>
      <c r="W406" s="22" t="s">
        <v>800</v>
      </c>
      <c r="X406" s="38"/>
      <c r="Y406" s="36" t="str">
        <f t="shared" si="40"/>
        <v>renew</v>
      </c>
      <c r="Z406" s="130"/>
      <c r="AA406" s="27"/>
    </row>
    <row r="407">
      <c r="A407" s="87" t="s">
        <v>1844</v>
      </c>
      <c r="B407" s="87" t="s">
        <v>260</v>
      </c>
      <c r="C407" s="75">
        <v>966.0</v>
      </c>
      <c r="D407" s="22" t="str">
        <f t="shared" si="1"/>
        <v>General</v>
      </c>
      <c r="E407" s="23" t="str">
        <f t="shared" si="2"/>
        <v>Lapsed</v>
      </c>
      <c r="F407" s="24">
        <v>1.0</v>
      </c>
      <c r="G407" s="25">
        <v>45878.0</v>
      </c>
      <c r="H407" s="26">
        <f t="shared" si="9"/>
        <v>46022</v>
      </c>
      <c r="I407" s="21"/>
      <c r="J407" s="62" t="s">
        <v>1845</v>
      </c>
      <c r="K407" s="62" t="s">
        <v>190</v>
      </c>
      <c r="L407" s="63" t="s">
        <v>35</v>
      </c>
      <c r="M407" s="64">
        <v>80538.0</v>
      </c>
      <c r="N407" s="80" t="s">
        <v>483</v>
      </c>
      <c r="O407" s="66" t="s">
        <v>1846</v>
      </c>
      <c r="P407" s="37"/>
      <c r="Q407" s="38"/>
      <c r="R407" s="22"/>
      <c r="S407" s="22">
        <v>4.0</v>
      </c>
      <c r="T407" s="22">
        <v>1.0</v>
      </c>
      <c r="U407" s="38"/>
      <c r="V407" s="59"/>
      <c r="W407" s="22" t="s">
        <v>800</v>
      </c>
      <c r="X407" s="38"/>
      <c r="Y407" s="36" t="str">
        <f t="shared" si="40"/>
        <v>renew</v>
      </c>
      <c r="Z407" s="27"/>
      <c r="AA407" s="27"/>
    </row>
    <row r="408">
      <c r="A408" s="87" t="s">
        <v>1847</v>
      </c>
      <c r="B408" s="87" t="s">
        <v>1848</v>
      </c>
      <c r="C408" s="75">
        <v>965.0</v>
      </c>
      <c r="D408" s="22" t="str">
        <f t="shared" si="1"/>
        <v>General</v>
      </c>
      <c r="E408" s="23" t="str">
        <f t="shared" si="2"/>
        <v>Lapsed</v>
      </c>
      <c r="F408" s="24">
        <v>1.0</v>
      </c>
      <c r="G408" s="25">
        <v>44470.0</v>
      </c>
      <c r="H408" s="26">
        <f t="shared" si="9"/>
        <v>44561</v>
      </c>
      <c r="I408" s="75"/>
      <c r="J408" s="62" t="s">
        <v>1849</v>
      </c>
      <c r="K408" s="62" t="s">
        <v>1850</v>
      </c>
      <c r="L408" s="63" t="s">
        <v>244</v>
      </c>
      <c r="M408" s="64">
        <v>68433.0</v>
      </c>
      <c r="N408" s="80" t="s">
        <v>1851</v>
      </c>
      <c r="O408" s="66" t="s">
        <v>1852</v>
      </c>
      <c r="P408" s="37"/>
      <c r="Q408" s="38"/>
      <c r="R408" s="22"/>
      <c r="S408" s="38"/>
      <c r="T408" s="38"/>
      <c r="U408" s="38"/>
      <c r="V408" s="59"/>
      <c r="W408" s="22" t="s">
        <v>800</v>
      </c>
      <c r="X408" s="38"/>
      <c r="Y408" s="36" t="str">
        <f t="shared" si="40"/>
        <v>renew</v>
      </c>
      <c r="Z408" s="75"/>
      <c r="AA408" s="75"/>
    </row>
    <row r="409">
      <c r="A409" s="87" t="s">
        <v>485</v>
      </c>
      <c r="B409" s="87" t="s">
        <v>1853</v>
      </c>
      <c r="C409" s="142">
        <v>964.0</v>
      </c>
      <c r="D409" s="22" t="str">
        <f t="shared" si="1"/>
        <v>General</v>
      </c>
      <c r="E409" s="23" t="str">
        <f t="shared" si="2"/>
        <v>Active</v>
      </c>
      <c r="F409" s="24">
        <v>3.0</v>
      </c>
      <c r="G409" s="25">
        <v>45935.0</v>
      </c>
      <c r="H409" s="26">
        <f t="shared" si="9"/>
        <v>46752</v>
      </c>
      <c r="I409" s="21"/>
      <c r="J409" s="29" t="s">
        <v>1854</v>
      </c>
      <c r="K409" s="29" t="s">
        <v>1203</v>
      </c>
      <c r="L409" s="63" t="s">
        <v>35</v>
      </c>
      <c r="M409" s="42" t="s">
        <v>1855</v>
      </c>
      <c r="N409" s="80" t="s">
        <v>1856</v>
      </c>
      <c r="O409" s="66" t="s">
        <v>1857</v>
      </c>
      <c r="P409" s="37"/>
      <c r="Q409" s="38"/>
      <c r="R409" s="22"/>
      <c r="S409" s="22">
        <v>5.0</v>
      </c>
      <c r="T409" s="22">
        <v>1.0</v>
      </c>
      <c r="U409" s="22">
        <v>1.0</v>
      </c>
      <c r="V409" s="106">
        <v>45036.0</v>
      </c>
      <c r="W409" s="22" t="s">
        <v>800</v>
      </c>
      <c r="X409" s="22" t="s">
        <v>800</v>
      </c>
      <c r="Y409" s="36" t="s">
        <v>45</v>
      </c>
      <c r="Z409" s="27"/>
      <c r="AA409" s="27"/>
    </row>
    <row r="410">
      <c r="A410" s="87" t="s">
        <v>1858</v>
      </c>
      <c r="B410" s="87" t="s">
        <v>1859</v>
      </c>
      <c r="C410" s="75">
        <v>963.0</v>
      </c>
      <c r="D410" s="22" t="str">
        <f t="shared" si="1"/>
        <v>General</v>
      </c>
      <c r="E410" s="23" t="str">
        <f t="shared" si="2"/>
        <v>Lapsed</v>
      </c>
      <c r="F410" s="24">
        <v>1.0</v>
      </c>
      <c r="G410" s="25">
        <v>44442.0</v>
      </c>
      <c r="H410" s="26">
        <f t="shared" si="9"/>
        <v>44561</v>
      </c>
      <c r="I410" s="75"/>
      <c r="J410" s="62" t="s">
        <v>1860</v>
      </c>
      <c r="K410" s="62" t="s">
        <v>82</v>
      </c>
      <c r="L410" s="63" t="s">
        <v>57</v>
      </c>
      <c r="M410" s="64">
        <v>82201.0</v>
      </c>
      <c r="N410" s="80" t="s">
        <v>1811</v>
      </c>
      <c r="O410" s="66" t="s">
        <v>1861</v>
      </c>
      <c r="P410" s="37"/>
      <c r="Q410" s="38"/>
      <c r="R410" s="22"/>
      <c r="S410" s="38"/>
      <c r="T410" s="38"/>
      <c r="U410" s="38"/>
      <c r="V410" s="59"/>
      <c r="W410" s="38"/>
      <c r="X410" s="38"/>
      <c r="Y410" s="36" t="str">
        <f t="shared" ref="Y410:Y485" si="41">if(E410="Active","send","renew")</f>
        <v>renew</v>
      </c>
      <c r="Z410" s="75"/>
      <c r="AA410" s="21" t="s">
        <v>671</v>
      </c>
    </row>
    <row r="411">
      <c r="A411" s="149" t="s">
        <v>1862</v>
      </c>
      <c r="B411" s="149" t="s">
        <v>1863</v>
      </c>
      <c r="C411" s="142">
        <v>962.0</v>
      </c>
      <c r="D411" s="22" t="str">
        <f t="shared" si="1"/>
        <v>General</v>
      </c>
      <c r="E411" s="23" t="str">
        <f t="shared" si="2"/>
        <v>Lapsed</v>
      </c>
      <c r="F411" s="24">
        <v>1.0</v>
      </c>
      <c r="G411" s="25">
        <v>45771.0</v>
      </c>
      <c r="H411" s="26">
        <f t="shared" si="9"/>
        <v>46022</v>
      </c>
      <c r="I411" s="24"/>
      <c r="J411" s="150" t="s">
        <v>1864</v>
      </c>
      <c r="K411" s="133" t="s">
        <v>42</v>
      </c>
      <c r="L411" s="151" t="s">
        <v>35</v>
      </c>
      <c r="M411" s="152">
        <v>80524.0</v>
      </c>
      <c r="N411" s="153" t="s">
        <v>1865</v>
      </c>
      <c r="O411" s="154" t="s">
        <v>1866</v>
      </c>
      <c r="P411" s="37"/>
      <c r="Q411" s="38"/>
      <c r="R411" s="22"/>
      <c r="S411" s="22">
        <v>1.0</v>
      </c>
      <c r="T411" s="22"/>
      <c r="U411" s="22">
        <v>1.0</v>
      </c>
      <c r="V411" s="116">
        <v>45044.0</v>
      </c>
      <c r="W411" s="22" t="s">
        <v>800</v>
      </c>
      <c r="X411" s="22" t="s">
        <v>800</v>
      </c>
      <c r="Y411" s="36" t="str">
        <f t="shared" si="41"/>
        <v>renew</v>
      </c>
      <c r="Z411" s="27" t="s">
        <v>27</v>
      </c>
      <c r="AA411" s="27"/>
    </row>
    <row r="412">
      <c r="A412" s="87" t="s">
        <v>1867</v>
      </c>
      <c r="B412" s="87" t="s">
        <v>1868</v>
      </c>
      <c r="C412" s="75">
        <v>961.0</v>
      </c>
      <c r="D412" s="22" t="str">
        <f t="shared" si="1"/>
        <v>General</v>
      </c>
      <c r="E412" s="23" t="str">
        <f t="shared" si="2"/>
        <v>Lapsed</v>
      </c>
      <c r="F412" s="24">
        <v>1.0</v>
      </c>
      <c r="G412" s="25">
        <v>44429.0</v>
      </c>
      <c r="H412" s="26">
        <f t="shared" si="9"/>
        <v>44561</v>
      </c>
      <c r="I412" s="75"/>
      <c r="J412" s="62" t="s">
        <v>1869</v>
      </c>
      <c r="K412" s="62" t="s">
        <v>939</v>
      </c>
      <c r="L412" s="63" t="s">
        <v>35</v>
      </c>
      <c r="M412" s="64">
        <v>80648.0</v>
      </c>
      <c r="N412" s="80" t="s">
        <v>1870</v>
      </c>
      <c r="O412" s="66" t="s">
        <v>1871</v>
      </c>
      <c r="P412" s="37"/>
      <c r="Q412" s="38"/>
      <c r="R412" s="22"/>
      <c r="S412" s="38"/>
      <c r="T412" s="38"/>
      <c r="U412" s="38"/>
      <c r="V412" s="59"/>
      <c r="W412" s="38"/>
      <c r="X412" s="38"/>
      <c r="Y412" s="36" t="str">
        <f t="shared" si="41"/>
        <v>renew</v>
      </c>
      <c r="Z412" s="130"/>
      <c r="AA412" s="27"/>
    </row>
    <row r="413">
      <c r="A413" s="87" t="s">
        <v>46</v>
      </c>
      <c r="B413" s="87" t="s">
        <v>1767</v>
      </c>
      <c r="C413" s="142">
        <v>960.0</v>
      </c>
      <c r="D413" s="22" t="str">
        <f t="shared" si="1"/>
        <v>Youth</v>
      </c>
      <c r="E413" s="23" t="str">
        <f t="shared" si="2"/>
        <v>Lapsed</v>
      </c>
      <c r="F413" s="24">
        <v>1.0</v>
      </c>
      <c r="G413" s="25">
        <v>45406.0</v>
      </c>
      <c r="H413" s="26">
        <f t="shared" si="9"/>
        <v>45657</v>
      </c>
      <c r="I413" s="21"/>
      <c r="J413" s="29" t="s">
        <v>1768</v>
      </c>
      <c r="K413" s="29" t="s">
        <v>473</v>
      </c>
      <c r="L413" s="63" t="s">
        <v>35</v>
      </c>
      <c r="M413" s="42" t="s">
        <v>474</v>
      </c>
      <c r="N413" s="80" t="s">
        <v>1769</v>
      </c>
      <c r="O413" s="54" t="s">
        <v>1770</v>
      </c>
      <c r="P413" s="144">
        <v>40455.0</v>
      </c>
      <c r="Q413" s="22">
        <f>datedif(P413,today(),"Y")</f>
        <v>15</v>
      </c>
      <c r="R413" s="22"/>
      <c r="S413" s="22"/>
      <c r="T413" s="22">
        <v>1.0</v>
      </c>
      <c r="U413" s="22">
        <v>3.0</v>
      </c>
      <c r="V413" s="116">
        <v>45205.0</v>
      </c>
      <c r="W413" s="38"/>
      <c r="X413" s="22" t="s">
        <v>800</v>
      </c>
      <c r="Y413" s="36" t="str">
        <f t="shared" si="41"/>
        <v>renew</v>
      </c>
      <c r="Z413" s="21"/>
      <c r="AA413" s="75"/>
    </row>
    <row r="414">
      <c r="A414" s="87" t="s">
        <v>1359</v>
      </c>
      <c r="B414" s="87" t="s">
        <v>1872</v>
      </c>
      <c r="C414" s="75">
        <v>959.0</v>
      </c>
      <c r="D414" s="22" t="str">
        <f t="shared" si="1"/>
        <v>General</v>
      </c>
      <c r="E414" s="23" t="str">
        <f t="shared" si="2"/>
        <v>Lapsed</v>
      </c>
      <c r="F414" s="24">
        <v>1.0</v>
      </c>
      <c r="G414" s="25">
        <v>45817.0</v>
      </c>
      <c r="H414" s="26">
        <f t="shared" si="9"/>
        <v>46022</v>
      </c>
      <c r="I414" s="21"/>
      <c r="J414" s="62" t="s">
        <v>1873</v>
      </c>
      <c r="K414" s="29" t="s">
        <v>473</v>
      </c>
      <c r="L414" s="63" t="s">
        <v>35</v>
      </c>
      <c r="M414" s="64">
        <v>80602.0</v>
      </c>
      <c r="N414" s="80" t="s">
        <v>1874</v>
      </c>
      <c r="O414" s="66" t="s">
        <v>1875</v>
      </c>
      <c r="P414" s="37"/>
      <c r="Q414" s="22"/>
      <c r="R414" s="22"/>
      <c r="S414" s="22">
        <v>2.0</v>
      </c>
      <c r="T414" s="22">
        <v>1.0</v>
      </c>
      <c r="U414" s="22">
        <v>3.0</v>
      </c>
      <c r="V414" s="59">
        <v>45185.0</v>
      </c>
      <c r="W414" s="22" t="s">
        <v>800</v>
      </c>
      <c r="X414" s="22" t="s">
        <v>800</v>
      </c>
      <c r="Y414" s="36" t="str">
        <f t="shared" si="41"/>
        <v>renew</v>
      </c>
      <c r="Z414" s="21"/>
      <c r="AA414" s="75"/>
    </row>
    <row r="415">
      <c r="A415" s="87" t="s">
        <v>1876</v>
      </c>
      <c r="B415" s="87" t="s">
        <v>1877</v>
      </c>
      <c r="C415" s="75">
        <v>958.0</v>
      </c>
      <c r="D415" s="22" t="str">
        <f t="shared" si="1"/>
        <v>General</v>
      </c>
      <c r="E415" s="23" t="str">
        <f t="shared" si="2"/>
        <v>Lapsed</v>
      </c>
      <c r="F415" s="24">
        <v>1.0</v>
      </c>
      <c r="G415" s="25">
        <v>45771.0</v>
      </c>
      <c r="H415" s="26">
        <f t="shared" si="9"/>
        <v>46022</v>
      </c>
      <c r="I415" s="21"/>
      <c r="J415" s="62" t="s">
        <v>1878</v>
      </c>
      <c r="K415" s="62" t="s">
        <v>898</v>
      </c>
      <c r="L415" s="63" t="s">
        <v>35</v>
      </c>
      <c r="M415" s="64">
        <v>80631.0</v>
      </c>
      <c r="N415" s="80" t="s">
        <v>1879</v>
      </c>
      <c r="O415" s="66" t="s">
        <v>1880</v>
      </c>
      <c r="P415" s="37"/>
      <c r="Q415" s="22"/>
      <c r="R415" s="22"/>
      <c r="S415" s="22">
        <v>1.0</v>
      </c>
      <c r="T415" s="22">
        <v>1.0</v>
      </c>
      <c r="U415" s="22">
        <v>2.0</v>
      </c>
      <c r="V415" s="35">
        <v>45068.0</v>
      </c>
      <c r="W415" s="22" t="s">
        <v>800</v>
      </c>
      <c r="X415" s="22" t="s">
        <v>800</v>
      </c>
      <c r="Y415" s="36" t="str">
        <f t="shared" si="41"/>
        <v>renew</v>
      </c>
      <c r="Z415" s="21" t="s">
        <v>27</v>
      </c>
      <c r="AA415" s="75"/>
    </row>
    <row r="416">
      <c r="A416" s="87" t="s">
        <v>1881</v>
      </c>
      <c r="B416" s="87" t="s">
        <v>1882</v>
      </c>
      <c r="C416" s="142">
        <v>957.0</v>
      </c>
      <c r="D416" s="22" t="str">
        <f t="shared" si="1"/>
        <v>General</v>
      </c>
      <c r="E416" s="23" t="str">
        <f t="shared" si="2"/>
        <v>Lapsed</v>
      </c>
      <c r="F416" s="24">
        <v>1.0</v>
      </c>
      <c r="G416" s="25">
        <v>44428.0</v>
      </c>
      <c r="H416" s="26">
        <f t="shared" si="9"/>
        <v>44561</v>
      </c>
      <c r="I416" s="75"/>
      <c r="J416" s="62" t="s">
        <v>1883</v>
      </c>
      <c r="K416" s="62" t="s">
        <v>322</v>
      </c>
      <c r="L416" s="63" t="s">
        <v>35</v>
      </c>
      <c r="M416" s="64">
        <v>80602.0</v>
      </c>
      <c r="N416" s="80" t="s">
        <v>1884</v>
      </c>
      <c r="O416" s="66" t="s">
        <v>1885</v>
      </c>
      <c r="P416" s="37"/>
      <c r="Q416" s="38"/>
      <c r="R416" s="22"/>
      <c r="S416" s="38"/>
      <c r="T416" s="38"/>
      <c r="U416" s="38"/>
      <c r="V416" s="59"/>
      <c r="W416" s="38"/>
      <c r="X416" s="38"/>
      <c r="Y416" s="36" t="str">
        <f t="shared" si="41"/>
        <v>renew</v>
      </c>
      <c r="Z416" s="75"/>
      <c r="AA416" s="75"/>
    </row>
    <row r="417">
      <c r="A417" s="87" t="s">
        <v>1886</v>
      </c>
      <c r="B417" s="87" t="s">
        <v>1887</v>
      </c>
      <c r="C417" s="75">
        <v>956.0</v>
      </c>
      <c r="D417" s="22" t="str">
        <f t="shared" si="1"/>
        <v>General</v>
      </c>
      <c r="E417" s="23" t="str">
        <f t="shared" si="2"/>
        <v>Lapsed</v>
      </c>
      <c r="F417" s="24">
        <v>1.0</v>
      </c>
      <c r="G417" s="25">
        <v>44428.0</v>
      </c>
      <c r="H417" s="26">
        <f t="shared" si="9"/>
        <v>44561</v>
      </c>
      <c r="I417" s="75"/>
      <c r="J417" s="62" t="s">
        <v>1888</v>
      </c>
      <c r="K417" s="62" t="s">
        <v>1725</v>
      </c>
      <c r="L417" s="63" t="s">
        <v>35</v>
      </c>
      <c r="M417" s="64">
        <v>80612.0</v>
      </c>
      <c r="N417" s="80" t="s">
        <v>1889</v>
      </c>
      <c r="O417" s="66" t="s">
        <v>1890</v>
      </c>
      <c r="P417" s="37"/>
      <c r="Q417" s="38"/>
      <c r="R417" s="22"/>
      <c r="S417" s="38"/>
      <c r="T417" s="38"/>
      <c r="U417" s="38"/>
      <c r="V417" s="59"/>
      <c r="W417" s="38"/>
      <c r="X417" s="38"/>
      <c r="Y417" s="36" t="str">
        <f t="shared" si="41"/>
        <v>renew</v>
      </c>
      <c r="Z417" s="75"/>
      <c r="AA417" s="75"/>
    </row>
    <row r="418">
      <c r="A418" s="87" t="s">
        <v>1891</v>
      </c>
      <c r="B418" s="87" t="s">
        <v>1892</v>
      </c>
      <c r="C418" s="75">
        <v>955.0</v>
      </c>
      <c r="D418" s="22" t="str">
        <f t="shared" si="1"/>
        <v>General</v>
      </c>
      <c r="E418" s="23" t="str">
        <f t="shared" si="2"/>
        <v>Lapsed</v>
      </c>
      <c r="F418" s="24">
        <v>1.0</v>
      </c>
      <c r="G418" s="25">
        <v>44429.0</v>
      </c>
      <c r="H418" s="26">
        <f t="shared" si="9"/>
        <v>44561</v>
      </c>
      <c r="I418" s="75"/>
      <c r="J418" s="62" t="s">
        <v>1893</v>
      </c>
      <c r="K418" s="62" t="s">
        <v>1894</v>
      </c>
      <c r="L418" s="63" t="s">
        <v>57</v>
      </c>
      <c r="M418" s="64">
        <v>82838.0</v>
      </c>
      <c r="N418" s="80" t="s">
        <v>1895</v>
      </c>
      <c r="O418" s="66" t="s">
        <v>1896</v>
      </c>
      <c r="P418" s="37"/>
      <c r="Q418" s="38"/>
      <c r="R418" s="22"/>
      <c r="S418" s="38"/>
      <c r="T418" s="38"/>
      <c r="U418" s="38"/>
      <c r="V418" s="59"/>
      <c r="W418" s="38"/>
      <c r="X418" s="38"/>
      <c r="Y418" s="36" t="str">
        <f t="shared" si="41"/>
        <v>renew</v>
      </c>
      <c r="Z418" s="75"/>
      <c r="AA418" s="21" t="s">
        <v>671</v>
      </c>
    </row>
    <row r="419">
      <c r="A419" s="87" t="s">
        <v>738</v>
      </c>
      <c r="B419" s="87" t="s">
        <v>80</v>
      </c>
      <c r="C419" s="75">
        <v>954.0</v>
      </c>
      <c r="D419" s="22" t="str">
        <f t="shared" si="1"/>
        <v>General</v>
      </c>
      <c r="E419" s="23" t="str">
        <f t="shared" si="2"/>
        <v>Lapsed</v>
      </c>
      <c r="F419" s="24">
        <v>1.0</v>
      </c>
      <c r="G419" s="25">
        <v>45771.0</v>
      </c>
      <c r="H419" s="26">
        <f t="shared" si="9"/>
        <v>46022</v>
      </c>
      <c r="I419" s="21"/>
      <c r="J419" s="62" t="s">
        <v>1897</v>
      </c>
      <c r="K419" s="62" t="s">
        <v>1725</v>
      </c>
      <c r="L419" s="81" t="s">
        <v>35</v>
      </c>
      <c r="M419" s="64">
        <v>80612.0</v>
      </c>
      <c r="N419" s="145"/>
      <c r="O419" s="66" t="s">
        <v>1898</v>
      </c>
      <c r="P419" s="37"/>
      <c r="Q419" s="38"/>
      <c r="R419" s="22"/>
      <c r="S419" s="22">
        <v>1.0</v>
      </c>
      <c r="T419" s="38"/>
      <c r="U419" s="38"/>
      <c r="V419" s="59"/>
      <c r="W419" s="38"/>
      <c r="X419" s="38"/>
      <c r="Y419" s="36" t="str">
        <f t="shared" si="41"/>
        <v>renew</v>
      </c>
      <c r="Z419" s="21" t="s">
        <v>27</v>
      </c>
      <c r="AA419" s="21"/>
    </row>
    <row r="420">
      <c r="A420" s="87" t="s">
        <v>1379</v>
      </c>
      <c r="B420" s="87" t="s">
        <v>1547</v>
      </c>
      <c r="C420" s="75">
        <v>953.0</v>
      </c>
      <c r="D420" s="22" t="str">
        <f t="shared" si="1"/>
        <v>General</v>
      </c>
      <c r="E420" s="23" t="str">
        <f t="shared" si="2"/>
        <v>Lapsed</v>
      </c>
      <c r="F420" s="24">
        <v>1.0</v>
      </c>
      <c r="G420" s="25">
        <v>45660.0</v>
      </c>
      <c r="H420" s="26">
        <f t="shared" si="9"/>
        <v>46022</v>
      </c>
      <c r="I420" s="75"/>
      <c r="J420" s="62" t="s">
        <v>1873</v>
      </c>
      <c r="K420" s="29" t="s">
        <v>473</v>
      </c>
      <c r="L420" s="63" t="s">
        <v>35</v>
      </c>
      <c r="M420" s="64">
        <v>80602.0</v>
      </c>
      <c r="N420" s="80" t="s">
        <v>1899</v>
      </c>
      <c r="O420" s="66" t="s">
        <v>1900</v>
      </c>
      <c r="P420" s="37"/>
      <c r="Q420" s="38"/>
      <c r="R420" s="22"/>
      <c r="S420" s="22">
        <v>4.0</v>
      </c>
      <c r="T420" s="38"/>
      <c r="U420" s="38"/>
      <c r="V420" s="59"/>
      <c r="W420" s="38"/>
      <c r="X420" s="38"/>
      <c r="Y420" s="36" t="str">
        <f t="shared" si="41"/>
        <v>renew</v>
      </c>
      <c r="Z420" s="75"/>
      <c r="AA420" s="21" t="s">
        <v>671</v>
      </c>
    </row>
    <row r="421">
      <c r="A421" s="87" t="s">
        <v>450</v>
      </c>
      <c r="B421" s="87" t="s">
        <v>1901</v>
      </c>
      <c r="C421" s="142">
        <v>952.0</v>
      </c>
      <c r="D421" s="22" t="str">
        <f t="shared" si="1"/>
        <v>General</v>
      </c>
      <c r="E421" s="23" t="str">
        <f t="shared" si="2"/>
        <v>Lapsed</v>
      </c>
      <c r="F421" s="24">
        <v>1.0</v>
      </c>
      <c r="G421" s="25">
        <v>45571.0</v>
      </c>
      <c r="H421" s="26">
        <f t="shared" si="9"/>
        <v>45657</v>
      </c>
      <c r="I421" s="75"/>
      <c r="J421" s="62" t="s">
        <v>1902</v>
      </c>
      <c r="K421" s="62" t="s">
        <v>164</v>
      </c>
      <c r="L421" s="63" t="s">
        <v>35</v>
      </c>
      <c r="M421" s="64">
        <v>80516.0</v>
      </c>
      <c r="N421" s="80" t="s">
        <v>1903</v>
      </c>
      <c r="O421" s="54" t="s">
        <v>1904</v>
      </c>
      <c r="P421" s="144"/>
      <c r="Q421" s="22"/>
      <c r="R421" s="22"/>
      <c r="S421" s="22"/>
      <c r="T421" s="22">
        <v>2.0</v>
      </c>
      <c r="U421" s="22">
        <v>2.0</v>
      </c>
      <c r="V421" s="35">
        <v>45068.0</v>
      </c>
      <c r="W421" s="22" t="s">
        <v>800</v>
      </c>
      <c r="X421" s="22" t="s">
        <v>800</v>
      </c>
      <c r="Y421" s="36" t="str">
        <f t="shared" si="41"/>
        <v>renew</v>
      </c>
      <c r="Z421" s="75"/>
      <c r="AA421" s="75"/>
    </row>
    <row r="422">
      <c r="A422" s="87" t="s">
        <v>1117</v>
      </c>
      <c r="B422" s="87" t="s">
        <v>1905</v>
      </c>
      <c r="C422" s="75">
        <v>951.0</v>
      </c>
      <c r="D422" s="22" t="str">
        <f t="shared" si="1"/>
        <v>General</v>
      </c>
      <c r="E422" s="23" t="str">
        <f t="shared" si="2"/>
        <v>Lapsed</v>
      </c>
      <c r="F422" s="24">
        <v>1.0</v>
      </c>
      <c r="G422" s="25">
        <v>44429.0</v>
      </c>
      <c r="H422" s="26">
        <f t="shared" si="9"/>
        <v>44561</v>
      </c>
      <c r="I422" s="75"/>
      <c r="J422" s="62" t="s">
        <v>1906</v>
      </c>
      <c r="K422" s="62" t="s">
        <v>89</v>
      </c>
      <c r="L422" s="63" t="s">
        <v>35</v>
      </c>
      <c r="M422" s="64">
        <v>80549.0</v>
      </c>
      <c r="N422" s="80" t="s">
        <v>1907</v>
      </c>
      <c r="O422" s="66" t="s">
        <v>1908</v>
      </c>
      <c r="P422" s="37"/>
      <c r="Q422" s="38"/>
      <c r="R422" s="22"/>
      <c r="S422" s="38"/>
      <c r="T422" s="38"/>
      <c r="U422" s="38"/>
      <c r="V422" s="59"/>
      <c r="W422" s="38"/>
      <c r="X422" s="38"/>
      <c r="Y422" s="36" t="str">
        <f t="shared" si="41"/>
        <v>renew</v>
      </c>
      <c r="Z422" s="75"/>
      <c r="AA422" s="21" t="s">
        <v>671</v>
      </c>
    </row>
    <row r="423">
      <c r="A423" s="20" t="s">
        <v>1631</v>
      </c>
      <c r="B423" s="87" t="s">
        <v>1909</v>
      </c>
      <c r="C423" s="75">
        <v>950.0</v>
      </c>
      <c r="D423" s="22" t="str">
        <f t="shared" si="1"/>
        <v>General</v>
      </c>
      <c r="E423" s="23" t="str">
        <f t="shared" si="2"/>
        <v>Lapsed</v>
      </c>
      <c r="F423" s="24">
        <v>1.0</v>
      </c>
      <c r="G423" s="25">
        <v>45849.0</v>
      </c>
      <c r="H423" s="26">
        <f t="shared" si="9"/>
        <v>46022</v>
      </c>
      <c r="I423" s="21"/>
      <c r="J423" s="62" t="s">
        <v>1910</v>
      </c>
      <c r="K423" s="62" t="s">
        <v>56</v>
      </c>
      <c r="L423" s="63" t="s">
        <v>57</v>
      </c>
      <c r="M423" s="64">
        <v>82009.0</v>
      </c>
      <c r="N423" s="80" t="s">
        <v>1911</v>
      </c>
      <c r="O423" s="66" t="s">
        <v>1912</v>
      </c>
      <c r="P423" s="37"/>
      <c r="Q423" s="38"/>
      <c r="R423" s="22"/>
      <c r="S423" s="22">
        <v>4.0</v>
      </c>
      <c r="T423" s="22"/>
      <c r="U423" s="22">
        <v>2.0</v>
      </c>
      <c r="V423" s="116">
        <v>45123.0</v>
      </c>
      <c r="W423" s="38"/>
      <c r="X423" s="22" t="s">
        <v>800</v>
      </c>
      <c r="Y423" s="36" t="str">
        <f t="shared" si="41"/>
        <v>renew</v>
      </c>
      <c r="Z423" s="21" t="s">
        <v>27</v>
      </c>
      <c r="AA423" s="75"/>
    </row>
    <row r="424">
      <c r="A424" s="87" t="s">
        <v>1565</v>
      </c>
      <c r="B424" s="87" t="s">
        <v>1913</v>
      </c>
      <c r="C424" s="75">
        <v>949.0</v>
      </c>
      <c r="D424" s="22" t="str">
        <f t="shared" si="1"/>
        <v>General</v>
      </c>
      <c r="E424" s="23" t="str">
        <f t="shared" si="2"/>
        <v>Lapsed</v>
      </c>
      <c r="F424" s="24">
        <v>1.0</v>
      </c>
      <c r="G424" s="25">
        <v>44330.0</v>
      </c>
      <c r="H424" s="26">
        <f t="shared" si="9"/>
        <v>44561</v>
      </c>
      <c r="I424" s="75"/>
      <c r="J424" s="62" t="s">
        <v>1914</v>
      </c>
      <c r="K424" s="62" t="s">
        <v>1915</v>
      </c>
      <c r="L424" s="63" t="s">
        <v>35</v>
      </c>
      <c r="M424" s="64">
        <v>80102.0</v>
      </c>
      <c r="N424" s="80" t="s">
        <v>1916</v>
      </c>
      <c r="O424" s="66" t="s">
        <v>1917</v>
      </c>
      <c r="P424" s="37"/>
      <c r="Q424" s="38"/>
      <c r="R424" s="22"/>
      <c r="S424" s="38"/>
      <c r="T424" s="38"/>
      <c r="U424" s="38"/>
      <c r="V424" s="59"/>
      <c r="W424" s="38"/>
      <c r="X424" s="38"/>
      <c r="Y424" s="36" t="str">
        <f t="shared" si="41"/>
        <v>renew</v>
      </c>
      <c r="Z424" s="75"/>
      <c r="AA424" s="75"/>
    </row>
    <row r="425">
      <c r="A425" s="87" t="s">
        <v>1918</v>
      </c>
      <c r="B425" s="87" t="s">
        <v>1599</v>
      </c>
      <c r="C425" s="75">
        <v>948.0</v>
      </c>
      <c r="D425" s="22" t="str">
        <f t="shared" si="1"/>
        <v>Youth</v>
      </c>
      <c r="E425" s="23" t="str">
        <f t="shared" si="2"/>
        <v>Lapsed</v>
      </c>
      <c r="F425" s="24">
        <v>1.0</v>
      </c>
      <c r="G425" s="25">
        <v>45771.0</v>
      </c>
      <c r="H425" s="26">
        <f t="shared" si="9"/>
        <v>46022</v>
      </c>
      <c r="I425" s="21"/>
      <c r="J425" s="62" t="s">
        <v>1600</v>
      </c>
      <c r="K425" s="62" t="s">
        <v>1919</v>
      </c>
      <c r="L425" s="63" t="s">
        <v>35</v>
      </c>
      <c r="M425" s="64">
        <v>80643.0</v>
      </c>
      <c r="N425" s="80" t="s">
        <v>1601</v>
      </c>
      <c r="O425" s="66" t="s">
        <v>1920</v>
      </c>
      <c r="P425" s="48">
        <v>40288.0</v>
      </c>
      <c r="Q425" s="22">
        <f>datedif(P425,today(),"Y")</f>
        <v>16</v>
      </c>
      <c r="R425" s="22"/>
      <c r="S425" s="22">
        <v>1.0</v>
      </c>
      <c r="T425" s="22"/>
      <c r="U425" s="22"/>
      <c r="V425" s="59"/>
      <c r="W425" s="22" t="s">
        <v>800</v>
      </c>
      <c r="X425" s="38"/>
      <c r="Y425" s="36" t="str">
        <f t="shared" si="41"/>
        <v>renew</v>
      </c>
      <c r="Z425" s="27" t="s">
        <v>27</v>
      </c>
      <c r="AA425" s="27"/>
    </row>
    <row r="426">
      <c r="A426" s="87" t="s">
        <v>1921</v>
      </c>
      <c r="B426" s="87" t="s">
        <v>1792</v>
      </c>
      <c r="C426" s="75">
        <v>947.0</v>
      </c>
      <c r="D426" s="22" t="str">
        <f t="shared" si="1"/>
        <v>General</v>
      </c>
      <c r="E426" s="23" t="str">
        <f t="shared" si="2"/>
        <v>Lapsed</v>
      </c>
      <c r="F426" s="24">
        <v>1.0</v>
      </c>
      <c r="G426" s="25">
        <v>44786.0</v>
      </c>
      <c r="H426" s="26">
        <f t="shared" si="9"/>
        <v>44926</v>
      </c>
      <c r="I426" s="75"/>
      <c r="J426" s="62" t="s">
        <v>1922</v>
      </c>
      <c r="K426" s="62" t="s">
        <v>1344</v>
      </c>
      <c r="L426" s="63" t="s">
        <v>57</v>
      </c>
      <c r="M426" s="64">
        <v>82637.0</v>
      </c>
      <c r="N426" s="80" t="s">
        <v>1923</v>
      </c>
      <c r="O426" s="66" t="s">
        <v>1924</v>
      </c>
      <c r="P426" s="37"/>
      <c r="Q426" s="22"/>
      <c r="R426" s="22"/>
      <c r="S426" s="38"/>
      <c r="T426" s="38"/>
      <c r="U426" s="38"/>
      <c r="V426" s="59"/>
      <c r="W426" s="22" t="s">
        <v>800</v>
      </c>
      <c r="X426" s="38"/>
      <c r="Y426" s="36" t="str">
        <f t="shared" si="41"/>
        <v>renew</v>
      </c>
      <c r="Z426" s="130"/>
      <c r="AA426" s="27"/>
    </row>
    <row r="427">
      <c r="A427" s="87" t="s">
        <v>1925</v>
      </c>
      <c r="B427" s="87" t="s">
        <v>1926</v>
      </c>
      <c r="C427" s="75">
        <v>946.0</v>
      </c>
      <c r="D427" s="22" t="str">
        <f t="shared" si="1"/>
        <v>General</v>
      </c>
      <c r="E427" s="23" t="str">
        <f t="shared" si="2"/>
        <v>Lapsed</v>
      </c>
      <c r="F427" s="24">
        <v>1.0</v>
      </c>
      <c r="G427" s="25">
        <v>44330.0</v>
      </c>
      <c r="H427" s="26">
        <f t="shared" si="9"/>
        <v>44561</v>
      </c>
      <c r="I427" s="75"/>
      <c r="J427" s="62" t="s">
        <v>1758</v>
      </c>
      <c r="K427" s="62" t="s">
        <v>761</v>
      </c>
      <c r="L427" s="63" t="s">
        <v>35</v>
      </c>
      <c r="M427" s="64">
        <v>80401.0</v>
      </c>
      <c r="N427" s="80" t="s">
        <v>1759</v>
      </c>
      <c r="O427" s="66"/>
      <c r="P427" s="37"/>
      <c r="Q427" s="22"/>
      <c r="R427" s="22"/>
      <c r="S427" s="38"/>
      <c r="T427" s="38"/>
      <c r="U427" s="38"/>
      <c r="V427" s="59"/>
      <c r="W427" s="38"/>
      <c r="X427" s="38"/>
      <c r="Y427" s="36" t="str">
        <f t="shared" si="41"/>
        <v>renew</v>
      </c>
      <c r="Z427" s="75"/>
      <c r="AA427" s="75"/>
    </row>
    <row r="428">
      <c r="A428" s="87" t="s">
        <v>1927</v>
      </c>
      <c r="B428" s="87" t="s">
        <v>1928</v>
      </c>
      <c r="C428" s="75">
        <v>945.0</v>
      </c>
      <c r="D428" s="22" t="str">
        <f t="shared" si="1"/>
        <v>General</v>
      </c>
      <c r="E428" s="23" t="str">
        <f t="shared" si="2"/>
        <v>Lapsed</v>
      </c>
      <c r="F428" s="24">
        <v>1.0</v>
      </c>
      <c r="G428" s="25">
        <v>44424.0</v>
      </c>
      <c r="H428" s="26">
        <f t="shared" si="9"/>
        <v>44561</v>
      </c>
      <c r="I428" s="75"/>
      <c r="J428" s="62" t="s">
        <v>1929</v>
      </c>
      <c r="K428" s="62" t="s">
        <v>56</v>
      </c>
      <c r="L428" s="63" t="s">
        <v>57</v>
      </c>
      <c r="M428" s="64">
        <v>82001.0</v>
      </c>
      <c r="N428" s="80" t="s">
        <v>370</v>
      </c>
      <c r="O428" s="66" t="s">
        <v>1930</v>
      </c>
      <c r="P428" s="37"/>
      <c r="Q428" s="22"/>
      <c r="R428" s="22"/>
      <c r="S428" s="38"/>
      <c r="T428" s="38"/>
      <c r="U428" s="38"/>
      <c r="V428" s="59"/>
      <c r="W428" s="38"/>
      <c r="X428" s="38"/>
      <c r="Y428" s="36" t="str">
        <f t="shared" si="41"/>
        <v>renew</v>
      </c>
      <c r="Z428" s="130"/>
      <c r="AA428" s="27"/>
    </row>
    <row r="429">
      <c r="A429" s="87" t="s">
        <v>1931</v>
      </c>
      <c r="B429" s="87" t="s">
        <v>1301</v>
      </c>
      <c r="C429" s="75">
        <v>944.0</v>
      </c>
      <c r="D429" s="22" t="str">
        <f t="shared" si="1"/>
        <v>Youth</v>
      </c>
      <c r="E429" s="23" t="str">
        <f t="shared" si="2"/>
        <v>Lapsed</v>
      </c>
      <c r="F429" s="24">
        <v>1.0</v>
      </c>
      <c r="G429" s="25">
        <v>45817.0</v>
      </c>
      <c r="H429" s="26">
        <f t="shared" si="9"/>
        <v>46022</v>
      </c>
      <c r="I429" s="75"/>
      <c r="J429" s="62" t="s">
        <v>1932</v>
      </c>
      <c r="K429" s="62" t="s">
        <v>647</v>
      </c>
      <c r="L429" s="63" t="s">
        <v>35</v>
      </c>
      <c r="M429" s="64">
        <v>80503.0</v>
      </c>
      <c r="N429" s="80" t="s">
        <v>1933</v>
      </c>
      <c r="O429" s="66" t="s">
        <v>1934</v>
      </c>
      <c r="P429" s="48">
        <v>39370.0</v>
      </c>
      <c r="Q429" s="22">
        <f>datedif(P429,today(),"Y")</f>
        <v>18</v>
      </c>
      <c r="R429" s="22"/>
      <c r="S429" s="22">
        <v>2.0</v>
      </c>
      <c r="T429" s="22">
        <v>2.0</v>
      </c>
      <c r="U429" s="22">
        <v>1.0</v>
      </c>
      <c r="V429" s="106">
        <v>44978.0</v>
      </c>
      <c r="W429" s="38"/>
      <c r="X429" s="22" t="s">
        <v>800</v>
      </c>
      <c r="Y429" s="36" t="str">
        <f t="shared" si="41"/>
        <v>renew</v>
      </c>
      <c r="Z429" s="142"/>
      <c r="AA429" s="24"/>
    </row>
    <row r="430">
      <c r="A430" s="87" t="s">
        <v>1935</v>
      </c>
      <c r="B430" s="87" t="s">
        <v>1936</v>
      </c>
      <c r="C430" s="75">
        <v>943.0</v>
      </c>
      <c r="D430" s="22" t="str">
        <f t="shared" si="1"/>
        <v>General</v>
      </c>
      <c r="E430" s="23" t="str">
        <f t="shared" si="2"/>
        <v>Lapsed</v>
      </c>
      <c r="F430" s="24">
        <v>1.0</v>
      </c>
      <c r="G430" s="25">
        <v>44423.0</v>
      </c>
      <c r="H430" s="26">
        <f t="shared" si="9"/>
        <v>44561</v>
      </c>
      <c r="I430" s="75"/>
      <c r="J430" s="62" t="s">
        <v>1937</v>
      </c>
      <c r="K430" s="62" t="s">
        <v>1938</v>
      </c>
      <c r="L430" s="63" t="s">
        <v>57</v>
      </c>
      <c r="M430" s="64">
        <v>82401.0</v>
      </c>
      <c r="N430" s="80" t="s">
        <v>1939</v>
      </c>
      <c r="O430" s="66" t="s">
        <v>1940</v>
      </c>
      <c r="P430" s="37"/>
      <c r="Q430" s="38"/>
      <c r="R430" s="22"/>
      <c r="S430" s="38"/>
      <c r="T430" s="38"/>
      <c r="U430" s="38"/>
      <c r="V430" s="59"/>
      <c r="W430" s="38"/>
      <c r="X430" s="38"/>
      <c r="Y430" s="36" t="str">
        <f t="shared" si="41"/>
        <v>renew</v>
      </c>
      <c r="Z430" s="75"/>
      <c r="AA430" s="21" t="s">
        <v>671</v>
      </c>
    </row>
    <row r="431">
      <c r="A431" s="87" t="s">
        <v>789</v>
      </c>
      <c r="B431" s="87" t="s">
        <v>1941</v>
      </c>
      <c r="C431" s="75">
        <v>942.0</v>
      </c>
      <c r="D431" s="22" t="str">
        <f t="shared" si="1"/>
        <v>General</v>
      </c>
      <c r="E431" s="23" t="str">
        <f t="shared" si="2"/>
        <v>Lapsed</v>
      </c>
      <c r="F431" s="24">
        <v>1.0</v>
      </c>
      <c r="G431" s="25">
        <v>45771.0</v>
      </c>
      <c r="H431" s="26">
        <f t="shared" si="9"/>
        <v>46022</v>
      </c>
      <c r="I431" s="21"/>
      <c r="J431" s="62" t="s">
        <v>1942</v>
      </c>
      <c r="K431" s="62" t="s">
        <v>190</v>
      </c>
      <c r="L431" s="63" t="s">
        <v>35</v>
      </c>
      <c r="M431" s="64">
        <v>80538.0</v>
      </c>
      <c r="N431" s="80" t="s">
        <v>1943</v>
      </c>
      <c r="O431" s="66" t="s">
        <v>1944</v>
      </c>
      <c r="P431" s="48">
        <v>38059.0</v>
      </c>
      <c r="Q431" s="22">
        <f>datedif(P431,today(),"Y")</f>
        <v>22</v>
      </c>
      <c r="R431" s="22"/>
      <c r="S431" s="22">
        <v>1.0</v>
      </c>
      <c r="T431" s="22">
        <v>1.0</v>
      </c>
      <c r="U431" s="22">
        <v>2.0</v>
      </c>
      <c r="V431" s="35">
        <v>45150.0</v>
      </c>
      <c r="W431" s="38"/>
      <c r="X431" s="22" t="s">
        <v>800</v>
      </c>
      <c r="Y431" s="36" t="str">
        <f t="shared" si="41"/>
        <v>renew</v>
      </c>
      <c r="Z431" s="27" t="s">
        <v>27</v>
      </c>
      <c r="AA431" s="27" t="s">
        <v>671</v>
      </c>
    </row>
    <row r="432">
      <c r="A432" s="87" t="s">
        <v>922</v>
      </c>
      <c r="B432" s="87" t="s">
        <v>1945</v>
      </c>
      <c r="C432" s="75">
        <v>941.0</v>
      </c>
      <c r="D432" s="22" t="str">
        <f t="shared" si="1"/>
        <v>General</v>
      </c>
      <c r="E432" s="23" t="str">
        <f t="shared" si="2"/>
        <v>Lapsed</v>
      </c>
      <c r="F432" s="24">
        <v>1.0</v>
      </c>
      <c r="G432" s="25">
        <v>44419.0</v>
      </c>
      <c r="H432" s="26">
        <f t="shared" si="9"/>
        <v>44561</v>
      </c>
      <c r="I432" s="75"/>
      <c r="J432" s="62" t="s">
        <v>1946</v>
      </c>
      <c r="K432" s="29" t="s">
        <v>1947</v>
      </c>
      <c r="L432" s="63" t="s">
        <v>57</v>
      </c>
      <c r="M432" s="64">
        <v>82054.0</v>
      </c>
      <c r="N432" s="80" t="s">
        <v>1948</v>
      </c>
      <c r="O432" s="66" t="s">
        <v>1949</v>
      </c>
      <c r="P432" s="37"/>
      <c r="Q432" s="38"/>
      <c r="R432" s="22"/>
      <c r="S432" s="38"/>
      <c r="T432" s="38"/>
      <c r="U432" s="38"/>
      <c r="V432" s="59"/>
      <c r="W432" s="38"/>
      <c r="X432" s="38"/>
      <c r="Y432" s="36" t="str">
        <f t="shared" si="41"/>
        <v>renew</v>
      </c>
      <c r="Z432" s="75"/>
      <c r="AA432" s="75"/>
    </row>
    <row r="433">
      <c r="A433" s="87" t="s">
        <v>1950</v>
      </c>
      <c r="B433" s="87" t="s">
        <v>1951</v>
      </c>
      <c r="C433" s="75">
        <v>940.0</v>
      </c>
      <c r="D433" s="22" t="str">
        <f t="shared" si="1"/>
        <v>General</v>
      </c>
      <c r="E433" s="23" t="str">
        <f t="shared" si="2"/>
        <v>Lapsed</v>
      </c>
      <c r="F433" s="24">
        <v>1.0</v>
      </c>
      <c r="G433" s="25">
        <v>45878.0</v>
      </c>
      <c r="H433" s="26">
        <f t="shared" si="9"/>
        <v>46022</v>
      </c>
      <c r="I433" s="75"/>
      <c r="J433" s="62" t="s">
        <v>208</v>
      </c>
      <c r="K433" s="62" t="s">
        <v>1952</v>
      </c>
      <c r="L433" s="63" t="s">
        <v>57</v>
      </c>
      <c r="M433" s="64">
        <v>82727.0</v>
      </c>
      <c r="N433" s="80" t="s">
        <v>1953</v>
      </c>
      <c r="O433" s="66" t="s">
        <v>1954</v>
      </c>
      <c r="P433" s="37"/>
      <c r="Q433" s="38"/>
      <c r="R433" s="22"/>
      <c r="S433" s="22">
        <v>4.0</v>
      </c>
      <c r="T433" s="38"/>
      <c r="U433" s="38"/>
      <c r="V433" s="59"/>
      <c r="W433" s="38"/>
      <c r="X433" s="38"/>
      <c r="Y433" s="36" t="str">
        <f t="shared" si="41"/>
        <v>renew</v>
      </c>
      <c r="Z433" s="130"/>
      <c r="AA433" s="27" t="s">
        <v>671</v>
      </c>
    </row>
    <row r="434">
      <c r="A434" s="87" t="s">
        <v>1602</v>
      </c>
      <c r="B434" s="87" t="s">
        <v>1749</v>
      </c>
      <c r="C434" s="75">
        <v>939.0</v>
      </c>
      <c r="D434" s="22" t="str">
        <f t="shared" si="1"/>
        <v>General</v>
      </c>
      <c r="E434" s="23" t="str">
        <f t="shared" si="2"/>
        <v>Lapsed</v>
      </c>
      <c r="F434" s="24">
        <v>1.0</v>
      </c>
      <c r="G434" s="25">
        <v>44387.0</v>
      </c>
      <c r="H434" s="26">
        <f t="shared" si="9"/>
        <v>44561</v>
      </c>
      <c r="I434" s="75"/>
      <c r="J434" s="62" t="s">
        <v>1955</v>
      </c>
      <c r="K434" s="62" t="s">
        <v>56</v>
      </c>
      <c r="L434" s="63" t="s">
        <v>57</v>
      </c>
      <c r="M434" s="64">
        <v>82009.0</v>
      </c>
      <c r="N434" s="80" t="s">
        <v>1956</v>
      </c>
      <c r="O434" s="66" t="s">
        <v>1957</v>
      </c>
      <c r="P434" s="37"/>
      <c r="Q434" s="38"/>
      <c r="R434" s="22"/>
      <c r="S434" s="38"/>
      <c r="T434" s="38"/>
      <c r="U434" s="38"/>
      <c r="V434" s="59"/>
      <c r="W434" s="38"/>
      <c r="X434" s="38"/>
      <c r="Y434" s="36" t="str">
        <f t="shared" si="41"/>
        <v>renew</v>
      </c>
      <c r="Z434" s="130"/>
      <c r="AA434" s="27"/>
    </row>
    <row r="435">
      <c r="A435" s="87" t="s">
        <v>1958</v>
      </c>
      <c r="B435" s="87" t="s">
        <v>1959</v>
      </c>
      <c r="C435" s="75">
        <v>938.0</v>
      </c>
      <c r="D435" s="22" t="str">
        <f t="shared" si="1"/>
        <v>General</v>
      </c>
      <c r="E435" s="23" t="str">
        <f t="shared" si="2"/>
        <v>Lapsed</v>
      </c>
      <c r="F435" s="24">
        <v>1.0</v>
      </c>
      <c r="G435" s="25">
        <v>44386.0</v>
      </c>
      <c r="H435" s="26">
        <f t="shared" si="9"/>
        <v>44561</v>
      </c>
      <c r="I435" s="75"/>
      <c r="J435" s="62" t="s">
        <v>1960</v>
      </c>
      <c r="K435" s="62" t="s">
        <v>76</v>
      </c>
      <c r="L435" s="63" t="s">
        <v>244</v>
      </c>
      <c r="M435" s="64">
        <v>69023.0</v>
      </c>
      <c r="N435" s="80" t="s">
        <v>1961</v>
      </c>
      <c r="O435" s="66" t="s">
        <v>1962</v>
      </c>
      <c r="P435" s="37"/>
      <c r="Q435" s="38"/>
      <c r="R435" s="22"/>
      <c r="S435" s="38"/>
      <c r="T435" s="38"/>
      <c r="U435" s="38"/>
      <c r="V435" s="59"/>
      <c r="W435" s="38"/>
      <c r="X435" s="38"/>
      <c r="Y435" s="36" t="str">
        <f t="shared" si="41"/>
        <v>renew</v>
      </c>
      <c r="Z435" s="130"/>
      <c r="AA435" s="27"/>
    </row>
    <row r="436">
      <c r="A436" s="87" t="s">
        <v>284</v>
      </c>
      <c r="B436" s="87" t="s">
        <v>1963</v>
      </c>
      <c r="C436" s="75">
        <v>937.0</v>
      </c>
      <c r="D436" s="22" t="str">
        <f t="shared" si="1"/>
        <v>General</v>
      </c>
      <c r="E436" s="23" t="str">
        <f t="shared" si="2"/>
        <v>Lapsed</v>
      </c>
      <c r="F436" s="24">
        <v>1.0</v>
      </c>
      <c r="G436" s="25">
        <v>44388.0</v>
      </c>
      <c r="H436" s="26">
        <f t="shared" si="9"/>
        <v>44561</v>
      </c>
      <c r="I436" s="75"/>
      <c r="J436" s="62" t="s">
        <v>1964</v>
      </c>
      <c r="K436" s="62" t="s">
        <v>56</v>
      </c>
      <c r="L436" s="63" t="s">
        <v>57</v>
      </c>
      <c r="M436" s="64">
        <v>82009.0</v>
      </c>
      <c r="N436" s="80" t="s">
        <v>1965</v>
      </c>
      <c r="O436" s="66" t="s">
        <v>1966</v>
      </c>
      <c r="P436" s="37"/>
      <c r="Q436" s="38"/>
      <c r="R436" s="22"/>
      <c r="S436" s="38"/>
      <c r="T436" s="38"/>
      <c r="U436" s="38"/>
      <c r="V436" s="59"/>
      <c r="W436" s="38"/>
      <c r="X436" s="38"/>
      <c r="Y436" s="36" t="str">
        <f t="shared" si="41"/>
        <v>renew</v>
      </c>
      <c r="Z436" s="75"/>
      <c r="AA436" s="21" t="s">
        <v>671</v>
      </c>
    </row>
    <row r="437">
      <c r="A437" s="87" t="s">
        <v>1967</v>
      </c>
      <c r="B437" s="87" t="s">
        <v>1968</v>
      </c>
      <c r="C437" s="75">
        <v>936.0</v>
      </c>
      <c r="D437" s="22" t="str">
        <f t="shared" si="1"/>
        <v>General</v>
      </c>
      <c r="E437" s="23" t="str">
        <f t="shared" si="2"/>
        <v>Lapsed</v>
      </c>
      <c r="F437" s="24">
        <v>1.0</v>
      </c>
      <c r="G437" s="25">
        <v>44377.0</v>
      </c>
      <c r="H437" s="26">
        <f t="shared" si="9"/>
        <v>44561</v>
      </c>
      <c r="I437" s="75"/>
      <c r="J437" s="62" t="s">
        <v>1969</v>
      </c>
      <c r="K437" s="62" t="s">
        <v>56</v>
      </c>
      <c r="L437" s="63" t="s">
        <v>1970</v>
      </c>
      <c r="M437" s="64">
        <v>82009.0</v>
      </c>
      <c r="N437" s="80" t="s">
        <v>1971</v>
      </c>
      <c r="O437" s="66" t="s">
        <v>1972</v>
      </c>
      <c r="P437" s="37"/>
      <c r="Q437" s="38"/>
      <c r="R437" s="22"/>
      <c r="S437" s="38"/>
      <c r="T437" s="38"/>
      <c r="U437" s="38"/>
      <c r="V437" s="59"/>
      <c r="W437" s="38"/>
      <c r="X437" s="38"/>
      <c r="Y437" s="36" t="str">
        <f t="shared" si="41"/>
        <v>renew</v>
      </c>
      <c r="Z437" s="75"/>
      <c r="AA437" s="21"/>
    </row>
    <row r="438">
      <c r="A438" s="87" t="s">
        <v>1973</v>
      </c>
      <c r="B438" s="87" t="s">
        <v>1974</v>
      </c>
      <c r="C438" s="75">
        <v>935.0</v>
      </c>
      <c r="D438" s="22" t="str">
        <f t="shared" si="1"/>
        <v>General</v>
      </c>
      <c r="E438" s="23" t="str">
        <f t="shared" si="2"/>
        <v>Lapsed</v>
      </c>
      <c r="F438" s="24">
        <v>1.0</v>
      </c>
      <c r="G438" s="25">
        <v>44386.0</v>
      </c>
      <c r="H438" s="26">
        <f t="shared" si="9"/>
        <v>44561</v>
      </c>
      <c r="I438" s="75"/>
      <c r="J438" s="62" t="s">
        <v>1975</v>
      </c>
      <c r="K438" s="62" t="s">
        <v>1976</v>
      </c>
      <c r="L438" s="63" t="s">
        <v>35</v>
      </c>
      <c r="M438" s="64">
        <v>80215.0</v>
      </c>
      <c r="N438" s="80" t="s">
        <v>1977</v>
      </c>
      <c r="O438" s="66" t="s">
        <v>1978</v>
      </c>
      <c r="P438" s="37"/>
      <c r="Q438" s="38"/>
      <c r="R438" s="22"/>
      <c r="S438" s="38"/>
      <c r="T438" s="38"/>
      <c r="U438" s="38"/>
      <c r="V438" s="59"/>
      <c r="W438" s="38"/>
      <c r="X438" s="38"/>
      <c r="Y438" s="36" t="str">
        <f t="shared" si="41"/>
        <v>renew</v>
      </c>
      <c r="Z438" s="130"/>
      <c r="AA438" s="27" t="s">
        <v>671</v>
      </c>
    </row>
    <row r="439">
      <c r="A439" s="87" t="s">
        <v>1979</v>
      </c>
      <c r="B439" s="87" t="s">
        <v>1980</v>
      </c>
      <c r="C439" s="75">
        <v>934.0</v>
      </c>
      <c r="D439" s="22" t="str">
        <f t="shared" si="1"/>
        <v>General</v>
      </c>
      <c r="E439" s="23" t="str">
        <f t="shared" si="2"/>
        <v>Lapsed</v>
      </c>
      <c r="F439" s="24">
        <v>1.0</v>
      </c>
      <c r="G439" s="25">
        <v>44386.0</v>
      </c>
      <c r="H439" s="26">
        <f t="shared" si="9"/>
        <v>44561</v>
      </c>
      <c r="I439" s="75"/>
      <c r="J439" s="62" t="s">
        <v>1981</v>
      </c>
      <c r="K439" s="62" t="s">
        <v>56</v>
      </c>
      <c r="L439" s="63" t="s">
        <v>57</v>
      </c>
      <c r="M439" s="64">
        <v>82009.0</v>
      </c>
      <c r="N439" s="80" t="s">
        <v>1982</v>
      </c>
      <c r="O439" s="54" t="s">
        <v>1983</v>
      </c>
      <c r="P439" s="37"/>
      <c r="Q439" s="38"/>
      <c r="R439" s="22"/>
      <c r="S439" s="38"/>
      <c r="T439" s="38"/>
      <c r="U439" s="38"/>
      <c r="V439" s="59"/>
      <c r="W439" s="38"/>
      <c r="X439" s="38"/>
      <c r="Y439" s="36" t="str">
        <f t="shared" si="41"/>
        <v>renew</v>
      </c>
      <c r="Z439" s="130"/>
      <c r="AA439" s="27"/>
    </row>
    <row r="440">
      <c r="A440" s="87" t="s">
        <v>1984</v>
      </c>
      <c r="B440" s="87" t="s">
        <v>1985</v>
      </c>
      <c r="C440" s="75">
        <v>932.0</v>
      </c>
      <c r="D440" s="22" t="str">
        <f t="shared" si="1"/>
        <v>General</v>
      </c>
      <c r="E440" s="23" t="str">
        <f t="shared" si="2"/>
        <v>Lapsed</v>
      </c>
      <c r="F440" s="24">
        <v>1.0</v>
      </c>
      <c r="G440" s="25">
        <v>44368.0</v>
      </c>
      <c r="H440" s="26">
        <f t="shared" si="9"/>
        <v>44561</v>
      </c>
      <c r="I440" s="75"/>
      <c r="J440" s="62" t="s">
        <v>1986</v>
      </c>
      <c r="K440" s="62" t="s">
        <v>1976</v>
      </c>
      <c r="L440" s="63" t="s">
        <v>35</v>
      </c>
      <c r="M440" s="64">
        <v>80226.0</v>
      </c>
      <c r="N440" s="80" t="s">
        <v>1987</v>
      </c>
      <c r="O440" s="66" t="s">
        <v>1988</v>
      </c>
      <c r="P440" s="37"/>
      <c r="Q440" s="38"/>
      <c r="R440" s="22"/>
      <c r="S440" s="38"/>
      <c r="T440" s="38"/>
      <c r="U440" s="38"/>
      <c r="V440" s="59"/>
      <c r="W440" s="38"/>
      <c r="X440" s="38"/>
      <c r="Y440" s="36" t="str">
        <f t="shared" si="41"/>
        <v>renew</v>
      </c>
      <c r="Z440" s="130"/>
      <c r="AA440" s="27"/>
    </row>
    <row r="441">
      <c r="A441" s="87" t="s">
        <v>450</v>
      </c>
      <c r="B441" s="87" t="s">
        <v>1989</v>
      </c>
      <c r="C441" s="138">
        <v>931.0</v>
      </c>
      <c r="D441" s="22" t="str">
        <f t="shared" si="1"/>
        <v>General</v>
      </c>
      <c r="E441" s="23" t="str">
        <f t="shared" si="2"/>
        <v>Lapsed</v>
      </c>
      <c r="F441" s="24">
        <v>1.0</v>
      </c>
      <c r="G441" s="25">
        <v>44372.0</v>
      </c>
      <c r="H441" s="26">
        <f t="shared" si="9"/>
        <v>44561</v>
      </c>
      <c r="I441" s="138"/>
      <c r="J441" s="139" t="s">
        <v>1990</v>
      </c>
      <c r="K441" s="139" t="s">
        <v>866</v>
      </c>
      <c r="L441" s="140" t="s">
        <v>35</v>
      </c>
      <c r="M441" s="64">
        <v>80610.0</v>
      </c>
      <c r="N441" s="80" t="s">
        <v>1991</v>
      </c>
      <c r="O441" s="66" t="s">
        <v>1992</v>
      </c>
      <c r="P441" s="37"/>
      <c r="Q441" s="38"/>
      <c r="R441" s="22"/>
      <c r="S441" s="38"/>
      <c r="T441" s="38"/>
      <c r="U441" s="38"/>
      <c r="V441" s="59"/>
      <c r="W441" s="38"/>
      <c r="X441" s="38"/>
      <c r="Y441" s="36" t="str">
        <f t="shared" si="41"/>
        <v>renew</v>
      </c>
      <c r="Z441" s="138"/>
      <c r="AA441" s="21"/>
    </row>
    <row r="442">
      <c r="A442" s="87" t="s">
        <v>1993</v>
      </c>
      <c r="B442" s="87" t="s">
        <v>1994</v>
      </c>
      <c r="C442" s="75">
        <v>930.0</v>
      </c>
      <c r="D442" s="22" t="str">
        <f t="shared" si="1"/>
        <v>Youth</v>
      </c>
      <c r="E442" s="23" t="str">
        <f t="shared" si="2"/>
        <v>Lapsed</v>
      </c>
      <c r="F442" s="24">
        <v>1.0</v>
      </c>
      <c r="G442" s="44">
        <v>45771.0</v>
      </c>
      <c r="H442" s="26">
        <f t="shared" si="9"/>
        <v>46022</v>
      </c>
      <c r="I442" s="21"/>
      <c r="J442" s="62" t="s">
        <v>1995</v>
      </c>
      <c r="K442" s="62" t="s">
        <v>911</v>
      </c>
      <c r="L442" s="63" t="s">
        <v>35</v>
      </c>
      <c r="M442" s="64">
        <v>80653.0</v>
      </c>
      <c r="N442" s="148" t="s">
        <v>1996</v>
      </c>
      <c r="O442" s="66" t="s">
        <v>1997</v>
      </c>
      <c r="P442" s="48">
        <v>40737.0</v>
      </c>
      <c r="Q442" s="22">
        <f>datedif(P442,today(),"Y")</f>
        <v>14</v>
      </c>
      <c r="R442" s="22"/>
      <c r="S442" s="22">
        <v>1.0</v>
      </c>
      <c r="T442" s="22">
        <v>1.0</v>
      </c>
      <c r="U442" s="38"/>
      <c r="V442" s="59"/>
      <c r="W442" s="38"/>
      <c r="X442" s="38"/>
      <c r="Y442" s="36" t="str">
        <f t="shared" si="41"/>
        <v>renew</v>
      </c>
      <c r="Z442" s="21" t="s">
        <v>8</v>
      </c>
      <c r="AA442" s="21" t="s">
        <v>671</v>
      </c>
    </row>
    <row r="443">
      <c r="A443" s="87" t="s">
        <v>1931</v>
      </c>
      <c r="B443" s="87" t="s">
        <v>1998</v>
      </c>
      <c r="C443" s="142">
        <v>929.0</v>
      </c>
      <c r="D443" s="22" t="str">
        <f t="shared" si="1"/>
        <v>General</v>
      </c>
      <c r="E443" s="23" t="str">
        <f t="shared" si="2"/>
        <v>Lapsed</v>
      </c>
      <c r="F443" s="24">
        <v>1.0</v>
      </c>
      <c r="G443" s="25">
        <v>44367.0</v>
      </c>
      <c r="H443" s="26">
        <f t="shared" si="9"/>
        <v>44561</v>
      </c>
      <c r="I443" s="75"/>
      <c r="J443" s="62" t="s">
        <v>1999</v>
      </c>
      <c r="K443" s="29" t="s">
        <v>2000</v>
      </c>
      <c r="L443" s="63" t="s">
        <v>57</v>
      </c>
      <c r="M443" s="64">
        <v>82604.0</v>
      </c>
      <c r="N443" s="80" t="s">
        <v>2001</v>
      </c>
      <c r="O443" s="54" t="s">
        <v>2002</v>
      </c>
      <c r="P443" s="37"/>
      <c r="Q443" s="38"/>
      <c r="R443" s="22"/>
      <c r="S443" s="38"/>
      <c r="T443" s="38"/>
      <c r="U443" s="38"/>
      <c r="V443" s="59"/>
      <c r="W443" s="38"/>
      <c r="X443" s="38"/>
      <c r="Y443" s="36" t="str">
        <f t="shared" si="41"/>
        <v>renew</v>
      </c>
      <c r="Z443" s="75"/>
      <c r="AA443" s="75"/>
    </row>
    <row r="444">
      <c r="A444" s="149" t="s">
        <v>1226</v>
      </c>
      <c r="B444" s="149" t="s">
        <v>1593</v>
      </c>
      <c r="C444" s="142">
        <v>928.0</v>
      </c>
      <c r="D444" s="22" t="str">
        <f t="shared" si="1"/>
        <v>General</v>
      </c>
      <c r="E444" s="23" t="str">
        <f t="shared" si="2"/>
        <v>Lapsed</v>
      </c>
      <c r="F444" s="24">
        <v>1.0</v>
      </c>
      <c r="G444" s="25">
        <v>44341.0</v>
      </c>
      <c r="H444" s="26">
        <f t="shared" si="9"/>
        <v>44561</v>
      </c>
      <c r="I444" s="142"/>
      <c r="J444" s="133" t="s">
        <v>2003</v>
      </c>
      <c r="K444" s="133" t="s">
        <v>164</v>
      </c>
      <c r="L444" s="151" t="s">
        <v>35</v>
      </c>
      <c r="M444" s="152">
        <v>80516.0</v>
      </c>
      <c r="N444" s="134" t="s">
        <v>2004</v>
      </c>
      <c r="O444" s="154" t="s">
        <v>2005</v>
      </c>
      <c r="P444" s="37"/>
      <c r="Q444" s="38"/>
      <c r="R444" s="22"/>
      <c r="S444" s="38"/>
      <c r="T444" s="38"/>
      <c r="U444" s="38"/>
      <c r="V444" s="59"/>
      <c r="W444" s="38"/>
      <c r="X444" s="38"/>
      <c r="Y444" s="36" t="str">
        <f t="shared" si="41"/>
        <v>renew</v>
      </c>
      <c r="Z444" s="130"/>
      <c r="AA444" s="27"/>
    </row>
    <row r="445">
      <c r="A445" s="87" t="s">
        <v>922</v>
      </c>
      <c r="B445" s="87" t="s">
        <v>2006</v>
      </c>
      <c r="C445" s="142">
        <v>927.0</v>
      </c>
      <c r="D445" s="22" t="str">
        <f t="shared" si="1"/>
        <v>General</v>
      </c>
      <c r="E445" s="23" t="str">
        <f t="shared" si="2"/>
        <v>Lapsed</v>
      </c>
      <c r="F445" s="24">
        <v>1.0</v>
      </c>
      <c r="G445" s="25">
        <v>44346.0</v>
      </c>
      <c r="H445" s="26">
        <f t="shared" si="9"/>
        <v>44561</v>
      </c>
      <c r="I445" s="75"/>
      <c r="J445" s="62" t="s">
        <v>2007</v>
      </c>
      <c r="K445" s="62" t="s">
        <v>1203</v>
      </c>
      <c r="L445" s="81" t="s">
        <v>35</v>
      </c>
      <c r="M445" s="64">
        <v>80007.0</v>
      </c>
      <c r="N445" s="145"/>
      <c r="O445" s="66"/>
      <c r="P445" s="37"/>
      <c r="Q445" s="38"/>
      <c r="R445" s="22"/>
      <c r="S445" s="38"/>
      <c r="T445" s="38"/>
      <c r="U445" s="38"/>
      <c r="V445" s="59"/>
      <c r="W445" s="38"/>
      <c r="X445" s="38"/>
      <c r="Y445" s="36" t="str">
        <f t="shared" si="41"/>
        <v>renew</v>
      </c>
      <c r="Z445" s="75"/>
      <c r="AA445" s="75"/>
    </row>
    <row r="446">
      <c r="A446" s="87" t="s">
        <v>2008</v>
      </c>
      <c r="B446" s="87" t="s">
        <v>2009</v>
      </c>
      <c r="C446" s="142">
        <v>926.0</v>
      </c>
      <c r="D446" s="22" t="str">
        <f t="shared" si="1"/>
        <v>General</v>
      </c>
      <c r="E446" s="23" t="str">
        <f t="shared" si="2"/>
        <v>Lapsed</v>
      </c>
      <c r="F446" s="24">
        <v>1.0</v>
      </c>
      <c r="G446" s="25">
        <v>44330.0</v>
      </c>
      <c r="H446" s="26">
        <f t="shared" si="9"/>
        <v>44561</v>
      </c>
      <c r="I446" s="75"/>
      <c r="J446" s="62" t="s">
        <v>2010</v>
      </c>
      <c r="K446" s="62" t="s">
        <v>423</v>
      </c>
      <c r="L446" s="63" t="s">
        <v>35</v>
      </c>
      <c r="M446" s="64">
        <v>80107.0</v>
      </c>
      <c r="N446" s="80" t="s">
        <v>2011</v>
      </c>
      <c r="O446" s="66" t="s">
        <v>2012</v>
      </c>
      <c r="P446" s="37"/>
      <c r="Q446" s="38"/>
      <c r="R446" s="22"/>
      <c r="S446" s="38"/>
      <c r="T446" s="38"/>
      <c r="U446" s="38"/>
      <c r="V446" s="59"/>
      <c r="W446" s="38"/>
      <c r="X446" s="38"/>
      <c r="Y446" s="36" t="str">
        <f t="shared" si="41"/>
        <v>renew</v>
      </c>
      <c r="Z446" s="75"/>
      <c r="AA446" s="75"/>
    </row>
    <row r="447">
      <c r="A447" s="87" t="s">
        <v>1565</v>
      </c>
      <c r="B447" s="87" t="s">
        <v>614</v>
      </c>
      <c r="C447" s="142">
        <v>925.0</v>
      </c>
      <c r="D447" s="22" t="str">
        <f t="shared" si="1"/>
        <v>General</v>
      </c>
      <c r="E447" s="23" t="str">
        <f t="shared" si="2"/>
        <v>Lapsed</v>
      </c>
      <c r="F447" s="24">
        <v>1.0</v>
      </c>
      <c r="G447" s="25">
        <v>44331.0</v>
      </c>
      <c r="H447" s="26">
        <f t="shared" si="9"/>
        <v>44561</v>
      </c>
      <c r="I447" s="75"/>
      <c r="J447" s="62" t="s">
        <v>2013</v>
      </c>
      <c r="K447" s="62" t="s">
        <v>448</v>
      </c>
      <c r="L447" s="63" t="s">
        <v>35</v>
      </c>
      <c r="M447" s="64">
        <v>80513.0</v>
      </c>
      <c r="N447" s="80" t="s">
        <v>2014</v>
      </c>
      <c r="O447" s="66" t="s">
        <v>2015</v>
      </c>
      <c r="P447" s="37"/>
      <c r="Q447" s="38"/>
      <c r="R447" s="22"/>
      <c r="S447" s="38"/>
      <c r="T447" s="38"/>
      <c r="U447" s="38"/>
      <c r="V447" s="59"/>
      <c r="W447" s="38"/>
      <c r="X447" s="38"/>
      <c r="Y447" s="36" t="str">
        <f t="shared" si="41"/>
        <v>renew</v>
      </c>
      <c r="Z447" s="130"/>
      <c r="AA447" s="27"/>
    </row>
    <row r="448">
      <c r="A448" s="87" t="s">
        <v>2016</v>
      </c>
      <c r="B448" s="87" t="s">
        <v>2017</v>
      </c>
      <c r="C448" s="142">
        <v>924.0</v>
      </c>
      <c r="D448" s="22" t="str">
        <f t="shared" si="1"/>
        <v>General</v>
      </c>
      <c r="E448" s="23" t="str">
        <f t="shared" si="2"/>
        <v>Lapsed</v>
      </c>
      <c r="F448" s="24">
        <v>1.0</v>
      </c>
      <c r="G448" s="25">
        <v>44318.0</v>
      </c>
      <c r="H448" s="26">
        <f t="shared" si="9"/>
        <v>44561</v>
      </c>
      <c r="I448" s="75"/>
      <c r="J448" s="62" t="s">
        <v>2018</v>
      </c>
      <c r="K448" s="62" t="s">
        <v>2019</v>
      </c>
      <c r="L448" s="63" t="s">
        <v>35</v>
      </c>
      <c r="M448" s="64">
        <v>69162.0</v>
      </c>
      <c r="N448" s="80" t="s">
        <v>2020</v>
      </c>
      <c r="O448" s="66" t="s">
        <v>2021</v>
      </c>
      <c r="P448" s="37"/>
      <c r="Q448" s="38"/>
      <c r="R448" s="22"/>
      <c r="S448" s="38"/>
      <c r="T448" s="38"/>
      <c r="U448" s="38"/>
      <c r="V448" s="59"/>
      <c r="W448" s="38"/>
      <c r="X448" s="38"/>
      <c r="Y448" s="36" t="str">
        <f t="shared" si="41"/>
        <v>renew</v>
      </c>
      <c r="Z448" s="75"/>
      <c r="AA448" s="75"/>
    </row>
    <row r="449">
      <c r="A449" s="87" t="s">
        <v>550</v>
      </c>
      <c r="B449" s="87" t="s">
        <v>495</v>
      </c>
      <c r="C449" s="142">
        <v>923.0</v>
      </c>
      <c r="D449" s="22" t="str">
        <f t="shared" si="1"/>
        <v>General</v>
      </c>
      <c r="E449" s="23" t="str">
        <f t="shared" si="2"/>
        <v>Lapsed</v>
      </c>
      <c r="F449" s="24">
        <v>1.0</v>
      </c>
      <c r="G449" s="25">
        <v>44318.0</v>
      </c>
      <c r="H449" s="26">
        <f t="shared" si="9"/>
        <v>44561</v>
      </c>
      <c r="I449" s="75"/>
      <c r="J449" s="62" t="s">
        <v>2022</v>
      </c>
      <c r="K449" s="62" t="s">
        <v>1331</v>
      </c>
      <c r="L449" s="63" t="s">
        <v>35</v>
      </c>
      <c r="M449" s="64">
        <v>80736.0</v>
      </c>
      <c r="N449" s="148" t="s">
        <v>2023</v>
      </c>
      <c r="O449" s="66" t="s">
        <v>2024</v>
      </c>
      <c r="P449" s="37"/>
      <c r="Q449" s="38"/>
      <c r="R449" s="22"/>
      <c r="S449" s="38"/>
      <c r="T449" s="38"/>
      <c r="U449" s="38"/>
      <c r="V449" s="59"/>
      <c r="W449" s="38"/>
      <c r="X449" s="38"/>
      <c r="Y449" s="36" t="str">
        <f t="shared" si="41"/>
        <v>renew</v>
      </c>
      <c r="Z449" s="75"/>
      <c r="AA449" s="75"/>
    </row>
    <row r="450">
      <c r="A450" s="87" t="s">
        <v>2025</v>
      </c>
      <c r="B450" s="20" t="s">
        <v>2026</v>
      </c>
      <c r="C450" s="142">
        <v>922.0</v>
      </c>
      <c r="D450" s="22" t="str">
        <f t="shared" si="1"/>
        <v>General</v>
      </c>
      <c r="E450" s="23" t="str">
        <f t="shared" si="2"/>
        <v>Lapsed</v>
      </c>
      <c r="F450" s="24">
        <v>1.0</v>
      </c>
      <c r="G450" s="25">
        <v>45849.0</v>
      </c>
      <c r="H450" s="26">
        <f t="shared" si="9"/>
        <v>46022</v>
      </c>
      <c r="I450" s="21"/>
      <c r="J450" s="62" t="s">
        <v>2027</v>
      </c>
      <c r="K450" s="62" t="s">
        <v>2019</v>
      </c>
      <c r="L450" s="63" t="s">
        <v>244</v>
      </c>
      <c r="M450" s="64">
        <v>69162.0</v>
      </c>
      <c r="N450" s="80" t="s">
        <v>2028</v>
      </c>
      <c r="O450" s="66" t="s">
        <v>2029</v>
      </c>
      <c r="P450" s="37"/>
      <c r="Q450" s="22"/>
      <c r="R450" s="22"/>
      <c r="S450" s="22">
        <v>4.0</v>
      </c>
      <c r="T450" s="22">
        <v>1.0</v>
      </c>
      <c r="U450" s="38"/>
      <c r="V450" s="59"/>
      <c r="W450" s="22" t="s">
        <v>800</v>
      </c>
      <c r="X450" s="38"/>
      <c r="Y450" s="36" t="str">
        <f t="shared" si="41"/>
        <v>renew</v>
      </c>
      <c r="Z450" s="21" t="s">
        <v>27</v>
      </c>
      <c r="AA450" s="21"/>
    </row>
    <row r="451">
      <c r="A451" s="87" t="s">
        <v>2030</v>
      </c>
      <c r="B451" s="87" t="s">
        <v>2031</v>
      </c>
      <c r="C451" s="142">
        <v>921.0</v>
      </c>
      <c r="D451" s="22" t="str">
        <f t="shared" si="1"/>
        <v>General</v>
      </c>
      <c r="E451" s="23" t="str">
        <f t="shared" si="2"/>
        <v>Lapsed</v>
      </c>
      <c r="F451" s="24">
        <v>1.0</v>
      </c>
      <c r="G451" s="25">
        <v>45849.0</v>
      </c>
      <c r="H451" s="26">
        <f t="shared" si="9"/>
        <v>46022</v>
      </c>
      <c r="I451" s="21"/>
      <c r="J451" s="62" t="s">
        <v>2032</v>
      </c>
      <c r="K451" s="62" t="s">
        <v>305</v>
      </c>
      <c r="L451" s="63" t="s">
        <v>35</v>
      </c>
      <c r="M451" s="64">
        <v>80751.0</v>
      </c>
      <c r="N451" s="80" t="s">
        <v>2033</v>
      </c>
      <c r="O451" s="66" t="s">
        <v>2034</v>
      </c>
      <c r="P451" s="37"/>
      <c r="Q451" s="38"/>
      <c r="R451" s="22"/>
      <c r="S451" s="22">
        <v>4.0</v>
      </c>
      <c r="T451" s="22">
        <v>1.0</v>
      </c>
      <c r="U451" s="38"/>
      <c r="V451" s="59"/>
      <c r="W451" s="22" t="s">
        <v>800</v>
      </c>
      <c r="X451" s="38"/>
      <c r="Y451" s="36" t="str">
        <f t="shared" si="41"/>
        <v>renew</v>
      </c>
      <c r="Z451" s="21" t="s">
        <v>27</v>
      </c>
      <c r="AA451" s="75"/>
    </row>
    <row r="452">
      <c r="A452" s="87" t="s">
        <v>2035</v>
      </c>
      <c r="B452" s="87" t="s">
        <v>2036</v>
      </c>
      <c r="C452" s="142">
        <v>920.0</v>
      </c>
      <c r="D452" s="22" t="str">
        <f t="shared" si="1"/>
        <v>General</v>
      </c>
      <c r="E452" s="23" t="str">
        <f t="shared" si="2"/>
        <v>Lapsed</v>
      </c>
      <c r="F452" s="24">
        <v>1.0</v>
      </c>
      <c r="G452" s="25">
        <v>44317.0</v>
      </c>
      <c r="H452" s="26">
        <f t="shared" si="9"/>
        <v>44561</v>
      </c>
      <c r="I452" s="75"/>
      <c r="J452" s="62" t="s">
        <v>2037</v>
      </c>
      <c r="K452" s="62" t="s">
        <v>429</v>
      </c>
      <c r="L452" s="63" t="s">
        <v>35</v>
      </c>
      <c r="M452" s="64">
        <v>80135.0</v>
      </c>
      <c r="N452" s="80" t="s">
        <v>2038</v>
      </c>
      <c r="O452" s="66" t="s">
        <v>2039</v>
      </c>
      <c r="P452" s="37"/>
      <c r="Q452" s="38"/>
      <c r="R452" s="22"/>
      <c r="S452" s="38"/>
      <c r="T452" s="38"/>
      <c r="U452" s="38"/>
      <c r="V452" s="59"/>
      <c r="W452" s="38"/>
      <c r="X452" s="38"/>
      <c r="Y452" s="36" t="str">
        <f t="shared" si="41"/>
        <v>renew</v>
      </c>
      <c r="Z452" s="75"/>
      <c r="AA452" s="75"/>
    </row>
    <row r="453">
      <c r="A453" s="87" t="s">
        <v>2040</v>
      </c>
      <c r="B453" s="87" t="s">
        <v>817</v>
      </c>
      <c r="C453" s="142">
        <v>919.0</v>
      </c>
      <c r="D453" s="22" t="str">
        <f t="shared" si="1"/>
        <v>General</v>
      </c>
      <c r="E453" s="23" t="str">
        <f t="shared" si="2"/>
        <v>Lapsed</v>
      </c>
      <c r="F453" s="24">
        <v>1.0</v>
      </c>
      <c r="G453" s="25">
        <v>44317.0</v>
      </c>
      <c r="H453" s="26">
        <f t="shared" si="9"/>
        <v>44561</v>
      </c>
      <c r="I453" s="75"/>
      <c r="J453" s="62" t="s">
        <v>2041</v>
      </c>
      <c r="K453" s="62" t="s">
        <v>1626</v>
      </c>
      <c r="L453" s="63" t="s">
        <v>35</v>
      </c>
      <c r="M453" s="64">
        <v>80759.0</v>
      </c>
      <c r="N453" s="80" t="s">
        <v>2042</v>
      </c>
      <c r="O453" s="66" t="s">
        <v>2043</v>
      </c>
      <c r="P453" s="37"/>
      <c r="Q453" s="38"/>
      <c r="R453" s="22"/>
      <c r="S453" s="38"/>
      <c r="T453" s="38"/>
      <c r="U453" s="38"/>
      <c r="V453" s="59"/>
      <c r="W453" s="38"/>
      <c r="X453" s="38"/>
      <c r="Y453" s="36" t="str">
        <f t="shared" si="41"/>
        <v>renew</v>
      </c>
      <c r="Z453" s="130"/>
      <c r="AA453" s="27"/>
    </row>
    <row r="454">
      <c r="A454" s="87" t="s">
        <v>2044</v>
      </c>
      <c r="B454" s="87" t="s">
        <v>2045</v>
      </c>
      <c r="C454" s="142">
        <v>918.0</v>
      </c>
      <c r="D454" s="22" t="str">
        <f t="shared" si="1"/>
        <v>General</v>
      </c>
      <c r="E454" s="23" t="str">
        <f t="shared" si="2"/>
        <v>Lapsed</v>
      </c>
      <c r="F454" s="24">
        <v>1.0</v>
      </c>
      <c r="G454" s="25">
        <v>44318.0</v>
      </c>
      <c r="H454" s="26">
        <f t="shared" si="9"/>
        <v>44561</v>
      </c>
      <c r="I454" s="75"/>
      <c r="J454" s="62" t="s">
        <v>2046</v>
      </c>
      <c r="K454" s="62" t="s">
        <v>42</v>
      </c>
      <c r="L454" s="63" t="s">
        <v>35</v>
      </c>
      <c r="M454" s="64">
        <v>80525.0</v>
      </c>
      <c r="N454" s="80" t="s">
        <v>2047</v>
      </c>
      <c r="O454" s="66" t="s">
        <v>2048</v>
      </c>
      <c r="P454" s="37"/>
      <c r="Q454" s="38"/>
      <c r="R454" s="22"/>
      <c r="S454" s="38"/>
      <c r="T454" s="38"/>
      <c r="U454" s="38"/>
      <c r="V454" s="59"/>
      <c r="W454" s="38"/>
      <c r="X454" s="38"/>
      <c r="Y454" s="36" t="str">
        <f t="shared" si="41"/>
        <v>renew</v>
      </c>
      <c r="Z454" s="130"/>
      <c r="AA454" s="27"/>
    </row>
    <row r="455">
      <c r="A455" s="87" t="s">
        <v>2049</v>
      </c>
      <c r="B455" s="87" t="s">
        <v>2050</v>
      </c>
      <c r="C455" s="142">
        <v>917.0</v>
      </c>
      <c r="D455" s="22" t="str">
        <f t="shared" si="1"/>
        <v>General</v>
      </c>
      <c r="E455" s="23" t="str">
        <f t="shared" si="2"/>
        <v>Lapsed</v>
      </c>
      <c r="F455" s="24">
        <v>1.0</v>
      </c>
      <c r="G455" s="25">
        <v>44316.0</v>
      </c>
      <c r="H455" s="26">
        <f t="shared" si="9"/>
        <v>44561</v>
      </c>
      <c r="I455" s="75"/>
      <c r="J455" s="62" t="s">
        <v>2051</v>
      </c>
      <c r="K455" s="62" t="s">
        <v>76</v>
      </c>
      <c r="L455" s="81" t="s">
        <v>35</v>
      </c>
      <c r="M455" s="64">
        <v>81052.0</v>
      </c>
      <c r="N455" s="145"/>
      <c r="O455" s="66" t="s">
        <v>2052</v>
      </c>
      <c r="P455" s="37"/>
      <c r="Q455" s="38"/>
      <c r="R455" s="22"/>
      <c r="S455" s="38"/>
      <c r="T455" s="38"/>
      <c r="U455" s="38"/>
      <c r="V455" s="59"/>
      <c r="W455" s="38"/>
      <c r="X455" s="38"/>
      <c r="Y455" s="36" t="str">
        <f t="shared" si="41"/>
        <v>renew</v>
      </c>
      <c r="Z455" s="130"/>
      <c r="AA455" s="27"/>
    </row>
    <row r="456">
      <c r="A456" s="87" t="s">
        <v>1931</v>
      </c>
      <c r="B456" s="87" t="s">
        <v>2053</v>
      </c>
      <c r="C456" s="142">
        <v>916.0</v>
      </c>
      <c r="D456" s="22" t="str">
        <f t="shared" si="1"/>
        <v>General</v>
      </c>
      <c r="E456" s="23" t="str">
        <f t="shared" si="2"/>
        <v>Lapsed</v>
      </c>
      <c r="F456" s="24">
        <v>1.0</v>
      </c>
      <c r="G456" s="25">
        <v>44318.0</v>
      </c>
      <c r="H456" s="26">
        <f t="shared" si="9"/>
        <v>44561</v>
      </c>
      <c r="I456" s="75"/>
      <c r="J456" s="62" t="s">
        <v>2054</v>
      </c>
      <c r="K456" s="62" t="s">
        <v>42</v>
      </c>
      <c r="L456" s="63" t="s">
        <v>35</v>
      </c>
      <c r="M456" s="64">
        <v>80524.0</v>
      </c>
      <c r="N456" s="80" t="s">
        <v>2055</v>
      </c>
      <c r="O456" s="66" t="s">
        <v>2056</v>
      </c>
      <c r="P456" s="37"/>
      <c r="Q456" s="38"/>
      <c r="R456" s="22"/>
      <c r="S456" s="38"/>
      <c r="T456" s="38"/>
      <c r="U456" s="38"/>
      <c r="V456" s="59"/>
      <c r="W456" s="38"/>
      <c r="X456" s="38"/>
      <c r="Y456" s="36" t="str">
        <f t="shared" si="41"/>
        <v>renew</v>
      </c>
      <c r="Z456" s="130"/>
      <c r="AA456" s="27"/>
    </row>
    <row r="457">
      <c r="A457" s="87" t="s">
        <v>2057</v>
      </c>
      <c r="B457" s="87" t="s">
        <v>2058</v>
      </c>
      <c r="C457" s="142">
        <v>915.0</v>
      </c>
      <c r="D457" s="22" t="str">
        <f t="shared" si="1"/>
        <v>General</v>
      </c>
      <c r="E457" s="23" t="str">
        <f t="shared" si="2"/>
        <v>Lapsed</v>
      </c>
      <c r="F457" s="24">
        <v>1.0</v>
      </c>
      <c r="G457" s="25">
        <v>44318.0</v>
      </c>
      <c r="H457" s="26">
        <f t="shared" si="9"/>
        <v>44561</v>
      </c>
      <c r="I457" s="75"/>
      <c r="J457" s="62" t="s">
        <v>2059</v>
      </c>
      <c r="K457" s="62" t="s">
        <v>2060</v>
      </c>
      <c r="L457" s="63" t="s">
        <v>35</v>
      </c>
      <c r="M457" s="64">
        <v>80758.0</v>
      </c>
      <c r="N457" s="80" t="s">
        <v>2061</v>
      </c>
      <c r="O457" s="66" t="s">
        <v>2062</v>
      </c>
      <c r="P457" s="37"/>
      <c r="Q457" s="38"/>
      <c r="R457" s="22"/>
      <c r="S457" s="38"/>
      <c r="T457" s="38"/>
      <c r="U457" s="38"/>
      <c r="V457" s="59"/>
      <c r="W457" s="38"/>
      <c r="X457" s="38"/>
      <c r="Y457" s="36" t="str">
        <f t="shared" si="41"/>
        <v>renew</v>
      </c>
      <c r="Z457" s="75"/>
      <c r="AA457" s="75"/>
    </row>
    <row r="458">
      <c r="A458" s="87" t="s">
        <v>1498</v>
      </c>
      <c r="B458" s="87" t="s">
        <v>811</v>
      </c>
      <c r="C458" s="142">
        <v>914.0</v>
      </c>
      <c r="D458" s="22" t="str">
        <f t="shared" si="1"/>
        <v>General</v>
      </c>
      <c r="E458" s="23" t="str">
        <f t="shared" si="2"/>
        <v>Lapsed</v>
      </c>
      <c r="F458" s="24">
        <v>1.0</v>
      </c>
      <c r="G458" s="25">
        <v>44927.0</v>
      </c>
      <c r="H458" s="26">
        <f t="shared" si="9"/>
        <v>45291</v>
      </c>
      <c r="I458" s="75"/>
      <c r="J458" s="62" t="s">
        <v>2063</v>
      </c>
      <c r="K458" s="62" t="s">
        <v>42</v>
      </c>
      <c r="L458" s="63" t="s">
        <v>35</v>
      </c>
      <c r="M458" s="64">
        <v>80526.0</v>
      </c>
      <c r="N458" s="80" t="s">
        <v>2064</v>
      </c>
      <c r="O458" s="66" t="s">
        <v>2065</v>
      </c>
      <c r="P458" s="37"/>
      <c r="Q458" s="38"/>
      <c r="R458" s="22"/>
      <c r="S458" s="22"/>
      <c r="T458" s="22"/>
      <c r="U458" s="22">
        <v>1.0</v>
      </c>
      <c r="V458" s="106">
        <v>44927.0</v>
      </c>
      <c r="W458" s="38"/>
      <c r="X458" s="22" t="s">
        <v>800</v>
      </c>
      <c r="Y458" s="36" t="str">
        <f t="shared" si="41"/>
        <v>renew</v>
      </c>
      <c r="Z458" s="75"/>
      <c r="AA458" s="75"/>
    </row>
    <row r="459">
      <c r="A459" s="87" t="s">
        <v>1372</v>
      </c>
      <c r="B459" s="87" t="s">
        <v>2066</v>
      </c>
      <c r="C459" s="142">
        <v>913.0</v>
      </c>
      <c r="D459" s="22" t="str">
        <f t="shared" si="1"/>
        <v>General</v>
      </c>
      <c r="E459" s="23" t="str">
        <f t="shared" si="2"/>
        <v>Lapsed</v>
      </c>
      <c r="F459" s="24">
        <v>1.0</v>
      </c>
      <c r="G459" s="25">
        <v>44319.0</v>
      </c>
      <c r="H459" s="26">
        <f t="shared" si="9"/>
        <v>44561</v>
      </c>
      <c r="I459" s="75"/>
      <c r="J459" s="62" t="s">
        <v>2067</v>
      </c>
      <c r="K459" s="62" t="s">
        <v>2068</v>
      </c>
      <c r="L459" s="63" t="s">
        <v>35</v>
      </c>
      <c r="M459" s="64">
        <v>80908.0</v>
      </c>
      <c r="N459" s="80" t="s">
        <v>2069</v>
      </c>
      <c r="O459" s="66" t="s">
        <v>2070</v>
      </c>
      <c r="P459" s="37"/>
      <c r="Q459" s="38"/>
      <c r="R459" s="22"/>
      <c r="S459" s="38"/>
      <c r="T459" s="38"/>
      <c r="U459" s="38"/>
      <c r="V459" s="59"/>
      <c r="W459" s="38"/>
      <c r="X459" s="38"/>
      <c r="Y459" s="36" t="str">
        <f t="shared" si="41"/>
        <v>renew</v>
      </c>
      <c r="Z459" s="75"/>
      <c r="AA459" s="75"/>
    </row>
    <row r="460">
      <c r="A460" s="87" t="s">
        <v>2071</v>
      </c>
      <c r="B460" s="87" t="s">
        <v>1901</v>
      </c>
      <c r="C460" s="142">
        <v>912.0</v>
      </c>
      <c r="D460" s="22" t="str">
        <f t="shared" si="1"/>
        <v>Youth</v>
      </c>
      <c r="E460" s="23" t="str">
        <f t="shared" si="2"/>
        <v>Lapsed</v>
      </c>
      <c r="F460" s="24">
        <v>1.0</v>
      </c>
      <c r="G460" s="25">
        <v>45068.0</v>
      </c>
      <c r="H460" s="26">
        <f t="shared" si="9"/>
        <v>45291</v>
      </c>
      <c r="I460" s="75"/>
      <c r="J460" s="62" t="s">
        <v>1902</v>
      </c>
      <c r="K460" s="62" t="s">
        <v>164</v>
      </c>
      <c r="L460" s="63" t="s">
        <v>35</v>
      </c>
      <c r="M460" s="64">
        <v>80516.0</v>
      </c>
      <c r="N460" s="80" t="s">
        <v>1903</v>
      </c>
      <c r="O460" s="66" t="s">
        <v>1904</v>
      </c>
      <c r="P460" s="144">
        <v>40559.0</v>
      </c>
      <c r="Q460" s="22">
        <f t="shared" ref="Q460:Q461" si="42">datedif(P460,today(),"Y")</f>
        <v>15</v>
      </c>
      <c r="R460" s="22"/>
      <c r="S460" s="22"/>
      <c r="T460" s="22"/>
      <c r="U460" s="22">
        <v>2.0</v>
      </c>
      <c r="V460" s="35">
        <v>45068.0</v>
      </c>
      <c r="W460" s="22" t="s">
        <v>800</v>
      </c>
      <c r="X460" s="22" t="s">
        <v>800</v>
      </c>
      <c r="Y460" s="36" t="str">
        <f t="shared" si="41"/>
        <v>renew</v>
      </c>
      <c r="Z460" s="130"/>
      <c r="AA460" s="27"/>
    </row>
    <row r="461">
      <c r="A461" s="87" t="s">
        <v>2072</v>
      </c>
      <c r="B461" s="87" t="s">
        <v>2073</v>
      </c>
      <c r="C461" s="142">
        <v>911.0</v>
      </c>
      <c r="D461" s="22" t="str">
        <f t="shared" si="1"/>
        <v>Youth</v>
      </c>
      <c r="E461" s="23" t="str">
        <f t="shared" si="2"/>
        <v>Lapsed</v>
      </c>
      <c r="F461" s="24">
        <v>1.0</v>
      </c>
      <c r="G461" s="25">
        <v>45057.0</v>
      </c>
      <c r="H461" s="26">
        <f t="shared" si="9"/>
        <v>45291</v>
      </c>
      <c r="I461" s="75"/>
      <c r="J461" s="62" t="s">
        <v>2074</v>
      </c>
      <c r="K461" s="62" t="s">
        <v>1780</v>
      </c>
      <c r="L461" s="63" t="s">
        <v>35</v>
      </c>
      <c r="M461" s="64">
        <v>80534.0</v>
      </c>
      <c r="N461" s="80" t="s">
        <v>2075</v>
      </c>
      <c r="O461" s="66" t="s">
        <v>2076</v>
      </c>
      <c r="P461" s="33">
        <v>39425.0</v>
      </c>
      <c r="Q461" s="22">
        <f t="shared" si="42"/>
        <v>18</v>
      </c>
      <c r="R461" s="22"/>
      <c r="S461" s="22"/>
      <c r="T461" s="22"/>
      <c r="U461" s="22">
        <v>2.0</v>
      </c>
      <c r="V461" s="106">
        <v>45057.0</v>
      </c>
      <c r="W461" s="38"/>
      <c r="X461" s="22" t="s">
        <v>800</v>
      </c>
      <c r="Y461" s="36" t="str">
        <f t="shared" si="41"/>
        <v>renew</v>
      </c>
      <c r="Z461" s="130"/>
      <c r="AA461" s="27"/>
    </row>
    <row r="462">
      <c r="A462" s="87" t="s">
        <v>501</v>
      </c>
      <c r="B462" s="87" t="s">
        <v>2077</v>
      </c>
      <c r="C462" s="75">
        <v>910.0</v>
      </c>
      <c r="D462" s="22" t="str">
        <f t="shared" si="1"/>
        <v>General</v>
      </c>
      <c r="E462" s="23" t="str">
        <f t="shared" si="2"/>
        <v>Lapsed</v>
      </c>
      <c r="F462" s="24">
        <v>1.0</v>
      </c>
      <c r="G462" s="44">
        <v>45731.0</v>
      </c>
      <c r="H462" s="26">
        <f t="shared" si="9"/>
        <v>46022</v>
      </c>
      <c r="I462" s="21"/>
      <c r="J462" s="62" t="s">
        <v>2078</v>
      </c>
      <c r="K462" s="62" t="s">
        <v>56</v>
      </c>
      <c r="L462" s="63" t="s">
        <v>57</v>
      </c>
      <c r="M462" s="64">
        <v>82009.0</v>
      </c>
      <c r="N462" s="80" t="s">
        <v>2079</v>
      </c>
      <c r="O462" s="66" t="s">
        <v>2080</v>
      </c>
      <c r="P462" s="37"/>
      <c r="Q462" s="38"/>
      <c r="R462" s="22"/>
      <c r="S462" s="22">
        <v>1.0</v>
      </c>
      <c r="T462" s="22">
        <v>1.0</v>
      </c>
      <c r="U462" s="22">
        <v>1.0</v>
      </c>
      <c r="V462" s="116">
        <v>45039.0</v>
      </c>
      <c r="W462" s="38"/>
      <c r="X462" s="22" t="s">
        <v>800</v>
      </c>
      <c r="Y462" s="36" t="str">
        <f t="shared" si="41"/>
        <v>renew</v>
      </c>
      <c r="Z462" s="27" t="s">
        <v>27</v>
      </c>
      <c r="AA462" s="27"/>
    </row>
    <row r="463">
      <c r="A463" s="87" t="s">
        <v>2081</v>
      </c>
      <c r="B463" s="87" t="s">
        <v>2082</v>
      </c>
      <c r="C463" s="75">
        <v>909.0</v>
      </c>
      <c r="D463" s="22" t="str">
        <f t="shared" si="1"/>
        <v>General</v>
      </c>
      <c r="E463" s="23" t="str">
        <f t="shared" si="2"/>
        <v>Lapsed</v>
      </c>
      <c r="F463" s="24">
        <v>1.0</v>
      </c>
      <c r="G463" s="25">
        <v>44311.0</v>
      </c>
      <c r="H463" s="26">
        <f t="shared" si="9"/>
        <v>44561</v>
      </c>
      <c r="I463" s="75"/>
      <c r="J463" s="62" t="s">
        <v>2083</v>
      </c>
      <c r="K463" s="62" t="s">
        <v>354</v>
      </c>
      <c r="L463" s="63" t="s">
        <v>244</v>
      </c>
      <c r="M463" s="64">
        <v>69101.0</v>
      </c>
      <c r="N463" s="80" t="s">
        <v>2084</v>
      </c>
      <c r="O463" s="66" t="s">
        <v>2085</v>
      </c>
      <c r="P463" s="37"/>
      <c r="Q463" s="38"/>
      <c r="R463" s="22"/>
      <c r="S463" s="38"/>
      <c r="T463" s="38"/>
      <c r="U463" s="38"/>
      <c r="V463" s="59"/>
      <c r="W463" s="38"/>
      <c r="X463" s="38"/>
      <c r="Y463" s="36" t="str">
        <f t="shared" si="41"/>
        <v>renew</v>
      </c>
      <c r="Z463" s="130"/>
      <c r="AA463" s="27"/>
    </row>
    <row r="464">
      <c r="A464" s="87" t="s">
        <v>326</v>
      </c>
      <c r="B464" s="87" t="s">
        <v>2086</v>
      </c>
      <c r="C464" s="75">
        <v>908.0</v>
      </c>
      <c r="D464" s="22" t="str">
        <f t="shared" si="1"/>
        <v>General</v>
      </c>
      <c r="E464" s="23" t="str">
        <f t="shared" si="2"/>
        <v>Lapsed</v>
      </c>
      <c r="F464" s="24">
        <v>1.0</v>
      </c>
      <c r="G464" s="25">
        <v>44271.0</v>
      </c>
      <c r="H464" s="26">
        <f t="shared" si="9"/>
        <v>44561</v>
      </c>
      <c r="I464" s="75"/>
      <c r="J464" s="62" t="s">
        <v>2087</v>
      </c>
      <c r="K464" s="62" t="s">
        <v>1415</v>
      </c>
      <c r="L464" s="63" t="s">
        <v>35</v>
      </c>
      <c r="M464" s="64">
        <v>80118.0</v>
      </c>
      <c r="N464" s="80" t="s">
        <v>2088</v>
      </c>
      <c r="O464" s="66" t="s">
        <v>2089</v>
      </c>
      <c r="P464" s="37"/>
      <c r="Q464" s="38"/>
      <c r="R464" s="22"/>
      <c r="S464" s="38"/>
      <c r="T464" s="38"/>
      <c r="U464" s="38"/>
      <c r="V464" s="59"/>
      <c r="W464" s="38"/>
      <c r="X464" s="38"/>
      <c r="Y464" s="36" t="str">
        <f t="shared" si="41"/>
        <v>renew</v>
      </c>
      <c r="Z464" s="130"/>
      <c r="AA464" s="27"/>
    </row>
    <row r="465">
      <c r="A465" s="87" t="s">
        <v>2090</v>
      </c>
      <c r="B465" s="87" t="s">
        <v>2091</v>
      </c>
      <c r="C465" s="75">
        <v>907.0</v>
      </c>
      <c r="D465" s="22" t="str">
        <f t="shared" si="1"/>
        <v>General</v>
      </c>
      <c r="E465" s="23" t="str">
        <f t="shared" si="2"/>
        <v>Lapsed</v>
      </c>
      <c r="F465" s="24">
        <v>1.0</v>
      </c>
      <c r="G465" s="25">
        <v>44274.0</v>
      </c>
      <c r="H465" s="26">
        <f t="shared" si="9"/>
        <v>44561</v>
      </c>
      <c r="I465" s="75"/>
      <c r="J465" s="62" t="s">
        <v>2092</v>
      </c>
      <c r="K465" s="62" t="s">
        <v>2093</v>
      </c>
      <c r="L465" s="63" t="s">
        <v>57</v>
      </c>
      <c r="M465" s="64">
        <v>82060.0</v>
      </c>
      <c r="N465" s="80" t="s">
        <v>2094</v>
      </c>
      <c r="O465" s="66" t="s">
        <v>2095</v>
      </c>
      <c r="P465" s="37"/>
      <c r="Q465" s="38"/>
      <c r="R465" s="22"/>
      <c r="S465" s="38"/>
      <c r="T465" s="38"/>
      <c r="U465" s="38"/>
      <c r="V465" s="59"/>
      <c r="W465" s="38"/>
      <c r="X465" s="38"/>
      <c r="Y465" s="36" t="str">
        <f t="shared" si="41"/>
        <v>renew</v>
      </c>
      <c r="Z465" s="130"/>
      <c r="AA465" s="27"/>
    </row>
    <row r="466">
      <c r="A466" s="87" t="s">
        <v>2096</v>
      </c>
      <c r="B466" s="87" t="s">
        <v>2097</v>
      </c>
      <c r="C466" s="75">
        <v>906.0</v>
      </c>
      <c r="D466" s="22" t="str">
        <f t="shared" si="1"/>
        <v>General</v>
      </c>
      <c r="E466" s="23" t="str">
        <f t="shared" si="2"/>
        <v>Lapsed</v>
      </c>
      <c r="F466" s="24">
        <v>1.0</v>
      </c>
      <c r="G466" s="25">
        <v>45772.0</v>
      </c>
      <c r="H466" s="26">
        <f t="shared" si="9"/>
        <v>46022</v>
      </c>
      <c r="I466" s="21"/>
      <c r="J466" s="62" t="s">
        <v>2098</v>
      </c>
      <c r="K466" s="62" t="s">
        <v>354</v>
      </c>
      <c r="L466" s="63" t="s">
        <v>244</v>
      </c>
      <c r="M466" s="64">
        <v>69101.0</v>
      </c>
      <c r="N466" s="80" t="s">
        <v>227</v>
      </c>
      <c r="O466" s="66" t="s">
        <v>2099</v>
      </c>
      <c r="P466" s="37"/>
      <c r="Q466" s="38"/>
      <c r="R466" s="22"/>
      <c r="S466" s="22">
        <v>1.0</v>
      </c>
      <c r="T466" s="38"/>
      <c r="U466" s="38"/>
      <c r="V466" s="59"/>
      <c r="W466" s="38"/>
      <c r="X466" s="38"/>
      <c r="Y466" s="36" t="str">
        <f t="shared" si="41"/>
        <v>renew</v>
      </c>
      <c r="Z466" s="21" t="s">
        <v>27</v>
      </c>
      <c r="AA466" s="75"/>
    </row>
    <row r="467">
      <c r="A467" s="87" t="s">
        <v>2100</v>
      </c>
      <c r="B467" s="87" t="s">
        <v>2101</v>
      </c>
      <c r="C467" s="75">
        <v>905.0</v>
      </c>
      <c r="D467" s="22" t="str">
        <f t="shared" si="1"/>
        <v>General</v>
      </c>
      <c r="E467" s="23" t="str">
        <f t="shared" si="2"/>
        <v>Lapsed</v>
      </c>
      <c r="F467" s="24">
        <v>1.0</v>
      </c>
      <c r="G467" s="25">
        <v>44279.0</v>
      </c>
      <c r="H467" s="26">
        <f t="shared" si="9"/>
        <v>44561</v>
      </c>
      <c r="I467" s="75"/>
      <c r="J467" s="62" t="s">
        <v>2102</v>
      </c>
      <c r="K467" s="29" t="s">
        <v>473</v>
      </c>
      <c r="L467" s="63" t="s">
        <v>35</v>
      </c>
      <c r="M467" s="64">
        <v>80602.0</v>
      </c>
      <c r="N467" s="80" t="s">
        <v>2103</v>
      </c>
      <c r="O467" s="66" t="s">
        <v>2104</v>
      </c>
      <c r="P467" s="37"/>
      <c r="Q467" s="38"/>
      <c r="R467" s="22"/>
      <c r="S467" s="38"/>
      <c r="T467" s="38"/>
      <c r="U467" s="38"/>
      <c r="V467" s="59"/>
      <c r="W467" s="38"/>
      <c r="X467" s="38"/>
      <c r="Y467" s="36" t="str">
        <f t="shared" si="41"/>
        <v>renew</v>
      </c>
      <c r="Z467" s="75"/>
      <c r="AA467" s="75"/>
    </row>
    <row r="468">
      <c r="A468" s="87" t="s">
        <v>2105</v>
      </c>
      <c r="B468" s="87" t="s">
        <v>2106</v>
      </c>
      <c r="C468" s="75">
        <v>904.0</v>
      </c>
      <c r="D468" s="22" t="str">
        <f t="shared" si="1"/>
        <v>General</v>
      </c>
      <c r="E468" s="23" t="str">
        <f t="shared" si="2"/>
        <v>Lapsed</v>
      </c>
      <c r="F468" s="24">
        <v>1.0</v>
      </c>
      <c r="G468" s="25">
        <v>45734.0</v>
      </c>
      <c r="H468" s="26">
        <f t="shared" si="9"/>
        <v>46022</v>
      </c>
      <c r="I468" s="21"/>
      <c r="J468" s="29" t="s">
        <v>2107</v>
      </c>
      <c r="K468" s="62" t="s">
        <v>42</v>
      </c>
      <c r="L468" s="63" t="s">
        <v>35</v>
      </c>
      <c r="M468" s="64">
        <v>80526.0</v>
      </c>
      <c r="N468" s="80" t="s">
        <v>2108</v>
      </c>
      <c r="O468" s="66" t="s">
        <v>2109</v>
      </c>
      <c r="P468" s="37"/>
      <c r="Q468" s="38"/>
      <c r="R468" s="22"/>
      <c r="S468" s="22">
        <v>1.0</v>
      </c>
      <c r="T468" s="22">
        <v>1.0</v>
      </c>
      <c r="U468" s="22">
        <v>2.0</v>
      </c>
      <c r="V468" s="107">
        <v>45087.0</v>
      </c>
      <c r="W468" s="22" t="s">
        <v>800</v>
      </c>
      <c r="X468" s="22" t="s">
        <v>800</v>
      </c>
      <c r="Y468" s="36" t="str">
        <f t="shared" si="41"/>
        <v>renew</v>
      </c>
      <c r="Z468" s="21" t="s">
        <v>8</v>
      </c>
      <c r="AA468" s="75"/>
    </row>
    <row r="469">
      <c r="A469" s="87" t="s">
        <v>2110</v>
      </c>
      <c r="B469" s="87" t="s">
        <v>2009</v>
      </c>
      <c r="C469" s="75">
        <v>903.0</v>
      </c>
      <c r="D469" s="22" t="str">
        <f t="shared" si="1"/>
        <v>General</v>
      </c>
      <c r="E469" s="23" t="str">
        <f t="shared" si="2"/>
        <v>Lapsed</v>
      </c>
      <c r="F469" s="24">
        <v>1.0</v>
      </c>
      <c r="G469" s="25">
        <v>44210.0</v>
      </c>
      <c r="H469" s="26">
        <f t="shared" si="9"/>
        <v>44561</v>
      </c>
      <c r="I469" s="75"/>
      <c r="J469" s="62" t="s">
        <v>2111</v>
      </c>
      <c r="K469" s="62" t="s">
        <v>190</v>
      </c>
      <c r="L469" s="63" t="s">
        <v>35</v>
      </c>
      <c r="M469" s="64">
        <v>80538.0</v>
      </c>
      <c r="N469" s="80" t="s">
        <v>2112</v>
      </c>
      <c r="O469" s="66" t="s">
        <v>2113</v>
      </c>
      <c r="P469" s="37"/>
      <c r="Q469" s="38"/>
      <c r="R469" s="22"/>
      <c r="S469" s="38"/>
      <c r="T469" s="38"/>
      <c r="U469" s="38"/>
      <c r="V469" s="59"/>
      <c r="W469" s="38"/>
      <c r="X469" s="38"/>
      <c r="Y469" s="36" t="str">
        <f t="shared" si="41"/>
        <v>renew</v>
      </c>
      <c r="Z469" s="75"/>
      <c r="AA469" s="21"/>
    </row>
    <row r="470">
      <c r="A470" s="87" t="s">
        <v>672</v>
      </c>
      <c r="B470" s="87" t="s">
        <v>2114</v>
      </c>
      <c r="C470" s="75">
        <v>902.0</v>
      </c>
      <c r="D470" s="22" t="str">
        <f t="shared" si="1"/>
        <v>General</v>
      </c>
      <c r="E470" s="23" t="str">
        <f t="shared" si="2"/>
        <v>Lapsed</v>
      </c>
      <c r="F470" s="24">
        <v>1.0</v>
      </c>
      <c r="G470" s="25">
        <v>45742.0</v>
      </c>
      <c r="H470" s="26">
        <f t="shared" si="9"/>
        <v>46022</v>
      </c>
      <c r="I470" s="21"/>
      <c r="J470" s="62" t="s">
        <v>2115</v>
      </c>
      <c r="K470" s="62" t="s">
        <v>190</v>
      </c>
      <c r="L470" s="63" t="s">
        <v>35</v>
      </c>
      <c r="M470" s="64">
        <v>80538.0</v>
      </c>
      <c r="N470" s="80" t="s">
        <v>2116</v>
      </c>
      <c r="O470" s="66" t="s">
        <v>2117</v>
      </c>
      <c r="P470" s="37"/>
      <c r="Q470" s="38"/>
      <c r="R470" s="22"/>
      <c r="S470" s="22">
        <v>1.0</v>
      </c>
      <c r="T470" s="22">
        <v>1.0</v>
      </c>
      <c r="U470" s="22">
        <v>2.0</v>
      </c>
      <c r="V470" s="116">
        <v>45150.0</v>
      </c>
      <c r="W470" s="22" t="s">
        <v>800</v>
      </c>
      <c r="X470" s="22" t="s">
        <v>800</v>
      </c>
      <c r="Y470" s="36" t="str">
        <f t="shared" si="41"/>
        <v>renew</v>
      </c>
      <c r="Z470" s="21" t="s">
        <v>8</v>
      </c>
      <c r="AA470" s="21"/>
    </row>
    <row r="471">
      <c r="A471" s="149" t="s">
        <v>488</v>
      </c>
      <c r="B471" s="87" t="s">
        <v>2118</v>
      </c>
      <c r="C471" s="142">
        <v>901.0</v>
      </c>
      <c r="D471" s="22" t="str">
        <f t="shared" si="1"/>
        <v>General</v>
      </c>
      <c r="E471" s="23" t="str">
        <f t="shared" si="2"/>
        <v>Lapsed</v>
      </c>
      <c r="F471" s="24">
        <v>1.0</v>
      </c>
      <c r="G471" s="155">
        <v>44463.0</v>
      </c>
      <c r="H471" s="26">
        <f t="shared" si="9"/>
        <v>44561</v>
      </c>
      <c r="I471" s="75"/>
      <c r="J471" s="62" t="s">
        <v>2119</v>
      </c>
      <c r="K471" s="62" t="s">
        <v>2000</v>
      </c>
      <c r="L471" s="151" t="s">
        <v>57</v>
      </c>
      <c r="M471" s="152">
        <v>82601.0</v>
      </c>
      <c r="N471" s="80" t="s">
        <v>2120</v>
      </c>
      <c r="O471" s="66" t="s">
        <v>2121</v>
      </c>
      <c r="P471" s="37"/>
      <c r="Q471" s="38"/>
      <c r="R471" s="22"/>
      <c r="S471" s="38"/>
      <c r="T471" s="38"/>
      <c r="U471" s="38"/>
      <c r="V471" s="59"/>
      <c r="W471" s="38"/>
      <c r="X471" s="38"/>
      <c r="Y471" s="36" t="str">
        <f t="shared" si="41"/>
        <v>renew</v>
      </c>
      <c r="Z471" s="75"/>
      <c r="AA471" s="75"/>
    </row>
    <row r="472">
      <c r="A472" s="87" t="s">
        <v>2122</v>
      </c>
      <c r="B472" s="87" t="s">
        <v>2123</v>
      </c>
      <c r="C472" s="75">
        <v>900.0</v>
      </c>
      <c r="D472" s="22" t="str">
        <f t="shared" si="1"/>
        <v>General</v>
      </c>
      <c r="E472" s="23" t="str">
        <f t="shared" si="2"/>
        <v>Lapsed</v>
      </c>
      <c r="F472" s="24">
        <v>1.0</v>
      </c>
      <c r="G472" s="155">
        <v>44463.0</v>
      </c>
      <c r="H472" s="26">
        <f t="shared" si="9"/>
        <v>44561</v>
      </c>
      <c r="I472" s="75"/>
      <c r="J472" s="62" t="s">
        <v>2124</v>
      </c>
      <c r="K472" s="62" t="s">
        <v>190</v>
      </c>
      <c r="L472" s="63" t="s">
        <v>35</v>
      </c>
      <c r="M472" s="64">
        <v>80538.0</v>
      </c>
      <c r="N472" s="80" t="s">
        <v>2125</v>
      </c>
      <c r="O472" s="66" t="s">
        <v>2126</v>
      </c>
      <c r="P472" s="37"/>
      <c r="Q472" s="38"/>
      <c r="R472" s="22"/>
      <c r="S472" s="38"/>
      <c r="T472" s="38"/>
      <c r="U472" s="38"/>
      <c r="V472" s="59"/>
      <c r="W472" s="38"/>
      <c r="X472" s="38"/>
      <c r="Y472" s="36" t="str">
        <f t="shared" si="41"/>
        <v>renew</v>
      </c>
      <c r="Z472" s="75"/>
      <c r="AA472" s="75"/>
    </row>
    <row r="473">
      <c r="A473" s="87" t="s">
        <v>1412</v>
      </c>
      <c r="B473" s="87" t="s">
        <v>2127</v>
      </c>
      <c r="C473" s="75">
        <v>899.0</v>
      </c>
      <c r="D473" s="22" t="str">
        <f t="shared" si="1"/>
        <v>General</v>
      </c>
      <c r="E473" s="23" t="str">
        <f t="shared" si="2"/>
        <v>Lapsed</v>
      </c>
      <c r="F473" s="24">
        <v>1.0</v>
      </c>
      <c r="G473" s="25">
        <v>44481.0</v>
      </c>
      <c r="H473" s="26">
        <f t="shared" si="9"/>
        <v>44561</v>
      </c>
      <c r="I473" s="75"/>
      <c r="J473" s="62" t="s">
        <v>2128</v>
      </c>
      <c r="K473" s="62" t="s">
        <v>1780</v>
      </c>
      <c r="L473" s="63" t="s">
        <v>35</v>
      </c>
      <c r="M473" s="64">
        <v>80534.0</v>
      </c>
      <c r="N473" s="80" t="s">
        <v>2129</v>
      </c>
      <c r="O473" s="66" t="s">
        <v>2130</v>
      </c>
      <c r="P473" s="37"/>
      <c r="Q473" s="38"/>
      <c r="R473" s="22"/>
      <c r="S473" s="38"/>
      <c r="T473" s="38"/>
      <c r="U473" s="38"/>
      <c r="V473" s="59"/>
      <c r="W473" s="22" t="s">
        <v>800</v>
      </c>
      <c r="X473" s="38"/>
      <c r="Y473" s="36" t="str">
        <f t="shared" si="41"/>
        <v>renew</v>
      </c>
      <c r="Z473" s="75"/>
      <c r="AA473" s="75"/>
    </row>
    <row r="474">
      <c r="A474" s="87" t="s">
        <v>308</v>
      </c>
      <c r="B474" s="87" t="s">
        <v>2131</v>
      </c>
      <c r="C474" s="75">
        <v>898.0</v>
      </c>
      <c r="D474" s="22" t="str">
        <f t="shared" si="1"/>
        <v>General</v>
      </c>
      <c r="E474" s="23" t="str">
        <f t="shared" si="2"/>
        <v>Lapsed</v>
      </c>
      <c r="F474" s="24">
        <v>1.0</v>
      </c>
      <c r="G474" s="25">
        <v>44751.0</v>
      </c>
      <c r="H474" s="26">
        <f t="shared" si="9"/>
        <v>44926</v>
      </c>
      <c r="I474" s="75"/>
      <c r="J474" s="62" t="s">
        <v>2132</v>
      </c>
      <c r="K474" s="62" t="s">
        <v>190</v>
      </c>
      <c r="L474" s="63" t="s">
        <v>35</v>
      </c>
      <c r="M474" s="64">
        <v>80538.0</v>
      </c>
      <c r="N474" s="80" t="s">
        <v>2133</v>
      </c>
      <c r="O474" s="66" t="s">
        <v>2134</v>
      </c>
      <c r="P474" s="37"/>
      <c r="Q474" s="38"/>
      <c r="R474" s="22"/>
      <c r="S474" s="22"/>
      <c r="T474" s="22"/>
      <c r="U474" s="22"/>
      <c r="V474" s="59"/>
      <c r="W474" s="22" t="s">
        <v>800</v>
      </c>
      <c r="X474" s="38"/>
      <c r="Y474" s="36" t="str">
        <f t="shared" si="41"/>
        <v>renew</v>
      </c>
      <c r="Z474" s="75"/>
      <c r="AA474" s="75"/>
    </row>
    <row r="475">
      <c r="A475" s="87" t="s">
        <v>1200</v>
      </c>
      <c r="B475" s="87" t="s">
        <v>1749</v>
      </c>
      <c r="C475" s="75">
        <v>897.0</v>
      </c>
      <c r="D475" s="22" t="str">
        <f t="shared" si="1"/>
        <v>General</v>
      </c>
      <c r="E475" s="23" t="str">
        <f t="shared" si="2"/>
        <v>Lapsed</v>
      </c>
      <c r="F475" s="24">
        <v>1.0</v>
      </c>
      <c r="G475" s="25">
        <v>45771.0</v>
      </c>
      <c r="H475" s="26">
        <f t="shared" si="9"/>
        <v>46022</v>
      </c>
      <c r="I475" s="21"/>
      <c r="J475" s="62" t="s">
        <v>2135</v>
      </c>
      <c r="K475" s="62" t="s">
        <v>42</v>
      </c>
      <c r="L475" s="63" t="s">
        <v>35</v>
      </c>
      <c r="M475" s="64">
        <v>80524.0</v>
      </c>
      <c r="N475" s="80" t="s">
        <v>2136</v>
      </c>
      <c r="O475" s="66" t="s">
        <v>2137</v>
      </c>
      <c r="P475" s="37"/>
      <c r="Q475" s="38"/>
      <c r="R475" s="22"/>
      <c r="S475" s="22">
        <v>1.0</v>
      </c>
      <c r="T475" s="22">
        <v>1.0</v>
      </c>
      <c r="U475" s="22">
        <v>3.0</v>
      </c>
      <c r="V475" s="116">
        <v>45187.0</v>
      </c>
      <c r="W475" s="22" t="s">
        <v>800</v>
      </c>
      <c r="X475" s="22" t="s">
        <v>800</v>
      </c>
      <c r="Y475" s="36" t="str">
        <f t="shared" si="41"/>
        <v>renew</v>
      </c>
      <c r="Z475" s="21" t="s">
        <v>27</v>
      </c>
      <c r="AA475" s="75"/>
    </row>
    <row r="476">
      <c r="A476" s="87" t="s">
        <v>2138</v>
      </c>
      <c r="B476" s="87" t="s">
        <v>2139</v>
      </c>
      <c r="C476" s="75">
        <v>896.0</v>
      </c>
      <c r="D476" s="22" t="str">
        <f t="shared" si="1"/>
        <v>General</v>
      </c>
      <c r="E476" s="23" t="str">
        <f t="shared" si="2"/>
        <v>Lapsed</v>
      </c>
      <c r="F476" s="24">
        <v>1.0</v>
      </c>
      <c r="G476" s="155">
        <v>44463.0</v>
      </c>
      <c r="H476" s="26">
        <f t="shared" si="9"/>
        <v>44561</v>
      </c>
      <c r="I476" s="75"/>
      <c r="J476" s="62" t="s">
        <v>2140</v>
      </c>
      <c r="K476" s="62" t="s">
        <v>2141</v>
      </c>
      <c r="L476" s="63" t="s">
        <v>57</v>
      </c>
      <c r="M476" s="64">
        <v>82051.0</v>
      </c>
      <c r="N476" s="80" t="s">
        <v>2142</v>
      </c>
      <c r="O476" s="66" t="s">
        <v>2143</v>
      </c>
      <c r="P476" s="37"/>
      <c r="Q476" s="38"/>
      <c r="R476" s="22"/>
      <c r="S476" s="38"/>
      <c r="T476" s="38"/>
      <c r="U476" s="38"/>
      <c r="V476" s="59"/>
      <c r="W476" s="38"/>
      <c r="X476" s="38"/>
      <c r="Y476" s="36" t="str">
        <f t="shared" si="41"/>
        <v>renew</v>
      </c>
      <c r="Z476" s="130"/>
      <c r="AA476" s="27"/>
    </row>
    <row r="477">
      <c r="A477" s="87" t="s">
        <v>2144</v>
      </c>
      <c r="B477" s="87" t="s">
        <v>2145</v>
      </c>
      <c r="C477" s="75">
        <v>895.0</v>
      </c>
      <c r="D477" s="22" t="str">
        <f t="shared" si="1"/>
        <v>General</v>
      </c>
      <c r="E477" s="23" t="str">
        <f t="shared" si="2"/>
        <v>Lapsed</v>
      </c>
      <c r="F477" s="24">
        <v>1.0</v>
      </c>
      <c r="G477" s="155">
        <v>44463.0</v>
      </c>
      <c r="H477" s="26">
        <f t="shared" si="9"/>
        <v>44561</v>
      </c>
      <c r="I477" s="75"/>
      <c r="J477" s="62" t="s">
        <v>2146</v>
      </c>
      <c r="K477" s="62" t="s">
        <v>42</v>
      </c>
      <c r="L477" s="63" t="s">
        <v>35</v>
      </c>
      <c r="M477" s="64">
        <v>80524.0</v>
      </c>
      <c r="N477" s="80" t="s">
        <v>2147</v>
      </c>
      <c r="O477" s="66" t="s">
        <v>2148</v>
      </c>
      <c r="P477" s="37"/>
      <c r="Q477" s="38"/>
      <c r="R477" s="22"/>
      <c r="S477" s="38"/>
      <c r="T477" s="38"/>
      <c r="U477" s="38"/>
      <c r="V477" s="59"/>
      <c r="W477" s="38"/>
      <c r="X477" s="38"/>
      <c r="Y477" s="36" t="str">
        <f t="shared" si="41"/>
        <v>renew</v>
      </c>
      <c r="Z477" s="130"/>
      <c r="AA477" s="27"/>
    </row>
    <row r="478">
      <c r="A478" s="87" t="s">
        <v>663</v>
      </c>
      <c r="B478" s="87" t="s">
        <v>237</v>
      </c>
      <c r="C478" s="75">
        <v>894.0</v>
      </c>
      <c r="D478" s="22" t="str">
        <f t="shared" si="1"/>
        <v>General</v>
      </c>
      <c r="E478" s="23" t="str">
        <f t="shared" si="2"/>
        <v>Lapsed</v>
      </c>
      <c r="F478" s="24">
        <v>1.0</v>
      </c>
      <c r="G478" s="25">
        <v>44751.0</v>
      </c>
      <c r="H478" s="26">
        <f t="shared" si="9"/>
        <v>44926</v>
      </c>
      <c r="I478" s="21"/>
      <c r="J478" s="29" t="s">
        <v>2149</v>
      </c>
      <c r="K478" s="62" t="s">
        <v>56</v>
      </c>
      <c r="L478" s="63" t="s">
        <v>57</v>
      </c>
      <c r="M478" s="64">
        <v>82009.0</v>
      </c>
      <c r="N478" s="156" t="s">
        <v>2150</v>
      </c>
      <c r="O478" s="66" t="s">
        <v>2151</v>
      </c>
      <c r="P478" s="37"/>
      <c r="Q478" s="38"/>
      <c r="R478" s="22"/>
      <c r="S478" s="22"/>
      <c r="T478" s="22"/>
      <c r="U478" s="22"/>
      <c r="V478" s="59"/>
      <c r="W478" s="22" t="s">
        <v>800</v>
      </c>
      <c r="X478" s="38"/>
      <c r="Y478" s="36" t="str">
        <f t="shared" si="41"/>
        <v>renew</v>
      </c>
      <c r="Z478" s="27"/>
      <c r="AA478" s="27"/>
    </row>
    <row r="479">
      <c r="A479" s="87" t="s">
        <v>2152</v>
      </c>
      <c r="B479" s="87" t="s">
        <v>2153</v>
      </c>
      <c r="C479" s="75">
        <v>893.0</v>
      </c>
      <c r="D479" s="22" t="str">
        <f t="shared" si="1"/>
        <v>General</v>
      </c>
      <c r="E479" s="23" t="str">
        <f t="shared" si="2"/>
        <v>Lapsed</v>
      </c>
      <c r="F479" s="24">
        <v>1.0</v>
      </c>
      <c r="G479" s="155">
        <v>44463.0</v>
      </c>
      <c r="H479" s="26">
        <f t="shared" si="9"/>
        <v>44561</v>
      </c>
      <c r="I479" s="75"/>
      <c r="J479" s="62" t="s">
        <v>2154</v>
      </c>
      <c r="K479" s="62" t="s">
        <v>761</v>
      </c>
      <c r="L479" s="63" t="s">
        <v>35</v>
      </c>
      <c r="M479" s="64">
        <v>80401.0</v>
      </c>
      <c r="N479" s="80" t="s">
        <v>2155</v>
      </c>
      <c r="O479" s="66" t="s">
        <v>2156</v>
      </c>
      <c r="P479" s="37"/>
      <c r="Q479" s="38"/>
      <c r="R479" s="22"/>
      <c r="S479" s="38"/>
      <c r="T479" s="38"/>
      <c r="U479" s="38"/>
      <c r="V479" s="59"/>
      <c r="W479" s="38"/>
      <c r="X479" s="38"/>
      <c r="Y479" s="36" t="str">
        <f t="shared" si="41"/>
        <v>renew</v>
      </c>
      <c r="Z479" s="130"/>
      <c r="AA479" s="27"/>
    </row>
    <row r="480">
      <c r="A480" s="87" t="s">
        <v>2157</v>
      </c>
      <c r="B480" s="87" t="s">
        <v>2158</v>
      </c>
      <c r="C480" s="75">
        <v>892.0</v>
      </c>
      <c r="D480" s="22" t="str">
        <f t="shared" si="1"/>
        <v>General</v>
      </c>
      <c r="E480" s="23" t="str">
        <f t="shared" si="2"/>
        <v>Lapsed</v>
      </c>
      <c r="F480" s="24">
        <v>1.0</v>
      </c>
      <c r="G480" s="25">
        <v>44786.0</v>
      </c>
      <c r="H480" s="26">
        <f t="shared" si="9"/>
        <v>44926</v>
      </c>
      <c r="I480" s="75"/>
      <c r="J480" s="62" t="s">
        <v>2159</v>
      </c>
      <c r="K480" s="62" t="s">
        <v>2160</v>
      </c>
      <c r="L480" s="63" t="s">
        <v>244</v>
      </c>
      <c r="M480" s="64">
        <v>69140.0</v>
      </c>
      <c r="N480" s="80" t="s">
        <v>2161</v>
      </c>
      <c r="O480" s="66" t="s">
        <v>2162</v>
      </c>
      <c r="P480" s="37"/>
      <c r="Q480" s="38"/>
      <c r="R480" s="22"/>
      <c r="S480" s="38"/>
      <c r="T480" s="38"/>
      <c r="U480" s="38"/>
      <c r="V480" s="59"/>
      <c r="W480" s="22" t="s">
        <v>800</v>
      </c>
      <c r="X480" s="38"/>
      <c r="Y480" s="36" t="str">
        <f t="shared" si="41"/>
        <v>renew</v>
      </c>
      <c r="Z480" s="130"/>
      <c r="AA480" s="27"/>
    </row>
    <row r="481">
      <c r="A481" s="87" t="s">
        <v>2160</v>
      </c>
      <c r="B481" s="87" t="s">
        <v>2163</v>
      </c>
      <c r="C481" s="75">
        <v>891.0</v>
      </c>
      <c r="D481" s="22" t="str">
        <f t="shared" si="1"/>
        <v>General</v>
      </c>
      <c r="E481" s="23" t="str">
        <f t="shared" si="2"/>
        <v>Lapsed</v>
      </c>
      <c r="F481" s="24">
        <v>1.0</v>
      </c>
      <c r="G481" s="25">
        <v>45150.0</v>
      </c>
      <c r="H481" s="26">
        <f t="shared" si="9"/>
        <v>45291</v>
      </c>
      <c r="I481" s="75"/>
      <c r="J481" s="62" t="s">
        <v>2164</v>
      </c>
      <c r="K481" s="62" t="s">
        <v>42</v>
      </c>
      <c r="L481" s="81" t="s">
        <v>35</v>
      </c>
      <c r="M481" s="64">
        <v>80524.0</v>
      </c>
      <c r="N481" s="145"/>
      <c r="O481" s="66" t="s">
        <v>2165</v>
      </c>
      <c r="P481" s="37"/>
      <c r="Q481" s="38"/>
      <c r="R481" s="22"/>
      <c r="S481" s="22"/>
      <c r="T481" s="22"/>
      <c r="U481" s="22">
        <v>3.0</v>
      </c>
      <c r="V481" s="35">
        <v>45150.0</v>
      </c>
      <c r="W481" s="38"/>
      <c r="X481" s="22" t="s">
        <v>800</v>
      </c>
      <c r="Y481" s="36" t="str">
        <f t="shared" si="41"/>
        <v>renew</v>
      </c>
      <c r="Z481" s="130"/>
      <c r="AA481" s="27"/>
    </row>
    <row r="482">
      <c r="A482" s="87" t="s">
        <v>2166</v>
      </c>
      <c r="B482" s="87" t="s">
        <v>368</v>
      </c>
      <c r="C482" s="75">
        <v>890.0</v>
      </c>
      <c r="D482" s="22" t="str">
        <f t="shared" si="1"/>
        <v>General</v>
      </c>
      <c r="E482" s="23" t="str">
        <f t="shared" si="2"/>
        <v>Lapsed</v>
      </c>
      <c r="F482" s="24">
        <v>1.0</v>
      </c>
      <c r="G482" s="25">
        <v>44494.0</v>
      </c>
      <c r="H482" s="26">
        <f t="shared" si="9"/>
        <v>44561</v>
      </c>
      <c r="I482" s="75"/>
      <c r="J482" s="62" t="s">
        <v>2167</v>
      </c>
      <c r="K482" s="62" t="s">
        <v>329</v>
      </c>
      <c r="L482" s="63" t="s">
        <v>35</v>
      </c>
      <c r="M482" s="64">
        <v>80645.0</v>
      </c>
      <c r="N482" s="80" t="s">
        <v>2168</v>
      </c>
      <c r="O482" s="66" t="s">
        <v>2169</v>
      </c>
      <c r="P482" s="37"/>
      <c r="Q482" s="38"/>
      <c r="R482" s="22"/>
      <c r="S482" s="38"/>
      <c r="T482" s="38"/>
      <c r="U482" s="38"/>
      <c r="V482" s="59"/>
      <c r="W482" s="22" t="s">
        <v>800</v>
      </c>
      <c r="X482" s="38"/>
      <c r="Y482" s="36" t="str">
        <f t="shared" si="41"/>
        <v>renew</v>
      </c>
      <c r="Z482" s="75"/>
      <c r="AA482" s="75"/>
    </row>
    <row r="483">
      <c r="A483" s="20" t="s">
        <v>2170</v>
      </c>
      <c r="B483" s="87" t="s">
        <v>2171</v>
      </c>
      <c r="C483" s="75">
        <v>889.0</v>
      </c>
      <c r="D483" s="22" t="str">
        <f t="shared" si="1"/>
        <v>General</v>
      </c>
      <c r="E483" s="23" t="str">
        <f t="shared" si="2"/>
        <v>Lapsed</v>
      </c>
      <c r="F483" s="24">
        <v>1.0</v>
      </c>
      <c r="G483" s="25">
        <v>45801.0</v>
      </c>
      <c r="H483" s="26">
        <f t="shared" si="9"/>
        <v>46022</v>
      </c>
      <c r="I483" s="21"/>
      <c r="J483" s="62" t="s">
        <v>2172</v>
      </c>
      <c r="K483" s="62" t="s">
        <v>89</v>
      </c>
      <c r="L483" s="63" t="s">
        <v>35</v>
      </c>
      <c r="M483" s="64">
        <v>80549.0</v>
      </c>
      <c r="N483" s="80" t="s">
        <v>2173</v>
      </c>
      <c r="O483" s="66" t="s">
        <v>2174</v>
      </c>
      <c r="P483" s="37"/>
      <c r="Q483" s="38"/>
      <c r="R483" s="22"/>
      <c r="S483" s="22">
        <v>1.0</v>
      </c>
      <c r="T483" s="22">
        <v>1.0</v>
      </c>
      <c r="U483" s="22">
        <v>2.0</v>
      </c>
      <c r="V483" s="116">
        <v>45150.0</v>
      </c>
      <c r="W483" s="22" t="s">
        <v>800</v>
      </c>
      <c r="X483" s="22" t="s">
        <v>800</v>
      </c>
      <c r="Y483" s="36" t="str">
        <f t="shared" si="41"/>
        <v>renew</v>
      </c>
      <c r="Z483" s="21" t="s">
        <v>27</v>
      </c>
      <c r="AA483" s="21"/>
    </row>
    <row r="484">
      <c r="A484" s="87" t="s">
        <v>2175</v>
      </c>
      <c r="B484" s="87" t="s">
        <v>2176</v>
      </c>
      <c r="C484" s="75">
        <v>888.0</v>
      </c>
      <c r="D484" s="22" t="str">
        <f t="shared" si="1"/>
        <v>General</v>
      </c>
      <c r="E484" s="23" t="str">
        <f t="shared" si="2"/>
        <v>Lapsed</v>
      </c>
      <c r="F484" s="24">
        <v>1.0</v>
      </c>
      <c r="G484" s="25">
        <v>45827.0</v>
      </c>
      <c r="H484" s="26">
        <f t="shared" si="9"/>
        <v>46022</v>
      </c>
      <c r="I484" s="75"/>
      <c r="J484" s="62" t="s">
        <v>2177</v>
      </c>
      <c r="K484" s="62" t="s">
        <v>42</v>
      </c>
      <c r="L484" s="63" t="s">
        <v>35</v>
      </c>
      <c r="M484" s="64">
        <v>80528.0</v>
      </c>
      <c r="N484" s="80" t="s">
        <v>2178</v>
      </c>
      <c r="O484" s="66" t="s">
        <v>2179</v>
      </c>
      <c r="P484" s="37"/>
      <c r="Q484" s="38"/>
      <c r="R484" s="22"/>
      <c r="S484" s="22">
        <v>2.0</v>
      </c>
      <c r="T484" s="22"/>
      <c r="U484" s="22">
        <v>1.0</v>
      </c>
      <c r="V484" s="106">
        <v>45018.0</v>
      </c>
      <c r="W484" s="38"/>
      <c r="X484" s="22" t="s">
        <v>800</v>
      </c>
      <c r="Y484" s="36" t="str">
        <f t="shared" si="41"/>
        <v>renew</v>
      </c>
      <c r="Z484" s="75"/>
      <c r="AA484" s="21"/>
    </row>
    <row r="485">
      <c r="A485" s="87" t="s">
        <v>2180</v>
      </c>
      <c r="B485" s="87" t="s">
        <v>1480</v>
      </c>
      <c r="C485" s="75">
        <v>887.0</v>
      </c>
      <c r="D485" s="22" t="str">
        <f t="shared" si="1"/>
        <v>General</v>
      </c>
      <c r="E485" s="23" t="str">
        <f t="shared" si="2"/>
        <v>Lapsed</v>
      </c>
      <c r="F485" s="24">
        <v>1.0</v>
      </c>
      <c r="G485" s="25">
        <v>44786.0</v>
      </c>
      <c r="H485" s="26">
        <f t="shared" si="9"/>
        <v>44926</v>
      </c>
      <c r="I485" s="75"/>
      <c r="J485" s="62" t="s">
        <v>1481</v>
      </c>
      <c r="K485" s="62" t="s">
        <v>1482</v>
      </c>
      <c r="L485" s="63" t="s">
        <v>57</v>
      </c>
      <c r="M485" s="64">
        <v>82633.0</v>
      </c>
      <c r="N485" s="80" t="s">
        <v>2181</v>
      </c>
      <c r="O485" s="66" t="s">
        <v>2182</v>
      </c>
      <c r="P485" s="37"/>
      <c r="Q485" s="38"/>
      <c r="R485" s="22"/>
      <c r="S485" s="38"/>
      <c r="T485" s="38"/>
      <c r="U485" s="38"/>
      <c r="V485" s="59"/>
      <c r="W485" s="22" t="s">
        <v>800</v>
      </c>
      <c r="X485" s="38"/>
      <c r="Y485" s="36" t="str">
        <f t="shared" si="41"/>
        <v>renew</v>
      </c>
      <c r="Z485" s="75"/>
      <c r="AA485" s="75"/>
    </row>
    <row r="486">
      <c r="A486" s="87" t="s">
        <v>2183</v>
      </c>
      <c r="B486" s="87" t="s">
        <v>2184</v>
      </c>
      <c r="C486" s="75">
        <v>886.0</v>
      </c>
      <c r="D486" s="22" t="str">
        <f t="shared" si="1"/>
        <v>General</v>
      </c>
      <c r="E486" s="23" t="str">
        <f t="shared" si="2"/>
        <v>Active</v>
      </c>
      <c r="F486" s="24">
        <v>3.0</v>
      </c>
      <c r="G486" s="25">
        <v>46081.0</v>
      </c>
      <c r="H486" s="26">
        <f t="shared" si="9"/>
        <v>47118</v>
      </c>
      <c r="I486" s="21" t="s">
        <v>27</v>
      </c>
      <c r="J486" s="62" t="s">
        <v>2185</v>
      </c>
      <c r="K486" s="62" t="s">
        <v>56</v>
      </c>
      <c r="L486" s="63" t="s">
        <v>57</v>
      </c>
      <c r="M486" s="64">
        <v>82009.0</v>
      </c>
      <c r="N486" s="80" t="s">
        <v>59</v>
      </c>
      <c r="O486" s="66" t="s">
        <v>60</v>
      </c>
      <c r="P486" s="37"/>
      <c r="Q486" s="38"/>
      <c r="R486" s="22"/>
      <c r="S486" s="22">
        <v>1.0</v>
      </c>
      <c r="T486" s="22">
        <v>1.0</v>
      </c>
      <c r="U486" s="22"/>
      <c r="V486" s="59"/>
      <c r="W486" s="22" t="s">
        <v>800</v>
      </c>
      <c r="X486" s="38"/>
      <c r="Y486" s="36" t="s">
        <v>45</v>
      </c>
      <c r="Z486" s="27" t="s">
        <v>8</v>
      </c>
      <c r="AA486" s="27"/>
    </row>
    <row r="487">
      <c r="A487" s="87" t="s">
        <v>2186</v>
      </c>
      <c r="B487" s="87" t="s">
        <v>1301</v>
      </c>
      <c r="C487" s="75">
        <v>885.0</v>
      </c>
      <c r="D487" s="22" t="str">
        <f t="shared" si="1"/>
        <v>General</v>
      </c>
      <c r="E487" s="23" t="str">
        <f t="shared" si="2"/>
        <v>Lapsed</v>
      </c>
      <c r="F487" s="24">
        <v>1.0</v>
      </c>
      <c r="G487" s="155">
        <v>44416.0</v>
      </c>
      <c r="H487" s="26">
        <f t="shared" si="9"/>
        <v>44561</v>
      </c>
      <c r="I487" s="75"/>
      <c r="J487" s="29" t="s">
        <v>2187</v>
      </c>
      <c r="K487" s="62" t="s">
        <v>243</v>
      </c>
      <c r="L487" s="63" t="s">
        <v>244</v>
      </c>
      <c r="M487" s="64">
        <v>69357.0</v>
      </c>
      <c r="N487" s="80" t="s">
        <v>2188</v>
      </c>
      <c r="O487" s="66" t="s">
        <v>2189</v>
      </c>
      <c r="P487" s="37"/>
      <c r="Q487" s="38"/>
      <c r="R487" s="22"/>
      <c r="S487" s="38"/>
      <c r="T487" s="38"/>
      <c r="U487" s="38"/>
      <c r="V487" s="59"/>
      <c r="W487" s="38"/>
      <c r="X487" s="38"/>
      <c r="Y487" s="36" t="str">
        <f t="shared" ref="Y487:Y542" si="43">if(E487="Active","send","renew")</f>
        <v>renew</v>
      </c>
      <c r="Z487" s="130"/>
      <c r="AA487" s="27"/>
    </row>
    <row r="488">
      <c r="A488" s="87" t="s">
        <v>2190</v>
      </c>
      <c r="B488" s="87" t="s">
        <v>1301</v>
      </c>
      <c r="C488" s="75">
        <v>884.0</v>
      </c>
      <c r="D488" s="22" t="str">
        <f t="shared" si="1"/>
        <v>General</v>
      </c>
      <c r="E488" s="23" t="str">
        <f t="shared" si="2"/>
        <v>Lapsed</v>
      </c>
      <c r="F488" s="24">
        <v>1.0</v>
      </c>
      <c r="G488" s="155">
        <v>44416.0</v>
      </c>
      <c r="H488" s="26">
        <f t="shared" si="9"/>
        <v>44561</v>
      </c>
      <c r="I488" s="75"/>
      <c r="J488" s="62" t="s">
        <v>2191</v>
      </c>
      <c r="K488" s="62" t="s">
        <v>2192</v>
      </c>
      <c r="L488" s="63" t="s">
        <v>57</v>
      </c>
      <c r="M488" s="64">
        <v>82243.0</v>
      </c>
      <c r="N488" s="131"/>
      <c r="O488" s="66" t="s">
        <v>2193</v>
      </c>
      <c r="P488" s="37"/>
      <c r="Q488" s="38"/>
      <c r="R488" s="22"/>
      <c r="S488" s="38"/>
      <c r="T488" s="38"/>
      <c r="U488" s="38"/>
      <c r="V488" s="59"/>
      <c r="W488" s="38"/>
      <c r="X488" s="38"/>
      <c r="Y488" s="36" t="str">
        <f t="shared" si="43"/>
        <v>renew</v>
      </c>
      <c r="Z488" s="130"/>
      <c r="AA488" s="27"/>
    </row>
    <row r="489">
      <c r="A489" s="87" t="s">
        <v>2194</v>
      </c>
      <c r="B489" s="87" t="s">
        <v>2195</v>
      </c>
      <c r="C489" s="75">
        <v>883.0</v>
      </c>
      <c r="D489" s="22" t="str">
        <f t="shared" si="1"/>
        <v>General</v>
      </c>
      <c r="E489" s="23" t="str">
        <f t="shared" si="2"/>
        <v>Lapsed</v>
      </c>
      <c r="F489" s="24">
        <v>1.0</v>
      </c>
      <c r="G489" s="155">
        <v>44416.0</v>
      </c>
      <c r="H489" s="26">
        <f t="shared" si="9"/>
        <v>44561</v>
      </c>
      <c r="I489" s="75"/>
      <c r="J489" s="62" t="s">
        <v>2196</v>
      </c>
      <c r="K489" s="62" t="s">
        <v>2000</v>
      </c>
      <c r="L489" s="63" t="s">
        <v>57</v>
      </c>
      <c r="M489" s="64">
        <v>82601.0</v>
      </c>
      <c r="N489" s="80" t="s">
        <v>2197</v>
      </c>
      <c r="O489" s="66" t="s">
        <v>2198</v>
      </c>
      <c r="P489" s="37"/>
      <c r="Q489" s="38"/>
      <c r="R489" s="22"/>
      <c r="S489" s="38"/>
      <c r="T489" s="38"/>
      <c r="U489" s="38"/>
      <c r="V489" s="59"/>
      <c r="W489" s="38"/>
      <c r="X489" s="38"/>
      <c r="Y489" s="36" t="str">
        <f t="shared" si="43"/>
        <v>renew</v>
      </c>
      <c r="Z489" s="130"/>
      <c r="AA489" s="27"/>
    </row>
    <row r="490">
      <c r="A490" s="87" t="s">
        <v>1325</v>
      </c>
      <c r="B490" s="87" t="s">
        <v>2199</v>
      </c>
      <c r="C490" s="75">
        <v>882.0</v>
      </c>
      <c r="D490" s="22" t="str">
        <f t="shared" si="1"/>
        <v>General</v>
      </c>
      <c r="E490" s="23" t="str">
        <f t="shared" si="2"/>
        <v>Lapsed</v>
      </c>
      <c r="F490" s="24">
        <v>1.0</v>
      </c>
      <c r="G490" s="25">
        <v>44703.0</v>
      </c>
      <c r="H490" s="26">
        <f t="shared" si="9"/>
        <v>44926</v>
      </c>
      <c r="I490" s="75"/>
      <c r="J490" s="62" t="s">
        <v>1553</v>
      </c>
      <c r="K490" s="62" t="s">
        <v>1482</v>
      </c>
      <c r="L490" s="63" t="s">
        <v>57</v>
      </c>
      <c r="M490" s="64">
        <v>82633.0</v>
      </c>
      <c r="N490" s="80" t="s">
        <v>1554</v>
      </c>
      <c r="O490" s="66" t="s">
        <v>2200</v>
      </c>
      <c r="P490" s="37"/>
      <c r="Q490" s="38"/>
      <c r="R490" s="22"/>
      <c r="S490" s="22"/>
      <c r="T490" s="22"/>
      <c r="U490" s="22"/>
      <c r="V490" s="59"/>
      <c r="W490" s="22" t="s">
        <v>800</v>
      </c>
      <c r="X490" s="38"/>
      <c r="Y490" s="36" t="str">
        <f t="shared" si="43"/>
        <v>renew</v>
      </c>
      <c r="Z490" s="130"/>
      <c r="AA490" s="27"/>
    </row>
    <row r="491">
      <c r="A491" s="87" t="s">
        <v>2201</v>
      </c>
      <c r="B491" s="87" t="s">
        <v>2145</v>
      </c>
      <c r="C491" s="75">
        <v>881.0</v>
      </c>
      <c r="D491" s="22" t="str">
        <f t="shared" si="1"/>
        <v>General</v>
      </c>
      <c r="E491" s="23" t="str">
        <f t="shared" si="2"/>
        <v>Lapsed</v>
      </c>
      <c r="F491" s="24">
        <v>1.0</v>
      </c>
      <c r="G491" s="155">
        <v>44416.0</v>
      </c>
      <c r="H491" s="26">
        <f t="shared" si="9"/>
        <v>44561</v>
      </c>
      <c r="I491" s="75"/>
      <c r="J491" s="62" t="s">
        <v>2146</v>
      </c>
      <c r="K491" s="62" t="s">
        <v>42</v>
      </c>
      <c r="L491" s="63" t="s">
        <v>35</v>
      </c>
      <c r="M491" s="64">
        <v>80524.0</v>
      </c>
      <c r="N491" s="80" t="s">
        <v>2147</v>
      </c>
      <c r="O491" s="66" t="s">
        <v>2202</v>
      </c>
      <c r="P491" s="37"/>
      <c r="Q491" s="38"/>
      <c r="R491" s="22"/>
      <c r="S491" s="38"/>
      <c r="T491" s="38"/>
      <c r="U491" s="38"/>
      <c r="V491" s="59"/>
      <c r="W491" s="38"/>
      <c r="X491" s="38"/>
      <c r="Y491" s="36" t="str">
        <f t="shared" si="43"/>
        <v>renew</v>
      </c>
      <c r="Z491" s="75"/>
      <c r="AA491" s="75"/>
    </row>
    <row r="492">
      <c r="A492" s="87" t="s">
        <v>2203</v>
      </c>
      <c r="B492" s="87" t="s">
        <v>2204</v>
      </c>
      <c r="C492" s="75">
        <v>880.0</v>
      </c>
      <c r="D492" s="22" t="str">
        <f t="shared" si="1"/>
        <v>General</v>
      </c>
      <c r="E492" s="23" t="str">
        <f t="shared" si="2"/>
        <v>Lapsed</v>
      </c>
      <c r="F492" s="24">
        <v>1.0</v>
      </c>
      <c r="G492" s="155">
        <v>44416.0</v>
      </c>
      <c r="H492" s="26">
        <f t="shared" si="9"/>
        <v>44561</v>
      </c>
      <c r="I492" s="75"/>
      <c r="J492" s="62" t="s">
        <v>2205</v>
      </c>
      <c r="K492" s="62" t="s">
        <v>2000</v>
      </c>
      <c r="L492" s="63" t="s">
        <v>57</v>
      </c>
      <c r="M492" s="64">
        <v>82604.0</v>
      </c>
      <c r="N492" s="80" t="s">
        <v>2206</v>
      </c>
      <c r="O492" s="66" t="s">
        <v>2207</v>
      </c>
      <c r="P492" s="37"/>
      <c r="Q492" s="38"/>
      <c r="R492" s="22"/>
      <c r="S492" s="38"/>
      <c r="T492" s="38"/>
      <c r="U492" s="38"/>
      <c r="V492" s="59"/>
      <c r="W492" s="38"/>
      <c r="X492" s="38"/>
      <c r="Y492" s="36" t="str">
        <f t="shared" si="43"/>
        <v>renew</v>
      </c>
      <c r="Z492" s="75"/>
      <c r="AA492" s="75"/>
    </row>
    <row r="493">
      <c r="A493" s="87" t="s">
        <v>2208</v>
      </c>
      <c r="B493" s="87" t="s">
        <v>1792</v>
      </c>
      <c r="C493" s="75">
        <v>879.0</v>
      </c>
      <c r="D493" s="22" t="str">
        <f t="shared" si="1"/>
        <v>General</v>
      </c>
      <c r="E493" s="23" t="str">
        <f t="shared" si="2"/>
        <v>Lapsed</v>
      </c>
      <c r="F493" s="24">
        <v>1.0</v>
      </c>
      <c r="G493" s="155">
        <v>44416.0</v>
      </c>
      <c r="H493" s="26">
        <f t="shared" si="9"/>
        <v>44561</v>
      </c>
      <c r="I493" s="75"/>
      <c r="J493" s="62" t="s">
        <v>1922</v>
      </c>
      <c r="K493" s="62" t="s">
        <v>1344</v>
      </c>
      <c r="L493" s="63" t="s">
        <v>57</v>
      </c>
      <c r="M493" s="64">
        <v>82637.0</v>
      </c>
      <c r="N493" s="80" t="s">
        <v>2209</v>
      </c>
      <c r="O493" s="66" t="s">
        <v>2210</v>
      </c>
      <c r="P493" s="37"/>
      <c r="Q493" s="38"/>
      <c r="R493" s="22"/>
      <c r="S493" s="38"/>
      <c r="T493" s="38"/>
      <c r="U493" s="38"/>
      <c r="V493" s="59"/>
      <c r="W493" s="38"/>
      <c r="X493" s="38"/>
      <c r="Y493" s="36" t="str">
        <f t="shared" si="43"/>
        <v>renew</v>
      </c>
      <c r="Z493" s="75"/>
      <c r="AA493" s="75"/>
    </row>
    <row r="494">
      <c r="A494" s="87" t="s">
        <v>2211</v>
      </c>
      <c r="B494" s="87" t="s">
        <v>1792</v>
      </c>
      <c r="C494" s="75">
        <v>878.0</v>
      </c>
      <c r="D494" s="22" t="str">
        <f t="shared" si="1"/>
        <v>General</v>
      </c>
      <c r="E494" s="23" t="str">
        <f t="shared" si="2"/>
        <v>Lapsed</v>
      </c>
      <c r="F494" s="24">
        <v>1.0</v>
      </c>
      <c r="G494" s="25">
        <v>44481.0</v>
      </c>
      <c r="H494" s="26">
        <f t="shared" si="9"/>
        <v>44561</v>
      </c>
      <c r="I494" s="75"/>
      <c r="J494" s="62" t="s">
        <v>1922</v>
      </c>
      <c r="K494" s="62" t="s">
        <v>1344</v>
      </c>
      <c r="L494" s="63" t="s">
        <v>57</v>
      </c>
      <c r="M494" s="64">
        <v>82637.0</v>
      </c>
      <c r="N494" s="80" t="s">
        <v>2212</v>
      </c>
      <c r="O494" s="66" t="s">
        <v>2213</v>
      </c>
      <c r="P494" s="37"/>
      <c r="Q494" s="38"/>
      <c r="R494" s="22"/>
      <c r="S494" s="38"/>
      <c r="T494" s="38"/>
      <c r="U494" s="38"/>
      <c r="V494" s="59"/>
      <c r="W494" s="22" t="s">
        <v>800</v>
      </c>
      <c r="X494" s="38"/>
      <c r="Y494" s="36" t="str">
        <f t="shared" si="43"/>
        <v>renew</v>
      </c>
      <c r="Z494" s="75"/>
      <c r="AA494" s="75"/>
    </row>
    <row r="495">
      <c r="A495" s="87" t="s">
        <v>712</v>
      </c>
      <c r="B495" s="87" t="s">
        <v>1302</v>
      </c>
      <c r="C495" s="75">
        <v>877.0</v>
      </c>
      <c r="D495" s="22" t="str">
        <f t="shared" si="1"/>
        <v>General</v>
      </c>
      <c r="E495" s="23" t="str">
        <f t="shared" si="2"/>
        <v>Lapsed</v>
      </c>
      <c r="F495" s="24">
        <v>1.0</v>
      </c>
      <c r="G495" s="155">
        <v>44416.0</v>
      </c>
      <c r="H495" s="26">
        <f t="shared" si="9"/>
        <v>44561</v>
      </c>
      <c r="I495" s="75"/>
      <c r="J495" s="62" t="s">
        <v>2214</v>
      </c>
      <c r="K495" s="62" t="s">
        <v>1482</v>
      </c>
      <c r="L495" s="63" t="s">
        <v>57</v>
      </c>
      <c r="M495" s="64">
        <v>82633.0</v>
      </c>
      <c r="N495" s="80" t="s">
        <v>2215</v>
      </c>
      <c r="O495" s="66" t="s">
        <v>2216</v>
      </c>
      <c r="P495" s="37"/>
      <c r="Q495" s="38"/>
      <c r="R495" s="22"/>
      <c r="S495" s="38"/>
      <c r="T495" s="38"/>
      <c r="U495" s="38"/>
      <c r="V495" s="59"/>
      <c r="W495" s="38"/>
      <c r="X495" s="38"/>
      <c r="Y495" s="36" t="str">
        <f t="shared" si="43"/>
        <v>renew</v>
      </c>
      <c r="Z495" s="75"/>
      <c r="AA495" s="21"/>
    </row>
    <row r="496">
      <c r="A496" s="87" t="s">
        <v>2217</v>
      </c>
      <c r="B496" s="87" t="s">
        <v>2218</v>
      </c>
      <c r="C496" s="75">
        <v>876.0</v>
      </c>
      <c r="D496" s="22" t="str">
        <f t="shared" si="1"/>
        <v>General</v>
      </c>
      <c r="E496" s="23" t="str">
        <f t="shared" si="2"/>
        <v>Lapsed</v>
      </c>
      <c r="F496" s="24">
        <v>1.0</v>
      </c>
      <c r="G496" s="25">
        <v>44937.0</v>
      </c>
      <c r="H496" s="26">
        <f t="shared" si="9"/>
        <v>45291</v>
      </c>
      <c r="I496" s="75"/>
      <c r="J496" s="62" t="s">
        <v>2219</v>
      </c>
      <c r="K496" s="62" t="s">
        <v>2000</v>
      </c>
      <c r="L496" s="63" t="s">
        <v>57</v>
      </c>
      <c r="M496" s="64">
        <v>82604.0</v>
      </c>
      <c r="N496" s="80" t="s">
        <v>2220</v>
      </c>
      <c r="O496" s="66" t="s">
        <v>2221</v>
      </c>
      <c r="P496" s="37"/>
      <c r="Q496" s="38"/>
      <c r="R496" s="118"/>
      <c r="S496" s="22"/>
      <c r="T496" s="22"/>
      <c r="U496" s="22">
        <v>1.0</v>
      </c>
      <c r="V496" s="106">
        <v>44937.0</v>
      </c>
      <c r="W496" s="22" t="s">
        <v>800</v>
      </c>
      <c r="X496" s="22" t="s">
        <v>800</v>
      </c>
      <c r="Y496" s="36" t="str">
        <f t="shared" si="43"/>
        <v>renew</v>
      </c>
      <c r="Z496" s="75"/>
      <c r="AA496" s="75"/>
    </row>
    <row r="497">
      <c r="A497" s="87" t="s">
        <v>644</v>
      </c>
      <c r="B497" s="87" t="s">
        <v>1104</v>
      </c>
      <c r="C497" s="75">
        <v>875.0</v>
      </c>
      <c r="D497" s="22" t="str">
        <f t="shared" si="1"/>
        <v>General</v>
      </c>
      <c r="E497" s="23" t="str">
        <f t="shared" si="2"/>
        <v>Lapsed</v>
      </c>
      <c r="F497" s="24">
        <v>1.0</v>
      </c>
      <c r="G497" s="155">
        <v>44416.0</v>
      </c>
      <c r="H497" s="26">
        <f t="shared" si="9"/>
        <v>44561</v>
      </c>
      <c r="I497" s="75"/>
      <c r="J497" s="62" t="s">
        <v>2222</v>
      </c>
      <c r="K497" s="62" t="s">
        <v>2223</v>
      </c>
      <c r="L497" s="63" t="s">
        <v>57</v>
      </c>
      <c r="M497" s="64">
        <v>82636.0</v>
      </c>
      <c r="N497" s="80" t="s">
        <v>2224</v>
      </c>
      <c r="O497" s="66" t="s">
        <v>2225</v>
      </c>
      <c r="P497" s="37"/>
      <c r="Q497" s="38"/>
      <c r="R497" s="22"/>
      <c r="S497" s="38"/>
      <c r="T497" s="38"/>
      <c r="U497" s="38"/>
      <c r="V497" s="59"/>
      <c r="W497" s="38"/>
      <c r="X497" s="38"/>
      <c r="Y497" s="36" t="str">
        <f t="shared" si="43"/>
        <v>renew</v>
      </c>
      <c r="Z497" s="75"/>
      <c r="AA497" s="75"/>
    </row>
    <row r="498">
      <c r="A498" s="87" t="s">
        <v>2226</v>
      </c>
      <c r="B498" s="20" t="s">
        <v>2227</v>
      </c>
      <c r="C498" s="75">
        <v>874.0</v>
      </c>
      <c r="D498" s="22" t="str">
        <f t="shared" si="1"/>
        <v>General</v>
      </c>
      <c r="E498" s="23" t="str">
        <f t="shared" si="2"/>
        <v>Lapsed</v>
      </c>
      <c r="F498" s="24">
        <v>1.0</v>
      </c>
      <c r="G498" s="25">
        <v>44781.0</v>
      </c>
      <c r="H498" s="26">
        <f t="shared" si="9"/>
        <v>44926</v>
      </c>
      <c r="I498" s="75"/>
      <c r="J498" s="62" t="s">
        <v>2228</v>
      </c>
      <c r="K498" s="62" t="s">
        <v>992</v>
      </c>
      <c r="L498" s="63" t="s">
        <v>57</v>
      </c>
      <c r="M498" s="64">
        <v>82070.0</v>
      </c>
      <c r="N498" s="80" t="s">
        <v>2229</v>
      </c>
      <c r="O498" s="66" t="s">
        <v>2230</v>
      </c>
      <c r="P498" s="37"/>
      <c r="Q498" s="38"/>
      <c r="R498" s="22"/>
      <c r="S498" s="38"/>
      <c r="T498" s="38"/>
      <c r="U498" s="38"/>
      <c r="V498" s="59"/>
      <c r="W498" s="22" t="s">
        <v>800</v>
      </c>
      <c r="X498" s="38"/>
      <c r="Y498" s="36" t="str">
        <f t="shared" si="43"/>
        <v>renew</v>
      </c>
      <c r="Z498" s="130"/>
      <c r="AA498" s="27"/>
    </row>
    <row r="499">
      <c r="A499" s="87" t="s">
        <v>2231</v>
      </c>
      <c r="B499" s="87" t="s">
        <v>2232</v>
      </c>
      <c r="C499" s="75">
        <v>873.0</v>
      </c>
      <c r="D499" s="22" t="str">
        <f t="shared" si="1"/>
        <v>General</v>
      </c>
      <c r="E499" s="23" t="str">
        <f t="shared" si="2"/>
        <v>Lapsed</v>
      </c>
      <c r="F499" s="24">
        <v>1.0</v>
      </c>
      <c r="G499" s="155">
        <v>44416.0</v>
      </c>
      <c r="H499" s="26">
        <f t="shared" si="9"/>
        <v>44561</v>
      </c>
      <c r="I499" s="75"/>
      <c r="J499" s="62" t="s">
        <v>2233</v>
      </c>
      <c r="K499" s="62" t="s">
        <v>56</v>
      </c>
      <c r="L499" s="63" t="s">
        <v>57</v>
      </c>
      <c r="M499" s="64">
        <v>82009.0</v>
      </c>
      <c r="N499" s="80" t="s">
        <v>2234</v>
      </c>
      <c r="O499" s="66" t="s">
        <v>2235</v>
      </c>
      <c r="P499" s="37"/>
      <c r="Q499" s="38"/>
      <c r="R499" s="22"/>
      <c r="S499" s="38"/>
      <c r="T499" s="38"/>
      <c r="U499" s="38"/>
      <c r="V499" s="59"/>
      <c r="W499" s="38"/>
      <c r="X499" s="38"/>
      <c r="Y499" s="36" t="str">
        <f t="shared" si="43"/>
        <v>renew</v>
      </c>
      <c r="Z499" s="130"/>
      <c r="AA499" s="27"/>
    </row>
    <row r="500">
      <c r="A500" s="87" t="s">
        <v>154</v>
      </c>
      <c r="B500" s="87" t="s">
        <v>2236</v>
      </c>
      <c r="C500" s="75">
        <v>872.0</v>
      </c>
      <c r="D500" s="22" t="str">
        <f t="shared" si="1"/>
        <v>General</v>
      </c>
      <c r="E500" s="23" t="str">
        <f t="shared" si="2"/>
        <v>Lapsed</v>
      </c>
      <c r="F500" s="24">
        <v>1.0</v>
      </c>
      <c r="G500" s="155">
        <v>44416.0</v>
      </c>
      <c r="H500" s="26">
        <f t="shared" si="9"/>
        <v>44561</v>
      </c>
      <c r="I500" s="75"/>
      <c r="J500" s="62" t="s">
        <v>2237</v>
      </c>
      <c r="K500" s="62" t="s">
        <v>2223</v>
      </c>
      <c r="L500" s="63" t="s">
        <v>57</v>
      </c>
      <c r="M500" s="64">
        <v>82636.0</v>
      </c>
      <c r="N500" s="80" t="s">
        <v>2238</v>
      </c>
      <c r="O500" s="66" t="s">
        <v>2239</v>
      </c>
      <c r="P500" s="37"/>
      <c r="Q500" s="38"/>
      <c r="R500" s="22"/>
      <c r="S500" s="38"/>
      <c r="T500" s="38"/>
      <c r="U500" s="38"/>
      <c r="V500" s="59"/>
      <c r="W500" s="38"/>
      <c r="X500" s="38"/>
      <c r="Y500" s="36" t="str">
        <f t="shared" si="43"/>
        <v>renew</v>
      </c>
      <c r="Z500" s="130"/>
      <c r="AA500" s="27"/>
    </row>
    <row r="501">
      <c r="A501" s="87" t="s">
        <v>2240</v>
      </c>
      <c r="B501" s="87" t="s">
        <v>2241</v>
      </c>
      <c r="C501" s="75">
        <v>871.0</v>
      </c>
      <c r="D501" s="22" t="str">
        <f t="shared" si="1"/>
        <v>General</v>
      </c>
      <c r="E501" s="23" t="str">
        <f t="shared" si="2"/>
        <v>Lapsed</v>
      </c>
      <c r="F501" s="24">
        <v>1.0</v>
      </c>
      <c r="G501" s="155">
        <v>44416.0</v>
      </c>
      <c r="H501" s="26">
        <f t="shared" si="9"/>
        <v>44561</v>
      </c>
      <c r="I501" s="75"/>
      <c r="J501" s="62" t="s">
        <v>2242</v>
      </c>
      <c r="K501" s="62" t="s">
        <v>2243</v>
      </c>
      <c r="L501" s="63" t="s">
        <v>35</v>
      </c>
      <c r="M501" s="64">
        <v>81301.0</v>
      </c>
      <c r="N501" s="80" t="s">
        <v>2244</v>
      </c>
      <c r="O501" s="66" t="s">
        <v>2245</v>
      </c>
      <c r="P501" s="37"/>
      <c r="Q501" s="38"/>
      <c r="R501" s="22"/>
      <c r="S501" s="38"/>
      <c r="T501" s="38"/>
      <c r="U501" s="38"/>
      <c r="V501" s="59"/>
      <c r="W501" s="38"/>
      <c r="X501" s="38"/>
      <c r="Y501" s="36" t="str">
        <f t="shared" si="43"/>
        <v>renew</v>
      </c>
      <c r="Z501" s="130"/>
      <c r="AA501" s="27"/>
    </row>
    <row r="502">
      <c r="A502" s="87" t="s">
        <v>2246</v>
      </c>
      <c r="B502" s="87" t="s">
        <v>2247</v>
      </c>
      <c r="C502" s="75">
        <v>870.0</v>
      </c>
      <c r="D502" s="22" t="str">
        <f t="shared" si="1"/>
        <v>General</v>
      </c>
      <c r="E502" s="23" t="str">
        <f t="shared" si="2"/>
        <v>Lapsed</v>
      </c>
      <c r="F502" s="24">
        <v>1.0</v>
      </c>
      <c r="G502" s="155">
        <v>44416.0</v>
      </c>
      <c r="H502" s="26">
        <f t="shared" si="9"/>
        <v>44561</v>
      </c>
      <c r="I502" s="75"/>
      <c r="J502" s="62" t="s">
        <v>2248</v>
      </c>
      <c r="K502" s="62" t="s">
        <v>2000</v>
      </c>
      <c r="L502" s="81" t="s">
        <v>57</v>
      </c>
      <c r="M502" s="64">
        <v>82604.0</v>
      </c>
      <c r="N502" s="145"/>
      <c r="O502" s="66" t="s">
        <v>2249</v>
      </c>
      <c r="P502" s="37"/>
      <c r="Q502" s="38"/>
      <c r="R502" s="22"/>
      <c r="S502" s="38"/>
      <c r="T502" s="38"/>
      <c r="U502" s="38"/>
      <c r="V502" s="59"/>
      <c r="W502" s="38"/>
      <c r="X502" s="38"/>
      <c r="Y502" s="36" t="str">
        <f t="shared" si="43"/>
        <v>renew</v>
      </c>
      <c r="Z502" s="130"/>
      <c r="AA502" s="27"/>
    </row>
    <row r="503">
      <c r="A503" s="87" t="s">
        <v>2250</v>
      </c>
      <c r="B503" s="87" t="s">
        <v>2251</v>
      </c>
      <c r="C503" s="75">
        <v>869.0</v>
      </c>
      <c r="D503" s="22" t="str">
        <f t="shared" si="1"/>
        <v>General</v>
      </c>
      <c r="E503" s="23" t="str">
        <f t="shared" si="2"/>
        <v>Lapsed</v>
      </c>
      <c r="F503" s="24">
        <v>1.0</v>
      </c>
      <c r="G503" s="155">
        <v>44416.0</v>
      </c>
      <c r="H503" s="26">
        <f t="shared" si="9"/>
        <v>44561</v>
      </c>
      <c r="I503" s="75"/>
      <c r="J503" s="62" t="s">
        <v>2252</v>
      </c>
      <c r="K503" s="62" t="s">
        <v>1938</v>
      </c>
      <c r="L503" s="63" t="s">
        <v>57</v>
      </c>
      <c r="M503" s="64">
        <v>82401.0</v>
      </c>
      <c r="N503" s="80" t="s">
        <v>2253</v>
      </c>
      <c r="O503" s="66" t="s">
        <v>2254</v>
      </c>
      <c r="P503" s="37"/>
      <c r="Q503" s="38"/>
      <c r="R503" s="22"/>
      <c r="S503" s="38"/>
      <c r="T503" s="38"/>
      <c r="U503" s="38"/>
      <c r="V503" s="59"/>
      <c r="W503" s="38"/>
      <c r="X503" s="38"/>
      <c r="Y503" s="36" t="str">
        <f t="shared" si="43"/>
        <v>renew</v>
      </c>
      <c r="Z503" s="130"/>
      <c r="AA503" s="27"/>
    </row>
    <row r="504">
      <c r="A504" s="87" t="s">
        <v>2255</v>
      </c>
      <c r="B504" s="87" t="s">
        <v>1385</v>
      </c>
      <c r="C504" s="75">
        <v>868.0</v>
      </c>
      <c r="D504" s="22" t="str">
        <f t="shared" si="1"/>
        <v>General</v>
      </c>
      <c r="E504" s="23" t="str">
        <f t="shared" si="2"/>
        <v>Lapsed</v>
      </c>
      <c r="F504" s="24">
        <v>1.0</v>
      </c>
      <c r="G504" s="25">
        <v>45801.0</v>
      </c>
      <c r="H504" s="26">
        <f t="shared" si="9"/>
        <v>46022</v>
      </c>
      <c r="I504" s="21"/>
      <c r="J504" s="62" t="s">
        <v>2256</v>
      </c>
      <c r="K504" s="29" t="s">
        <v>473</v>
      </c>
      <c r="L504" s="63" t="s">
        <v>35</v>
      </c>
      <c r="M504" s="42" t="s">
        <v>402</v>
      </c>
      <c r="N504" s="80" t="s">
        <v>1389</v>
      </c>
      <c r="O504" s="66" t="s">
        <v>2257</v>
      </c>
      <c r="P504" s="37"/>
      <c r="Q504" s="38"/>
      <c r="R504" s="22"/>
      <c r="S504" s="22">
        <v>1.0</v>
      </c>
      <c r="T504" s="22">
        <v>1.0</v>
      </c>
      <c r="U504" s="22">
        <v>1.0</v>
      </c>
      <c r="V504" s="116">
        <v>45044.0</v>
      </c>
      <c r="W504" s="38"/>
      <c r="X504" s="22" t="s">
        <v>800</v>
      </c>
      <c r="Y504" s="36" t="str">
        <f t="shared" si="43"/>
        <v>renew</v>
      </c>
      <c r="Z504" s="27" t="s">
        <v>27</v>
      </c>
      <c r="AA504" s="27"/>
    </row>
    <row r="505">
      <c r="A505" s="87" t="s">
        <v>2258</v>
      </c>
      <c r="B505" s="87" t="s">
        <v>2259</v>
      </c>
      <c r="C505" s="75">
        <v>866.0</v>
      </c>
      <c r="D505" s="22" t="str">
        <f t="shared" si="1"/>
        <v>General</v>
      </c>
      <c r="E505" s="23" t="str">
        <f t="shared" si="2"/>
        <v>Lapsed</v>
      </c>
      <c r="F505" s="24">
        <v>1.0</v>
      </c>
      <c r="G505" s="25">
        <v>44751.0</v>
      </c>
      <c r="H505" s="26">
        <f t="shared" si="9"/>
        <v>44926</v>
      </c>
      <c r="I505" s="21"/>
      <c r="J505" s="29" t="s">
        <v>2260</v>
      </c>
      <c r="K505" s="29" t="s">
        <v>2261</v>
      </c>
      <c r="L505" s="63" t="s">
        <v>35</v>
      </c>
      <c r="M505" s="64">
        <v>80524.0</v>
      </c>
      <c r="N505" s="80" t="s">
        <v>2262</v>
      </c>
      <c r="O505" s="66" t="s">
        <v>2263</v>
      </c>
      <c r="P505" s="37"/>
      <c r="Q505" s="38"/>
      <c r="R505" s="22"/>
      <c r="S505" s="22"/>
      <c r="T505" s="22"/>
      <c r="U505" s="22"/>
      <c r="V505" s="59"/>
      <c r="W505" s="22" t="s">
        <v>800</v>
      </c>
      <c r="X505" s="38"/>
      <c r="Y505" s="36" t="str">
        <f t="shared" si="43"/>
        <v>renew</v>
      </c>
      <c r="Z505" s="27"/>
      <c r="AA505" s="27"/>
    </row>
    <row r="506">
      <c r="A506" s="87" t="s">
        <v>2264</v>
      </c>
      <c r="B506" s="87" t="s">
        <v>2265</v>
      </c>
      <c r="C506" s="75">
        <v>865.0</v>
      </c>
      <c r="D506" s="22" t="str">
        <f t="shared" si="1"/>
        <v>General</v>
      </c>
      <c r="E506" s="23" t="str">
        <f t="shared" si="2"/>
        <v>Lapsed</v>
      </c>
      <c r="F506" s="24">
        <v>1.0</v>
      </c>
      <c r="G506" s="155">
        <v>44375.0</v>
      </c>
      <c r="H506" s="26">
        <f t="shared" si="9"/>
        <v>44561</v>
      </c>
      <c r="I506" s="75"/>
      <c r="J506" s="62" t="s">
        <v>2266</v>
      </c>
      <c r="K506" s="62" t="s">
        <v>2267</v>
      </c>
      <c r="L506" s="63" t="s">
        <v>244</v>
      </c>
      <c r="M506" s="64">
        <v>68358.0</v>
      </c>
      <c r="N506" s="80" t="s">
        <v>2268</v>
      </c>
      <c r="O506" s="66" t="s">
        <v>2269</v>
      </c>
      <c r="P506" s="37"/>
      <c r="Q506" s="38"/>
      <c r="R506" s="22"/>
      <c r="S506" s="38"/>
      <c r="T506" s="38"/>
      <c r="U506" s="38"/>
      <c r="V506" s="59"/>
      <c r="W506" s="38"/>
      <c r="X506" s="38"/>
      <c r="Y506" s="36" t="str">
        <f t="shared" si="43"/>
        <v>renew</v>
      </c>
      <c r="Z506" s="130"/>
      <c r="AA506" s="27"/>
    </row>
    <row r="507">
      <c r="A507" s="87" t="s">
        <v>2270</v>
      </c>
      <c r="B507" s="87" t="s">
        <v>859</v>
      </c>
      <c r="C507" s="75">
        <v>864.0</v>
      </c>
      <c r="D507" s="22" t="str">
        <f t="shared" si="1"/>
        <v>General</v>
      </c>
      <c r="E507" s="23" t="str">
        <f t="shared" si="2"/>
        <v>Lapsed</v>
      </c>
      <c r="F507" s="24">
        <v>1.0</v>
      </c>
      <c r="G507" s="155">
        <v>44375.0</v>
      </c>
      <c r="H507" s="26">
        <f t="shared" si="9"/>
        <v>44561</v>
      </c>
      <c r="I507" s="75"/>
      <c r="J507" s="62" t="s">
        <v>2271</v>
      </c>
      <c r="K507" s="62" t="s">
        <v>1415</v>
      </c>
      <c r="L507" s="63" t="s">
        <v>35</v>
      </c>
      <c r="M507" s="64">
        <v>80118.0</v>
      </c>
      <c r="N507" s="80" t="s">
        <v>2272</v>
      </c>
      <c r="O507" s="66" t="s">
        <v>2273</v>
      </c>
      <c r="P507" s="37"/>
      <c r="Q507" s="38"/>
      <c r="R507" s="22"/>
      <c r="S507" s="38"/>
      <c r="T507" s="38"/>
      <c r="U507" s="38"/>
      <c r="V507" s="59"/>
      <c r="W507" s="38"/>
      <c r="X507" s="38"/>
      <c r="Y507" s="36" t="str">
        <f t="shared" si="43"/>
        <v>renew</v>
      </c>
      <c r="Z507" s="130"/>
      <c r="AA507" s="27"/>
    </row>
    <row r="508">
      <c r="A508" s="87" t="s">
        <v>747</v>
      </c>
      <c r="B508" s="87" t="s">
        <v>1301</v>
      </c>
      <c r="C508" s="75">
        <v>863.0</v>
      </c>
      <c r="D508" s="22" t="str">
        <f t="shared" si="1"/>
        <v>General</v>
      </c>
      <c r="E508" s="23" t="str">
        <f t="shared" si="2"/>
        <v>Lapsed</v>
      </c>
      <c r="F508" s="24">
        <v>1.0</v>
      </c>
      <c r="G508" s="155">
        <v>44375.0</v>
      </c>
      <c r="H508" s="26">
        <f t="shared" si="9"/>
        <v>44561</v>
      </c>
      <c r="I508" s="75"/>
      <c r="J508" s="62" t="s">
        <v>1932</v>
      </c>
      <c r="K508" s="62" t="s">
        <v>647</v>
      </c>
      <c r="L508" s="63" t="s">
        <v>35</v>
      </c>
      <c r="M508" s="64">
        <v>80503.0</v>
      </c>
      <c r="N508" s="80" t="s">
        <v>1933</v>
      </c>
      <c r="O508" s="66" t="s">
        <v>1934</v>
      </c>
      <c r="P508" s="37"/>
      <c r="Q508" s="38"/>
      <c r="R508" s="22"/>
      <c r="S508" s="38"/>
      <c r="T508" s="38"/>
      <c r="U508" s="38"/>
      <c r="V508" s="59"/>
      <c r="W508" s="38"/>
      <c r="X508" s="38"/>
      <c r="Y508" s="36" t="str">
        <f t="shared" si="43"/>
        <v>renew</v>
      </c>
      <c r="Z508" s="130"/>
      <c r="AA508" s="27"/>
    </row>
    <row r="509">
      <c r="A509" s="87" t="s">
        <v>86</v>
      </c>
      <c r="B509" s="87" t="s">
        <v>1959</v>
      </c>
      <c r="C509" s="75">
        <v>862.0</v>
      </c>
      <c r="D509" s="22" t="str">
        <f t="shared" si="1"/>
        <v>General</v>
      </c>
      <c r="E509" s="23" t="str">
        <f t="shared" si="2"/>
        <v>Lapsed</v>
      </c>
      <c r="F509" s="24">
        <v>1.0</v>
      </c>
      <c r="G509" s="25">
        <v>45933.0</v>
      </c>
      <c r="H509" s="26">
        <f t="shared" si="9"/>
        <v>46022</v>
      </c>
      <c r="I509" s="75"/>
      <c r="J509" s="62" t="s">
        <v>1960</v>
      </c>
      <c r="K509" s="62" t="s">
        <v>76</v>
      </c>
      <c r="L509" s="63" t="s">
        <v>244</v>
      </c>
      <c r="M509" s="64">
        <v>69023.0</v>
      </c>
      <c r="N509" s="80" t="s">
        <v>1961</v>
      </c>
      <c r="O509" s="66" t="s">
        <v>1962</v>
      </c>
      <c r="P509" s="37"/>
      <c r="Q509" s="38"/>
      <c r="R509" s="22"/>
      <c r="S509" s="22">
        <v>5.0</v>
      </c>
      <c r="T509" s="38"/>
      <c r="U509" s="38"/>
      <c r="V509" s="59"/>
      <c r="W509" s="38"/>
      <c r="X509" s="38"/>
      <c r="Y509" s="36" t="str">
        <f t="shared" si="43"/>
        <v>renew</v>
      </c>
      <c r="Z509" s="130"/>
      <c r="AA509" s="27"/>
    </row>
    <row r="510">
      <c r="A510" s="87" t="s">
        <v>2274</v>
      </c>
      <c r="B510" s="87" t="s">
        <v>2275</v>
      </c>
      <c r="C510" s="75">
        <v>861.0</v>
      </c>
      <c r="D510" s="22" t="str">
        <f t="shared" si="1"/>
        <v>General</v>
      </c>
      <c r="E510" s="23" t="str">
        <f t="shared" si="2"/>
        <v>Lapsed</v>
      </c>
      <c r="F510" s="24">
        <v>1.0</v>
      </c>
      <c r="G510" s="25">
        <v>44375.0</v>
      </c>
      <c r="H510" s="26">
        <f t="shared" si="9"/>
        <v>44561</v>
      </c>
      <c r="I510" s="75"/>
      <c r="J510" s="62" t="s">
        <v>2276</v>
      </c>
      <c r="K510" s="62" t="s">
        <v>89</v>
      </c>
      <c r="L510" s="63" t="s">
        <v>35</v>
      </c>
      <c r="M510" s="64">
        <v>80549.0</v>
      </c>
      <c r="N510" s="80" t="s">
        <v>2277</v>
      </c>
      <c r="O510" s="66" t="s">
        <v>2278</v>
      </c>
      <c r="P510" s="37"/>
      <c r="Q510" s="38"/>
      <c r="R510" s="22"/>
      <c r="S510" s="38"/>
      <c r="T510" s="38"/>
      <c r="U510" s="38"/>
      <c r="V510" s="59"/>
      <c r="W510" s="38"/>
      <c r="X510" s="38"/>
      <c r="Y510" s="36" t="str">
        <f t="shared" si="43"/>
        <v>renew</v>
      </c>
      <c r="Z510" s="75"/>
      <c r="AA510" s="75"/>
    </row>
    <row r="511">
      <c r="A511" s="87" t="s">
        <v>2241</v>
      </c>
      <c r="B511" s="87" t="s">
        <v>2279</v>
      </c>
      <c r="C511" s="75">
        <v>860.0</v>
      </c>
      <c r="D511" s="22" t="str">
        <f t="shared" si="1"/>
        <v>General</v>
      </c>
      <c r="E511" s="23" t="str">
        <f t="shared" si="2"/>
        <v>Lapsed</v>
      </c>
      <c r="F511" s="24">
        <v>1.0</v>
      </c>
      <c r="G511" s="25">
        <v>44979.0</v>
      </c>
      <c r="H511" s="26">
        <f t="shared" si="9"/>
        <v>45291</v>
      </c>
      <c r="I511" s="75"/>
      <c r="J511" s="62" t="s">
        <v>2280</v>
      </c>
      <c r="K511" s="62" t="s">
        <v>448</v>
      </c>
      <c r="L511" s="63" t="s">
        <v>35</v>
      </c>
      <c r="M511" s="64">
        <v>80513.0</v>
      </c>
      <c r="N511" s="53" t="s">
        <v>2281</v>
      </c>
      <c r="O511" s="66" t="s">
        <v>2282</v>
      </c>
      <c r="P511" s="37"/>
      <c r="Q511" s="38"/>
      <c r="R511" s="22"/>
      <c r="S511" s="22"/>
      <c r="T511" s="22"/>
      <c r="U511" s="22">
        <v>1.0</v>
      </c>
      <c r="V511" s="116">
        <v>44979.0</v>
      </c>
      <c r="W511" s="22" t="s">
        <v>800</v>
      </c>
      <c r="X511" s="22" t="s">
        <v>800</v>
      </c>
      <c r="Y511" s="36" t="str">
        <f t="shared" si="43"/>
        <v>renew</v>
      </c>
      <c r="Z511" s="75"/>
      <c r="AA511" s="75"/>
    </row>
    <row r="512">
      <c r="A512" s="87" t="s">
        <v>2283</v>
      </c>
      <c r="B512" s="87" t="s">
        <v>2284</v>
      </c>
      <c r="C512" s="75">
        <v>859.0</v>
      </c>
      <c r="D512" s="22" t="str">
        <f t="shared" si="1"/>
        <v>General</v>
      </c>
      <c r="E512" s="23" t="str">
        <f t="shared" si="2"/>
        <v>Lapsed</v>
      </c>
      <c r="F512" s="24">
        <v>1.0</v>
      </c>
      <c r="G512" s="25">
        <v>45451.0</v>
      </c>
      <c r="H512" s="26">
        <f t="shared" si="9"/>
        <v>45657</v>
      </c>
      <c r="I512" s="21"/>
      <c r="J512" s="62" t="s">
        <v>2285</v>
      </c>
      <c r="K512" s="62" t="s">
        <v>42</v>
      </c>
      <c r="L512" s="63" t="s">
        <v>35</v>
      </c>
      <c r="M512" s="64">
        <v>80524.0</v>
      </c>
      <c r="N512" s="80" t="s">
        <v>2286</v>
      </c>
      <c r="O512" s="66" t="s">
        <v>2287</v>
      </c>
      <c r="P512" s="37"/>
      <c r="Q512" s="38"/>
      <c r="R512" s="22"/>
      <c r="S512" s="22"/>
      <c r="T512" s="22">
        <v>1.0</v>
      </c>
      <c r="U512" s="22">
        <v>3.0</v>
      </c>
      <c r="V512" s="116">
        <v>45205.0</v>
      </c>
      <c r="W512" s="22" t="s">
        <v>800</v>
      </c>
      <c r="X512" s="22" t="s">
        <v>800</v>
      </c>
      <c r="Y512" s="36" t="str">
        <f t="shared" si="43"/>
        <v>renew</v>
      </c>
      <c r="Z512" s="21"/>
      <c r="AA512" s="75"/>
    </row>
    <row r="513">
      <c r="A513" s="87" t="s">
        <v>2288</v>
      </c>
      <c r="B513" s="87" t="s">
        <v>2289</v>
      </c>
      <c r="C513" s="75">
        <v>858.0</v>
      </c>
      <c r="D513" s="22" t="str">
        <f t="shared" si="1"/>
        <v>General</v>
      </c>
      <c r="E513" s="23" t="str">
        <f t="shared" si="2"/>
        <v>Lapsed</v>
      </c>
      <c r="F513" s="24">
        <v>1.0</v>
      </c>
      <c r="G513" s="25">
        <v>45817.0</v>
      </c>
      <c r="H513" s="26">
        <f t="shared" si="9"/>
        <v>46022</v>
      </c>
      <c r="I513" s="75"/>
      <c r="J513" s="29" t="s">
        <v>2290</v>
      </c>
      <c r="K513" s="62" t="s">
        <v>1725</v>
      </c>
      <c r="L513" s="63" t="s">
        <v>35</v>
      </c>
      <c r="M513" s="64">
        <v>80612.0</v>
      </c>
      <c r="N513" s="148" t="s">
        <v>2291</v>
      </c>
      <c r="O513" s="66" t="s">
        <v>2292</v>
      </c>
      <c r="P513" s="37"/>
      <c r="Q513" s="38"/>
      <c r="R513" s="22"/>
      <c r="S513" s="22">
        <v>2.0</v>
      </c>
      <c r="T513" s="38"/>
      <c r="U513" s="38"/>
      <c r="V513" s="59"/>
      <c r="W513" s="38"/>
      <c r="X513" s="38"/>
      <c r="Y513" s="36" t="str">
        <f t="shared" si="43"/>
        <v>renew</v>
      </c>
      <c r="Z513" s="75"/>
      <c r="AA513" s="75"/>
    </row>
    <row r="514">
      <c r="A514" s="87" t="s">
        <v>2293</v>
      </c>
      <c r="B514" s="87" t="s">
        <v>2294</v>
      </c>
      <c r="C514" s="75">
        <v>857.0</v>
      </c>
      <c r="D514" s="22" t="str">
        <f t="shared" si="1"/>
        <v>General</v>
      </c>
      <c r="E514" s="23" t="str">
        <f t="shared" si="2"/>
        <v>Lapsed</v>
      </c>
      <c r="F514" s="24">
        <v>1.0</v>
      </c>
      <c r="G514" s="155">
        <v>44375.0</v>
      </c>
      <c r="H514" s="26">
        <f t="shared" si="9"/>
        <v>44561</v>
      </c>
      <c r="I514" s="75"/>
      <c r="J514" s="62" t="s">
        <v>2295</v>
      </c>
      <c r="K514" s="62" t="s">
        <v>2000</v>
      </c>
      <c r="L514" s="63" t="s">
        <v>57</v>
      </c>
      <c r="M514" s="64">
        <v>82604.0</v>
      </c>
      <c r="N514" s="80" t="s">
        <v>2296</v>
      </c>
      <c r="O514" s="66" t="s">
        <v>2297</v>
      </c>
      <c r="P514" s="37"/>
      <c r="Q514" s="38"/>
      <c r="R514" s="22"/>
      <c r="S514" s="38"/>
      <c r="T514" s="38"/>
      <c r="U514" s="38"/>
      <c r="V514" s="59"/>
      <c r="W514" s="38"/>
      <c r="X514" s="38"/>
      <c r="Y514" s="36" t="str">
        <f t="shared" si="43"/>
        <v>renew</v>
      </c>
      <c r="Z514" s="75"/>
      <c r="AA514" s="75"/>
    </row>
    <row r="515">
      <c r="A515" s="87" t="s">
        <v>2298</v>
      </c>
      <c r="B515" s="87" t="s">
        <v>2299</v>
      </c>
      <c r="C515" s="75">
        <v>856.0</v>
      </c>
      <c r="D515" s="22" t="str">
        <f t="shared" si="1"/>
        <v>General</v>
      </c>
      <c r="E515" s="23" t="str">
        <f t="shared" si="2"/>
        <v>Lapsed</v>
      </c>
      <c r="F515" s="24">
        <v>1.0</v>
      </c>
      <c r="G515" s="155">
        <v>44375.0</v>
      </c>
      <c r="H515" s="26">
        <f t="shared" si="9"/>
        <v>44561</v>
      </c>
      <c r="I515" s="75"/>
      <c r="J515" s="62" t="s">
        <v>2300</v>
      </c>
      <c r="K515" s="62" t="s">
        <v>250</v>
      </c>
      <c r="L515" s="63" t="s">
        <v>35</v>
      </c>
      <c r="M515" s="64">
        <v>80644.0</v>
      </c>
      <c r="N515" s="80" t="s">
        <v>2301</v>
      </c>
      <c r="O515" s="66" t="s">
        <v>2302</v>
      </c>
      <c r="P515" s="37"/>
      <c r="Q515" s="38"/>
      <c r="R515" s="22"/>
      <c r="S515" s="38"/>
      <c r="T515" s="38"/>
      <c r="U515" s="38"/>
      <c r="V515" s="59"/>
      <c r="W515" s="38"/>
      <c r="X515" s="38"/>
      <c r="Y515" s="36" t="str">
        <f t="shared" si="43"/>
        <v>renew</v>
      </c>
      <c r="Z515" s="75"/>
      <c r="AA515" s="75"/>
    </row>
    <row r="516">
      <c r="A516" s="87" t="s">
        <v>2303</v>
      </c>
      <c r="B516" s="87" t="s">
        <v>2304</v>
      </c>
      <c r="C516" s="75">
        <v>855.0</v>
      </c>
      <c r="D516" s="22" t="str">
        <f t="shared" si="1"/>
        <v>General</v>
      </c>
      <c r="E516" s="23" t="str">
        <f t="shared" si="2"/>
        <v>Lapsed</v>
      </c>
      <c r="F516" s="24">
        <v>1.0</v>
      </c>
      <c r="G516" s="155">
        <v>44375.0</v>
      </c>
      <c r="H516" s="26">
        <f t="shared" si="9"/>
        <v>44561</v>
      </c>
      <c r="I516" s="75"/>
      <c r="J516" s="62" t="s">
        <v>2305</v>
      </c>
      <c r="K516" s="62" t="s">
        <v>448</v>
      </c>
      <c r="L516" s="63" t="s">
        <v>35</v>
      </c>
      <c r="M516" s="64">
        <v>80513.0</v>
      </c>
      <c r="N516" s="80" t="s">
        <v>2306</v>
      </c>
      <c r="O516" s="66" t="s">
        <v>2307</v>
      </c>
      <c r="P516" s="37"/>
      <c r="Q516" s="38"/>
      <c r="R516" s="22"/>
      <c r="S516" s="38"/>
      <c r="T516" s="38"/>
      <c r="U516" s="38"/>
      <c r="V516" s="59"/>
      <c r="W516" s="38"/>
      <c r="X516" s="38"/>
      <c r="Y516" s="36" t="str">
        <f t="shared" si="43"/>
        <v>renew</v>
      </c>
      <c r="Z516" s="130"/>
      <c r="AA516" s="27"/>
    </row>
    <row r="517">
      <c r="A517" s="87" t="s">
        <v>2308</v>
      </c>
      <c r="B517" s="87" t="s">
        <v>2309</v>
      </c>
      <c r="C517" s="75">
        <v>854.0</v>
      </c>
      <c r="D517" s="22" t="str">
        <f t="shared" si="1"/>
        <v>General</v>
      </c>
      <c r="E517" s="23" t="str">
        <f t="shared" si="2"/>
        <v>Lapsed</v>
      </c>
      <c r="F517" s="24">
        <v>1.0</v>
      </c>
      <c r="G517" s="155">
        <v>44375.0</v>
      </c>
      <c r="H517" s="26">
        <f t="shared" si="9"/>
        <v>44561</v>
      </c>
      <c r="I517" s="75"/>
      <c r="J517" s="62" t="s">
        <v>2310</v>
      </c>
      <c r="K517" s="62" t="s">
        <v>2311</v>
      </c>
      <c r="L517" s="63" t="s">
        <v>35</v>
      </c>
      <c r="M517" s="64">
        <v>80622.0</v>
      </c>
      <c r="N517" s="80" t="s">
        <v>2312</v>
      </c>
      <c r="O517" s="66" t="s">
        <v>2313</v>
      </c>
      <c r="P517" s="37"/>
      <c r="Q517" s="38"/>
      <c r="R517" s="22"/>
      <c r="S517" s="38"/>
      <c r="T517" s="38"/>
      <c r="U517" s="38"/>
      <c r="V517" s="59"/>
      <c r="W517" s="38"/>
      <c r="X517" s="38"/>
      <c r="Y517" s="36" t="str">
        <f t="shared" si="43"/>
        <v>renew</v>
      </c>
      <c r="Z517" s="130"/>
      <c r="AA517" s="27"/>
    </row>
    <row r="518">
      <c r="A518" s="87" t="s">
        <v>326</v>
      </c>
      <c r="B518" s="87" t="s">
        <v>2314</v>
      </c>
      <c r="C518" s="75">
        <v>853.0</v>
      </c>
      <c r="D518" s="22" t="str">
        <f t="shared" si="1"/>
        <v>General</v>
      </c>
      <c r="E518" s="23" t="str">
        <f t="shared" si="2"/>
        <v>Lapsed</v>
      </c>
      <c r="F518" s="24">
        <v>1.0</v>
      </c>
      <c r="G518" s="25">
        <v>44375.0</v>
      </c>
      <c r="H518" s="26">
        <f t="shared" si="9"/>
        <v>44561</v>
      </c>
      <c r="I518" s="75"/>
      <c r="J518" s="62" t="s">
        <v>2315</v>
      </c>
      <c r="K518" s="29" t="s">
        <v>2316</v>
      </c>
      <c r="L518" s="63" t="s">
        <v>35</v>
      </c>
      <c r="M518" s="64">
        <v>81226.0</v>
      </c>
      <c r="N518" s="80" t="s">
        <v>2317</v>
      </c>
      <c r="O518" s="66" t="s">
        <v>2318</v>
      </c>
      <c r="P518" s="37"/>
      <c r="Q518" s="38"/>
      <c r="R518" s="22"/>
      <c r="S518" s="38"/>
      <c r="T518" s="38"/>
      <c r="U518" s="38"/>
      <c r="V518" s="59"/>
      <c r="W518" s="38"/>
      <c r="X518" s="38"/>
      <c r="Y518" s="36" t="str">
        <f t="shared" si="43"/>
        <v>renew</v>
      </c>
      <c r="Z518" s="130"/>
      <c r="AA518" s="27"/>
    </row>
    <row r="519">
      <c r="A519" s="87" t="s">
        <v>2319</v>
      </c>
      <c r="B519" s="87" t="s">
        <v>1968</v>
      </c>
      <c r="C519" s="75">
        <v>852.0</v>
      </c>
      <c r="D519" s="22" t="str">
        <f t="shared" si="1"/>
        <v>General</v>
      </c>
      <c r="E519" s="23" t="str">
        <f t="shared" si="2"/>
        <v>Lapsed</v>
      </c>
      <c r="F519" s="108">
        <v>3.0</v>
      </c>
      <c r="G519" s="25">
        <v>45043.0</v>
      </c>
      <c r="H519" s="26">
        <f t="shared" si="9"/>
        <v>46022</v>
      </c>
      <c r="I519" s="21"/>
      <c r="J519" s="62" t="s">
        <v>1969</v>
      </c>
      <c r="K519" s="62" t="s">
        <v>56</v>
      </c>
      <c r="L519" s="63" t="s">
        <v>57</v>
      </c>
      <c r="M519" s="64">
        <v>82009.0</v>
      </c>
      <c r="N519" s="53" t="s">
        <v>2320</v>
      </c>
      <c r="O519" s="66" t="s">
        <v>2321</v>
      </c>
      <c r="P519" s="37"/>
      <c r="Q519" s="38"/>
      <c r="R519" s="22"/>
      <c r="S519" s="22">
        <v>1.0</v>
      </c>
      <c r="T519" s="22">
        <v>1.0</v>
      </c>
      <c r="U519" s="22">
        <v>1.0</v>
      </c>
      <c r="V519" s="116">
        <v>45043.0</v>
      </c>
      <c r="W519" s="22" t="s">
        <v>800</v>
      </c>
      <c r="X519" s="22" t="s">
        <v>800</v>
      </c>
      <c r="Y519" s="36" t="str">
        <f t="shared" si="43"/>
        <v>renew</v>
      </c>
      <c r="Z519" s="27" t="s">
        <v>27</v>
      </c>
      <c r="AA519" s="27"/>
    </row>
    <row r="520">
      <c r="A520" s="87" t="s">
        <v>154</v>
      </c>
      <c r="B520" s="87" t="s">
        <v>2322</v>
      </c>
      <c r="C520" s="75">
        <v>851.0</v>
      </c>
      <c r="D520" s="22" t="str">
        <f t="shared" si="1"/>
        <v>General</v>
      </c>
      <c r="E520" s="23" t="str">
        <f t="shared" si="2"/>
        <v>Lapsed</v>
      </c>
      <c r="F520" s="24">
        <v>1.0</v>
      </c>
      <c r="G520" s="25">
        <v>44375.0</v>
      </c>
      <c r="H520" s="26">
        <f t="shared" si="9"/>
        <v>44561</v>
      </c>
      <c r="I520" s="75"/>
      <c r="J520" s="62" t="s">
        <v>2323</v>
      </c>
      <c r="K520" s="62" t="s">
        <v>2000</v>
      </c>
      <c r="L520" s="63" t="s">
        <v>57</v>
      </c>
      <c r="M520" s="64">
        <v>82604.0</v>
      </c>
      <c r="N520" s="80" t="s">
        <v>2324</v>
      </c>
      <c r="O520" s="66" t="s">
        <v>2325</v>
      </c>
      <c r="P520" s="37"/>
      <c r="Q520" s="38"/>
      <c r="R520" s="22"/>
      <c r="S520" s="38"/>
      <c r="T520" s="38"/>
      <c r="U520" s="38"/>
      <c r="V520" s="59"/>
      <c r="W520" s="38"/>
      <c r="X520" s="38"/>
      <c r="Y520" s="36" t="str">
        <f t="shared" si="43"/>
        <v>renew</v>
      </c>
      <c r="Z520" s="130"/>
      <c r="AA520" s="27"/>
    </row>
    <row r="521">
      <c r="A521" s="87" t="s">
        <v>943</v>
      </c>
      <c r="B521" s="87" t="s">
        <v>2326</v>
      </c>
      <c r="C521" s="75">
        <v>850.0</v>
      </c>
      <c r="D521" s="22" t="str">
        <f t="shared" si="1"/>
        <v>General</v>
      </c>
      <c r="E521" s="23" t="str">
        <f t="shared" si="2"/>
        <v>Lapsed</v>
      </c>
      <c r="F521" s="24">
        <v>1.0</v>
      </c>
      <c r="G521" s="155">
        <v>44375.0</v>
      </c>
      <c r="H521" s="26">
        <f t="shared" si="9"/>
        <v>44561</v>
      </c>
      <c r="I521" s="75"/>
      <c r="J521" s="62" t="s">
        <v>2327</v>
      </c>
      <c r="K521" s="62" t="s">
        <v>2328</v>
      </c>
      <c r="L521" s="63" t="s">
        <v>57</v>
      </c>
      <c r="M521" s="64">
        <v>82636.0</v>
      </c>
      <c r="N521" s="80" t="s">
        <v>2329</v>
      </c>
      <c r="O521" s="66" t="s">
        <v>2330</v>
      </c>
      <c r="P521" s="37"/>
      <c r="Q521" s="38"/>
      <c r="R521" s="22"/>
      <c r="S521" s="38"/>
      <c r="T521" s="38"/>
      <c r="U521" s="38"/>
      <c r="V521" s="59"/>
      <c r="W521" s="38"/>
      <c r="X521" s="38"/>
      <c r="Y521" s="36" t="str">
        <f t="shared" si="43"/>
        <v>renew</v>
      </c>
      <c r="Z521" s="130"/>
      <c r="AA521" s="27"/>
    </row>
    <row r="522">
      <c r="A522" s="87" t="s">
        <v>1230</v>
      </c>
      <c r="B522" s="87" t="s">
        <v>2331</v>
      </c>
      <c r="C522" s="75">
        <v>849.0</v>
      </c>
      <c r="D522" s="22" t="str">
        <f t="shared" si="1"/>
        <v>General</v>
      </c>
      <c r="E522" s="23" t="str">
        <f t="shared" si="2"/>
        <v>Lapsed</v>
      </c>
      <c r="F522" s="24">
        <v>1.0</v>
      </c>
      <c r="G522" s="155">
        <v>44375.0</v>
      </c>
      <c r="H522" s="26">
        <f t="shared" si="9"/>
        <v>44561</v>
      </c>
      <c r="I522" s="75"/>
      <c r="J522" s="62" t="s">
        <v>2332</v>
      </c>
      <c r="K522" s="62" t="s">
        <v>761</v>
      </c>
      <c r="L522" s="63" t="s">
        <v>35</v>
      </c>
      <c r="M522" s="64">
        <v>80401.0</v>
      </c>
      <c r="N522" s="80" t="s">
        <v>2333</v>
      </c>
      <c r="O522" s="66" t="s">
        <v>2334</v>
      </c>
      <c r="P522" s="37"/>
      <c r="Q522" s="38"/>
      <c r="R522" s="22"/>
      <c r="S522" s="38"/>
      <c r="T522" s="38"/>
      <c r="U522" s="38"/>
      <c r="V522" s="59"/>
      <c r="W522" s="38"/>
      <c r="X522" s="38"/>
      <c r="Y522" s="36" t="str">
        <f t="shared" si="43"/>
        <v>renew</v>
      </c>
      <c r="Z522" s="75"/>
      <c r="AA522" s="75"/>
    </row>
    <row r="523">
      <c r="A523" s="87" t="s">
        <v>2335</v>
      </c>
      <c r="B523" s="87" t="s">
        <v>562</v>
      </c>
      <c r="C523" s="75">
        <v>848.0</v>
      </c>
      <c r="D523" s="22" t="str">
        <f t="shared" si="1"/>
        <v>General</v>
      </c>
      <c r="E523" s="23" t="str">
        <f t="shared" si="2"/>
        <v>Lapsed</v>
      </c>
      <c r="F523" s="24">
        <v>1.0</v>
      </c>
      <c r="G523" s="25">
        <v>44375.0</v>
      </c>
      <c r="H523" s="26">
        <f t="shared" si="9"/>
        <v>44561</v>
      </c>
      <c r="I523" s="75"/>
      <c r="J523" s="62" t="s">
        <v>2336</v>
      </c>
      <c r="K523" s="62" t="s">
        <v>2337</v>
      </c>
      <c r="L523" s="63" t="s">
        <v>244</v>
      </c>
      <c r="M523" s="64">
        <v>69143.0</v>
      </c>
      <c r="N523" s="80" t="s">
        <v>2338</v>
      </c>
      <c r="O523" s="66" t="s">
        <v>2339</v>
      </c>
      <c r="P523" s="37"/>
      <c r="Q523" s="38"/>
      <c r="R523" s="22"/>
      <c r="S523" s="38"/>
      <c r="T523" s="38"/>
      <c r="U523" s="38"/>
      <c r="V523" s="59"/>
      <c r="W523" s="38"/>
      <c r="X523" s="38"/>
      <c r="Y523" s="36" t="str">
        <f t="shared" si="43"/>
        <v>renew</v>
      </c>
      <c r="Z523" s="75"/>
      <c r="AA523" s="75"/>
    </row>
    <row r="524">
      <c r="A524" s="87" t="s">
        <v>2340</v>
      </c>
      <c r="B524" s="87" t="s">
        <v>1713</v>
      </c>
      <c r="C524" s="75">
        <v>847.0</v>
      </c>
      <c r="D524" s="22" t="str">
        <f t="shared" si="1"/>
        <v>General</v>
      </c>
      <c r="E524" s="23" t="str">
        <f t="shared" si="2"/>
        <v>Lapsed</v>
      </c>
      <c r="F524" s="24">
        <v>1.0</v>
      </c>
      <c r="G524" s="25">
        <v>45849.0</v>
      </c>
      <c r="H524" s="26">
        <f t="shared" si="9"/>
        <v>46022</v>
      </c>
      <c r="I524" s="21"/>
      <c r="J524" s="62" t="s">
        <v>2341</v>
      </c>
      <c r="K524" s="62" t="s">
        <v>423</v>
      </c>
      <c r="L524" s="63" t="s">
        <v>35</v>
      </c>
      <c r="M524" s="64">
        <v>80107.0</v>
      </c>
      <c r="N524" s="80" t="s">
        <v>2342</v>
      </c>
      <c r="O524" s="66" t="s">
        <v>2343</v>
      </c>
      <c r="P524" s="37"/>
      <c r="Q524" s="38"/>
      <c r="R524" s="22"/>
      <c r="S524" s="22">
        <v>4.0</v>
      </c>
      <c r="T524" s="38"/>
      <c r="U524" s="38"/>
      <c r="V524" s="59"/>
      <c r="W524" s="38"/>
      <c r="X524" s="38"/>
      <c r="Y524" s="36" t="str">
        <f t="shared" si="43"/>
        <v>renew</v>
      </c>
      <c r="Z524" s="21" t="s">
        <v>27</v>
      </c>
      <c r="AA524" s="75"/>
    </row>
    <row r="525">
      <c r="A525" s="87" t="s">
        <v>2344</v>
      </c>
      <c r="B525" s="87" t="s">
        <v>2345</v>
      </c>
      <c r="C525" s="75">
        <v>846.0</v>
      </c>
      <c r="D525" s="22" t="str">
        <f t="shared" si="1"/>
        <v>General</v>
      </c>
      <c r="E525" s="23" t="str">
        <f t="shared" si="2"/>
        <v>Lapsed</v>
      </c>
      <c r="F525" s="24">
        <v>1.0</v>
      </c>
      <c r="G525" s="155">
        <v>44375.0</v>
      </c>
      <c r="H525" s="26">
        <f t="shared" si="9"/>
        <v>44561</v>
      </c>
      <c r="I525" s="75"/>
      <c r="J525" s="62" t="s">
        <v>2346</v>
      </c>
      <c r="K525" s="62" t="s">
        <v>42</v>
      </c>
      <c r="L525" s="63" t="s">
        <v>35</v>
      </c>
      <c r="M525" s="64">
        <v>80526.0</v>
      </c>
      <c r="N525" s="80" t="s">
        <v>2347</v>
      </c>
      <c r="O525" s="66" t="s">
        <v>2348</v>
      </c>
      <c r="P525" s="37"/>
      <c r="Q525" s="38"/>
      <c r="R525" s="22"/>
      <c r="S525" s="38"/>
      <c r="T525" s="38"/>
      <c r="U525" s="38"/>
      <c r="V525" s="59"/>
      <c r="W525" s="38"/>
      <c r="X525" s="38"/>
      <c r="Y525" s="36" t="str">
        <f t="shared" si="43"/>
        <v>renew</v>
      </c>
      <c r="Z525" s="75"/>
      <c r="AA525" s="75"/>
    </row>
    <row r="526">
      <c r="A526" s="87" t="s">
        <v>2349</v>
      </c>
      <c r="B526" s="87" t="s">
        <v>887</v>
      </c>
      <c r="C526" s="75">
        <v>845.0</v>
      </c>
      <c r="D526" s="22" t="str">
        <f t="shared" si="1"/>
        <v>General</v>
      </c>
      <c r="E526" s="23" t="str">
        <f t="shared" si="2"/>
        <v>Lapsed</v>
      </c>
      <c r="F526" s="24">
        <v>1.0</v>
      </c>
      <c r="G526" s="155">
        <v>44375.0</v>
      </c>
      <c r="H526" s="26">
        <f t="shared" si="9"/>
        <v>44561</v>
      </c>
      <c r="I526" s="75"/>
      <c r="J526" s="62" t="s">
        <v>2350</v>
      </c>
      <c r="K526" s="62" t="s">
        <v>651</v>
      </c>
      <c r="L526" s="63" t="s">
        <v>35</v>
      </c>
      <c r="M526" s="64">
        <v>80018.0</v>
      </c>
      <c r="N526" s="80" t="s">
        <v>2351</v>
      </c>
      <c r="O526" s="66" t="s">
        <v>2352</v>
      </c>
      <c r="P526" s="37"/>
      <c r="Q526" s="38"/>
      <c r="R526" s="22"/>
      <c r="S526" s="38"/>
      <c r="T526" s="38"/>
      <c r="U526" s="38"/>
      <c r="V526" s="59"/>
      <c r="W526" s="38"/>
      <c r="X526" s="38"/>
      <c r="Y526" s="36" t="str">
        <f t="shared" si="43"/>
        <v>renew</v>
      </c>
      <c r="Z526" s="75"/>
      <c r="AA526" s="75"/>
    </row>
    <row r="527">
      <c r="A527" s="87" t="s">
        <v>2353</v>
      </c>
      <c r="B527" s="87" t="s">
        <v>887</v>
      </c>
      <c r="C527" s="75">
        <v>844.0</v>
      </c>
      <c r="D527" s="22" t="str">
        <f t="shared" si="1"/>
        <v>General</v>
      </c>
      <c r="E527" s="23" t="str">
        <f t="shared" si="2"/>
        <v>Lapsed</v>
      </c>
      <c r="F527" s="24">
        <v>1.0</v>
      </c>
      <c r="G527" s="25">
        <v>45451.0</v>
      </c>
      <c r="H527" s="26">
        <f t="shared" si="9"/>
        <v>45657</v>
      </c>
      <c r="I527" s="21"/>
      <c r="J527" s="62" t="s">
        <v>2354</v>
      </c>
      <c r="K527" s="29" t="s">
        <v>473</v>
      </c>
      <c r="L527" s="63" t="s">
        <v>35</v>
      </c>
      <c r="M527" s="64">
        <v>82241.0</v>
      </c>
      <c r="N527" s="80" t="s">
        <v>2355</v>
      </c>
      <c r="O527" s="66" t="s">
        <v>2356</v>
      </c>
      <c r="P527" s="37"/>
      <c r="Q527" s="38"/>
      <c r="R527" s="22"/>
      <c r="S527" s="22"/>
      <c r="T527" s="22">
        <v>1.0</v>
      </c>
      <c r="U527" s="38"/>
      <c r="V527" s="59"/>
      <c r="W527" s="38"/>
      <c r="X527" s="38"/>
      <c r="Y527" s="36" t="str">
        <f t="shared" si="43"/>
        <v>renew</v>
      </c>
      <c r="Z527" s="114"/>
      <c r="AA527" s="132"/>
    </row>
    <row r="528">
      <c r="A528" s="87" t="s">
        <v>2357</v>
      </c>
      <c r="B528" s="87" t="s">
        <v>2358</v>
      </c>
      <c r="C528" s="75">
        <v>843.0</v>
      </c>
      <c r="D528" s="22" t="str">
        <f t="shared" si="1"/>
        <v>General</v>
      </c>
      <c r="E528" s="23" t="str">
        <f t="shared" si="2"/>
        <v>Lapsed</v>
      </c>
      <c r="F528" s="24">
        <v>1.0</v>
      </c>
      <c r="G528" s="25">
        <v>44786.0</v>
      </c>
      <c r="H528" s="26">
        <f t="shared" si="9"/>
        <v>44926</v>
      </c>
      <c r="I528" s="21"/>
      <c r="J528" s="29" t="s">
        <v>2359</v>
      </c>
      <c r="K528" s="29" t="s">
        <v>2360</v>
      </c>
      <c r="L528" s="63" t="s">
        <v>35</v>
      </c>
      <c r="M528" s="42" t="s">
        <v>2361</v>
      </c>
      <c r="N528" s="80" t="s">
        <v>2362</v>
      </c>
      <c r="O528" s="54">
        <v>7.203551793E9</v>
      </c>
      <c r="P528" s="33">
        <v>38897.0</v>
      </c>
      <c r="Q528" s="22">
        <f>datedif(P528,today(),"Y")</f>
        <v>19</v>
      </c>
      <c r="R528" s="22"/>
      <c r="S528" s="38"/>
      <c r="T528" s="38"/>
      <c r="U528" s="38"/>
      <c r="V528" s="59"/>
      <c r="W528" s="22" t="s">
        <v>800</v>
      </c>
      <c r="X528" s="38"/>
      <c r="Y528" s="36" t="str">
        <f t="shared" si="43"/>
        <v>renew</v>
      </c>
      <c r="Z528" s="21"/>
      <c r="AA528" s="75"/>
    </row>
    <row r="529">
      <c r="A529" s="87" t="s">
        <v>2363</v>
      </c>
      <c r="B529" s="87" t="s">
        <v>2364</v>
      </c>
      <c r="C529" s="75">
        <v>842.0</v>
      </c>
      <c r="D529" s="22" t="str">
        <f t="shared" si="1"/>
        <v>General</v>
      </c>
      <c r="E529" s="23" t="str">
        <f t="shared" si="2"/>
        <v>Lapsed</v>
      </c>
      <c r="F529" s="24">
        <v>1.0</v>
      </c>
      <c r="G529" s="155">
        <v>44375.0</v>
      </c>
      <c r="H529" s="26">
        <f t="shared" si="9"/>
        <v>44561</v>
      </c>
      <c r="I529" s="75"/>
      <c r="J529" s="62" t="s">
        <v>2365</v>
      </c>
      <c r="K529" s="62" t="s">
        <v>56</v>
      </c>
      <c r="L529" s="63" t="s">
        <v>57</v>
      </c>
      <c r="M529" s="64">
        <v>82009.0</v>
      </c>
      <c r="N529" s="131" t="s">
        <v>2366</v>
      </c>
      <c r="O529" s="66" t="s">
        <v>2367</v>
      </c>
      <c r="P529" s="37"/>
      <c r="Q529" s="38"/>
      <c r="R529" s="22"/>
      <c r="S529" s="38"/>
      <c r="T529" s="38"/>
      <c r="U529" s="38"/>
      <c r="V529" s="59"/>
      <c r="W529" s="38"/>
      <c r="X529" s="38"/>
      <c r="Y529" s="36" t="str">
        <f t="shared" si="43"/>
        <v>renew</v>
      </c>
      <c r="Z529" s="75"/>
      <c r="AA529" s="75"/>
    </row>
    <row r="530">
      <c r="A530" s="87" t="s">
        <v>2368</v>
      </c>
      <c r="B530" s="87" t="s">
        <v>2369</v>
      </c>
      <c r="C530" s="75">
        <v>841.0</v>
      </c>
      <c r="D530" s="22" t="str">
        <f t="shared" si="1"/>
        <v>General</v>
      </c>
      <c r="E530" s="23" t="str">
        <f t="shared" si="2"/>
        <v>Lapsed</v>
      </c>
      <c r="F530" s="24">
        <v>1.0</v>
      </c>
      <c r="G530" s="25">
        <v>45771.0</v>
      </c>
      <c r="H530" s="26">
        <f t="shared" si="9"/>
        <v>46022</v>
      </c>
      <c r="I530" s="21"/>
      <c r="J530" s="29" t="s">
        <v>2370</v>
      </c>
      <c r="K530" s="62" t="s">
        <v>42</v>
      </c>
      <c r="L530" s="63" t="s">
        <v>35</v>
      </c>
      <c r="M530" s="42" t="s">
        <v>99</v>
      </c>
      <c r="N530" s="80" t="s">
        <v>2371</v>
      </c>
      <c r="O530" s="66" t="s">
        <v>2372</v>
      </c>
      <c r="P530" s="37"/>
      <c r="Q530" s="38"/>
      <c r="R530" s="22"/>
      <c r="S530" s="22">
        <v>1.0</v>
      </c>
      <c r="T530" s="22"/>
      <c r="U530" s="22">
        <v>1.0</v>
      </c>
      <c r="V530" s="106">
        <v>45042.0</v>
      </c>
      <c r="W530" s="38"/>
      <c r="X530" s="22" t="s">
        <v>800</v>
      </c>
      <c r="Y530" s="36" t="str">
        <f t="shared" si="43"/>
        <v>renew</v>
      </c>
      <c r="Z530" s="21" t="s">
        <v>27</v>
      </c>
      <c r="AA530" s="75"/>
    </row>
    <row r="531">
      <c r="A531" s="87" t="s">
        <v>450</v>
      </c>
      <c r="B531" s="87" t="s">
        <v>2373</v>
      </c>
      <c r="C531" s="75">
        <v>840.0</v>
      </c>
      <c r="D531" s="22" t="str">
        <f t="shared" si="1"/>
        <v>General</v>
      </c>
      <c r="E531" s="23" t="str">
        <f t="shared" si="2"/>
        <v>Lapsed</v>
      </c>
      <c r="F531" s="24">
        <v>1.0</v>
      </c>
      <c r="G531" s="146">
        <v>44375.0</v>
      </c>
      <c r="H531" s="26">
        <f t="shared" si="9"/>
        <v>44561</v>
      </c>
      <c r="I531" s="75"/>
      <c r="J531" s="62" t="s">
        <v>2374</v>
      </c>
      <c r="K531" s="62" t="s">
        <v>2093</v>
      </c>
      <c r="L531" s="63" t="s">
        <v>57</v>
      </c>
      <c r="M531" s="64">
        <v>82060.0</v>
      </c>
      <c r="N531" s="80" t="s">
        <v>2375</v>
      </c>
      <c r="O531" s="66" t="s">
        <v>2376</v>
      </c>
      <c r="P531" s="37"/>
      <c r="Q531" s="38"/>
      <c r="R531" s="22"/>
      <c r="S531" s="38"/>
      <c r="T531" s="38"/>
      <c r="U531" s="38"/>
      <c r="V531" s="157"/>
      <c r="W531" s="38"/>
      <c r="X531" s="38"/>
      <c r="Y531" s="36" t="str">
        <f t="shared" si="43"/>
        <v>renew</v>
      </c>
      <c r="Z531" s="75"/>
      <c r="AA531" s="75"/>
    </row>
    <row r="532">
      <c r="A532" s="87" t="s">
        <v>2377</v>
      </c>
      <c r="B532" s="87" t="s">
        <v>2378</v>
      </c>
      <c r="C532" s="75">
        <v>839.0</v>
      </c>
      <c r="D532" s="22" t="str">
        <f t="shared" si="1"/>
        <v>General</v>
      </c>
      <c r="E532" s="23" t="str">
        <f t="shared" si="2"/>
        <v>Lapsed</v>
      </c>
      <c r="F532" s="24">
        <v>1.0</v>
      </c>
      <c r="G532" s="25">
        <v>45731.0</v>
      </c>
      <c r="H532" s="26">
        <f t="shared" si="9"/>
        <v>46022</v>
      </c>
      <c r="I532" s="21"/>
      <c r="J532" s="62" t="s">
        <v>2379</v>
      </c>
      <c r="K532" s="62" t="s">
        <v>56</v>
      </c>
      <c r="L532" s="63" t="s">
        <v>57</v>
      </c>
      <c r="M532" s="64">
        <v>82009.0</v>
      </c>
      <c r="N532" s="80" t="s">
        <v>2380</v>
      </c>
      <c r="O532" s="66" t="s">
        <v>2381</v>
      </c>
      <c r="P532" s="37"/>
      <c r="Q532" s="38"/>
      <c r="R532" s="22"/>
      <c r="S532" s="22">
        <v>1.0</v>
      </c>
      <c r="T532" s="22">
        <v>1.0</v>
      </c>
      <c r="U532" s="38"/>
      <c r="V532" s="59"/>
      <c r="W532" s="38"/>
      <c r="X532" s="38"/>
      <c r="Y532" s="36" t="str">
        <f t="shared" si="43"/>
        <v>renew</v>
      </c>
      <c r="Z532" s="21" t="s">
        <v>8</v>
      </c>
      <c r="AA532" s="75"/>
    </row>
    <row r="533">
      <c r="A533" s="87" t="s">
        <v>2382</v>
      </c>
      <c r="B533" s="87" t="s">
        <v>2383</v>
      </c>
      <c r="C533" s="75">
        <v>838.0</v>
      </c>
      <c r="D533" s="22" t="str">
        <f t="shared" si="1"/>
        <v>General</v>
      </c>
      <c r="E533" s="23" t="str">
        <f t="shared" si="2"/>
        <v>Lapsed</v>
      </c>
      <c r="F533" s="24">
        <v>1.0</v>
      </c>
      <c r="G533" s="155">
        <v>44375.0</v>
      </c>
      <c r="H533" s="26">
        <f t="shared" si="9"/>
        <v>44561</v>
      </c>
      <c r="I533" s="75"/>
      <c r="J533" s="62" t="s">
        <v>2384</v>
      </c>
      <c r="K533" s="62" t="s">
        <v>2385</v>
      </c>
      <c r="L533" s="63" t="s">
        <v>35</v>
      </c>
      <c r="M533" s="64">
        <v>80117.0</v>
      </c>
      <c r="N533" s="80" t="s">
        <v>2386</v>
      </c>
      <c r="O533" s="66" t="s">
        <v>2387</v>
      </c>
      <c r="P533" s="37"/>
      <c r="Q533" s="38"/>
      <c r="R533" s="22"/>
      <c r="S533" s="38"/>
      <c r="T533" s="38"/>
      <c r="U533" s="38"/>
      <c r="V533" s="59"/>
      <c r="W533" s="38"/>
      <c r="X533" s="38"/>
      <c r="Y533" s="36" t="str">
        <f t="shared" si="43"/>
        <v>renew</v>
      </c>
      <c r="Z533" s="75"/>
      <c r="AA533" s="75"/>
    </row>
    <row r="534">
      <c r="A534" s="87" t="s">
        <v>2388</v>
      </c>
      <c r="B534" s="87" t="s">
        <v>2389</v>
      </c>
      <c r="C534" s="75">
        <v>837.0</v>
      </c>
      <c r="D534" s="22" t="str">
        <f t="shared" si="1"/>
        <v>General</v>
      </c>
      <c r="E534" s="23" t="str">
        <f t="shared" si="2"/>
        <v>Lapsed</v>
      </c>
      <c r="F534" s="24">
        <v>1.0</v>
      </c>
      <c r="G534" s="155">
        <v>44235.0</v>
      </c>
      <c r="H534" s="26">
        <f t="shared" si="9"/>
        <v>44561</v>
      </c>
      <c r="I534" s="75"/>
      <c r="J534" s="62" t="s">
        <v>2390</v>
      </c>
      <c r="K534" s="62" t="s">
        <v>56</v>
      </c>
      <c r="L534" s="63" t="s">
        <v>57</v>
      </c>
      <c r="M534" s="64">
        <v>82009.0</v>
      </c>
      <c r="N534" s="148" t="s">
        <v>2391</v>
      </c>
      <c r="O534" s="66" t="s">
        <v>2392</v>
      </c>
      <c r="P534" s="37"/>
      <c r="Q534" s="38"/>
      <c r="R534" s="22"/>
      <c r="S534" s="38"/>
      <c r="T534" s="38"/>
      <c r="U534" s="38"/>
      <c r="V534" s="59"/>
      <c r="W534" s="38"/>
      <c r="X534" s="38"/>
      <c r="Y534" s="36" t="str">
        <f t="shared" si="43"/>
        <v>renew</v>
      </c>
      <c r="Z534" s="75"/>
      <c r="AA534" s="75"/>
    </row>
    <row r="535">
      <c r="A535" s="87" t="s">
        <v>2393</v>
      </c>
      <c r="B535" s="87" t="s">
        <v>2394</v>
      </c>
      <c r="C535" s="75">
        <v>836.0</v>
      </c>
      <c r="D535" s="22" t="str">
        <f t="shared" si="1"/>
        <v>General</v>
      </c>
      <c r="E535" s="23" t="str">
        <f t="shared" si="2"/>
        <v>Lapsed</v>
      </c>
      <c r="F535" s="24">
        <v>1.0</v>
      </c>
      <c r="G535" s="25">
        <v>45817.0</v>
      </c>
      <c r="H535" s="26">
        <f t="shared" si="9"/>
        <v>46022</v>
      </c>
      <c r="I535" s="21"/>
      <c r="J535" s="29" t="s">
        <v>2395</v>
      </c>
      <c r="K535" s="29" t="s">
        <v>1494</v>
      </c>
      <c r="L535" s="30" t="s">
        <v>57</v>
      </c>
      <c r="M535" s="42" t="s">
        <v>1495</v>
      </c>
      <c r="N535" s="131" t="s">
        <v>2396</v>
      </c>
      <c r="O535" s="66" t="s">
        <v>2397</v>
      </c>
      <c r="P535" s="37"/>
      <c r="Q535" s="38"/>
      <c r="R535" s="22"/>
      <c r="S535" s="22">
        <v>2.0</v>
      </c>
      <c r="T535" s="22">
        <v>1.0</v>
      </c>
      <c r="U535" s="22">
        <v>2.0</v>
      </c>
      <c r="V535" s="35">
        <v>45069.0</v>
      </c>
      <c r="W535" s="22" t="s">
        <v>800</v>
      </c>
      <c r="X535" s="22" t="s">
        <v>800</v>
      </c>
      <c r="Y535" s="36" t="str">
        <f t="shared" si="43"/>
        <v>renew</v>
      </c>
      <c r="Z535" s="21"/>
      <c r="AA535" s="75"/>
    </row>
    <row r="536">
      <c r="A536" s="87" t="s">
        <v>2398</v>
      </c>
      <c r="B536" s="87" t="s">
        <v>2110</v>
      </c>
      <c r="C536" s="75">
        <v>835.0</v>
      </c>
      <c r="D536" s="22" t="str">
        <f t="shared" si="1"/>
        <v>General</v>
      </c>
      <c r="E536" s="23" t="str">
        <f t="shared" si="2"/>
        <v>Lapsed</v>
      </c>
      <c r="F536" s="24">
        <v>1.0</v>
      </c>
      <c r="G536" s="25">
        <v>44235.0</v>
      </c>
      <c r="H536" s="26">
        <f t="shared" si="9"/>
        <v>44561</v>
      </c>
      <c r="I536" s="75"/>
      <c r="J536" s="62" t="s">
        <v>2399</v>
      </c>
      <c r="K536" s="62" t="s">
        <v>2400</v>
      </c>
      <c r="L536" s="63" t="s">
        <v>35</v>
      </c>
      <c r="M536" s="64">
        <v>80475.0</v>
      </c>
      <c r="N536" s="53" t="s">
        <v>2401</v>
      </c>
      <c r="O536" s="66" t="s">
        <v>2402</v>
      </c>
      <c r="P536" s="37"/>
      <c r="Q536" s="38"/>
      <c r="R536" s="22"/>
      <c r="S536" s="38"/>
      <c r="T536" s="38"/>
      <c r="U536" s="38"/>
      <c r="V536" s="59"/>
      <c r="W536" s="38"/>
      <c r="X536" s="38"/>
      <c r="Y536" s="36" t="str">
        <f t="shared" si="43"/>
        <v>renew</v>
      </c>
      <c r="Z536" s="75"/>
      <c r="AA536" s="75"/>
    </row>
    <row r="537">
      <c r="A537" s="87" t="s">
        <v>363</v>
      </c>
      <c r="B537" s="87" t="s">
        <v>2403</v>
      </c>
      <c r="C537" s="75">
        <v>834.0</v>
      </c>
      <c r="D537" s="22" t="str">
        <f t="shared" si="1"/>
        <v>General</v>
      </c>
      <c r="E537" s="23" t="str">
        <f t="shared" si="2"/>
        <v>Lapsed</v>
      </c>
      <c r="F537" s="158">
        <v>3.0</v>
      </c>
      <c r="G537" s="25">
        <v>45160.0</v>
      </c>
      <c r="H537" s="26">
        <f t="shared" si="9"/>
        <v>46022</v>
      </c>
      <c r="I537" s="21"/>
      <c r="J537" s="62" t="s">
        <v>2404</v>
      </c>
      <c r="K537" s="62" t="s">
        <v>2405</v>
      </c>
      <c r="L537" s="63" t="s">
        <v>57</v>
      </c>
      <c r="M537" s="64">
        <v>82059.0</v>
      </c>
      <c r="N537" s="131" t="s">
        <v>2406</v>
      </c>
      <c r="O537" s="54">
        <v>3.076318897E9</v>
      </c>
      <c r="P537" s="37"/>
      <c r="Q537" s="38"/>
      <c r="R537" s="22"/>
      <c r="S537" s="22">
        <v>1.0</v>
      </c>
      <c r="T537" s="22">
        <v>1.0</v>
      </c>
      <c r="U537" s="22">
        <v>2.0</v>
      </c>
      <c r="V537" s="107">
        <v>45160.0</v>
      </c>
      <c r="W537" s="38"/>
      <c r="X537" s="22" t="s">
        <v>800</v>
      </c>
      <c r="Y537" s="36" t="str">
        <f t="shared" si="43"/>
        <v>renew</v>
      </c>
      <c r="Z537" s="21" t="s">
        <v>27</v>
      </c>
      <c r="AA537" s="75"/>
    </row>
    <row r="538">
      <c r="A538" s="87" t="s">
        <v>2407</v>
      </c>
      <c r="B538" s="87" t="s">
        <v>2289</v>
      </c>
      <c r="C538" s="75">
        <v>833.0</v>
      </c>
      <c r="D538" s="22" t="str">
        <f t="shared" si="1"/>
        <v>General</v>
      </c>
      <c r="E538" s="23" t="str">
        <f t="shared" si="2"/>
        <v>Lapsed</v>
      </c>
      <c r="F538" s="24">
        <v>1.0</v>
      </c>
      <c r="G538" s="25">
        <v>45817.0</v>
      </c>
      <c r="H538" s="26">
        <f t="shared" si="9"/>
        <v>46022</v>
      </c>
      <c r="I538" s="75"/>
      <c r="J538" s="29" t="s">
        <v>2290</v>
      </c>
      <c r="K538" s="62" t="s">
        <v>1725</v>
      </c>
      <c r="L538" s="63" t="s">
        <v>35</v>
      </c>
      <c r="M538" s="64" t="s">
        <v>2408</v>
      </c>
      <c r="N538" s="80" t="s">
        <v>2409</v>
      </c>
      <c r="O538" s="66" t="s">
        <v>2410</v>
      </c>
      <c r="P538" s="37"/>
      <c r="Q538" s="38"/>
      <c r="R538" s="22"/>
      <c r="S538" s="22">
        <v>2.0</v>
      </c>
      <c r="T538" s="38"/>
      <c r="U538" s="38"/>
      <c r="V538" s="59"/>
      <c r="W538" s="38"/>
      <c r="X538" s="38"/>
      <c r="Y538" s="36" t="str">
        <f t="shared" si="43"/>
        <v>renew</v>
      </c>
      <c r="Z538" s="75"/>
      <c r="AA538" s="75"/>
    </row>
    <row r="539">
      <c r="A539" s="87" t="s">
        <v>2008</v>
      </c>
      <c r="B539" s="87" t="s">
        <v>2411</v>
      </c>
      <c r="C539" s="75">
        <v>832.0</v>
      </c>
      <c r="D539" s="22" t="str">
        <f t="shared" si="1"/>
        <v>General</v>
      </c>
      <c r="E539" s="23" t="str">
        <f t="shared" si="2"/>
        <v>Lapsed</v>
      </c>
      <c r="F539" s="24">
        <v>1.0</v>
      </c>
      <c r="G539" s="25">
        <v>45032.0</v>
      </c>
      <c r="H539" s="26">
        <f t="shared" si="9"/>
        <v>45291</v>
      </c>
      <c r="I539" s="21"/>
      <c r="J539" s="29" t="s">
        <v>2412</v>
      </c>
      <c r="K539" s="62" t="s">
        <v>190</v>
      </c>
      <c r="L539" s="63" t="s">
        <v>35</v>
      </c>
      <c r="M539" s="42" t="s">
        <v>311</v>
      </c>
      <c r="N539" s="131" t="s">
        <v>2413</v>
      </c>
      <c r="O539" s="66" t="s">
        <v>2414</v>
      </c>
      <c r="P539" s="37"/>
      <c r="Q539" s="38"/>
      <c r="R539" s="22"/>
      <c r="S539" s="22"/>
      <c r="T539" s="22"/>
      <c r="U539" s="22">
        <v>1.0</v>
      </c>
      <c r="V539" s="106">
        <v>45032.0</v>
      </c>
      <c r="W539" s="38"/>
      <c r="X539" s="22" t="s">
        <v>800</v>
      </c>
      <c r="Y539" s="36" t="str">
        <f t="shared" si="43"/>
        <v>renew</v>
      </c>
      <c r="Z539" s="21"/>
      <c r="AA539" s="75"/>
    </row>
    <row r="540">
      <c r="A540" s="87" t="s">
        <v>1240</v>
      </c>
      <c r="B540" s="87" t="s">
        <v>2415</v>
      </c>
      <c r="C540" s="75">
        <v>831.0</v>
      </c>
      <c r="D540" s="22" t="str">
        <f t="shared" si="1"/>
        <v>General</v>
      </c>
      <c r="E540" s="23" t="str">
        <f t="shared" si="2"/>
        <v>Lapsed</v>
      </c>
      <c r="F540" s="24">
        <v>1.0</v>
      </c>
      <c r="G540" s="25">
        <v>44670.0</v>
      </c>
      <c r="H540" s="26">
        <f t="shared" si="9"/>
        <v>44926</v>
      </c>
      <c r="I540" s="75"/>
      <c r="J540" s="62" t="s">
        <v>2416</v>
      </c>
      <c r="K540" s="62" t="s">
        <v>898</v>
      </c>
      <c r="L540" s="63" t="s">
        <v>35</v>
      </c>
      <c r="M540" s="64">
        <v>80631.0</v>
      </c>
      <c r="N540" s="80" t="s">
        <v>2417</v>
      </c>
      <c r="O540" s="66" t="s">
        <v>2418</v>
      </c>
      <c r="P540" s="37"/>
      <c r="Q540" s="38"/>
      <c r="R540" s="22"/>
      <c r="S540" s="22"/>
      <c r="T540" s="22"/>
      <c r="U540" s="22"/>
      <c r="V540" s="59"/>
      <c r="W540" s="22" t="s">
        <v>800</v>
      </c>
      <c r="X540" s="38"/>
      <c r="Y540" s="36" t="str">
        <f t="shared" si="43"/>
        <v>renew</v>
      </c>
      <c r="Z540" s="75"/>
      <c r="AA540" s="75"/>
    </row>
    <row r="541">
      <c r="A541" s="87" t="s">
        <v>295</v>
      </c>
      <c r="B541" s="87" t="s">
        <v>2419</v>
      </c>
      <c r="C541" s="75">
        <v>830.0</v>
      </c>
      <c r="D541" s="22" t="str">
        <f t="shared" si="1"/>
        <v>General</v>
      </c>
      <c r="E541" s="23" t="str">
        <f t="shared" si="2"/>
        <v>Lapsed</v>
      </c>
      <c r="F541" s="24">
        <v>1.0</v>
      </c>
      <c r="G541" s="146">
        <v>44481.0</v>
      </c>
      <c r="H541" s="26">
        <f t="shared" si="9"/>
        <v>44561</v>
      </c>
      <c r="I541" s="75"/>
      <c r="J541" s="62" t="s">
        <v>2420</v>
      </c>
      <c r="K541" s="62" t="s">
        <v>42</v>
      </c>
      <c r="L541" s="63" t="s">
        <v>35</v>
      </c>
      <c r="M541" s="64" t="s">
        <v>239</v>
      </c>
      <c r="N541" s="80" t="s">
        <v>2421</v>
      </c>
      <c r="O541" s="66" t="s">
        <v>2422</v>
      </c>
      <c r="P541" s="37"/>
      <c r="Q541" s="38"/>
      <c r="R541" s="22"/>
      <c r="S541" s="38"/>
      <c r="T541" s="38"/>
      <c r="U541" s="38"/>
      <c r="V541" s="157"/>
      <c r="W541" s="22" t="s">
        <v>800</v>
      </c>
      <c r="X541" s="38"/>
      <c r="Y541" s="36" t="str">
        <f t="shared" si="43"/>
        <v>renew</v>
      </c>
      <c r="Z541" s="75"/>
      <c r="AA541" s="75"/>
    </row>
    <row r="542">
      <c r="A542" s="87" t="s">
        <v>2423</v>
      </c>
      <c r="B542" s="87" t="s">
        <v>237</v>
      </c>
      <c r="C542" s="75">
        <v>829.0</v>
      </c>
      <c r="D542" s="22" t="str">
        <f t="shared" si="1"/>
        <v>General</v>
      </c>
      <c r="E542" s="23" t="str">
        <f t="shared" si="2"/>
        <v>Lapsed</v>
      </c>
      <c r="F542" s="24">
        <v>1.0</v>
      </c>
      <c r="G542" s="155"/>
      <c r="H542" s="26"/>
      <c r="I542" s="75"/>
      <c r="J542" s="62" t="s">
        <v>2424</v>
      </c>
      <c r="K542" s="62" t="s">
        <v>2060</v>
      </c>
      <c r="L542" s="63" t="s">
        <v>35</v>
      </c>
      <c r="M542" s="64" t="s">
        <v>2425</v>
      </c>
      <c r="N542" s="80" t="s">
        <v>2426</v>
      </c>
      <c r="O542" s="66" t="s">
        <v>2427</v>
      </c>
      <c r="P542" s="37"/>
      <c r="Q542" s="38"/>
      <c r="R542" s="22"/>
      <c r="S542" s="38"/>
      <c r="T542" s="38"/>
      <c r="U542" s="38"/>
      <c r="V542" s="159"/>
      <c r="W542" s="38"/>
      <c r="X542" s="38"/>
      <c r="Y542" s="36" t="str">
        <f t="shared" si="43"/>
        <v>renew</v>
      </c>
      <c r="Z542" s="75"/>
      <c r="AA542" s="75"/>
    </row>
    <row r="543">
      <c r="A543" s="87" t="s">
        <v>154</v>
      </c>
      <c r="B543" s="87" t="s">
        <v>2428</v>
      </c>
      <c r="C543" s="138">
        <v>828.0</v>
      </c>
      <c r="D543" s="22" t="str">
        <f t="shared" si="1"/>
        <v>General</v>
      </c>
      <c r="E543" s="23" t="str">
        <f t="shared" si="2"/>
        <v>Active</v>
      </c>
      <c r="F543" s="24">
        <v>3.0</v>
      </c>
      <c r="G543" s="25">
        <v>45693.0</v>
      </c>
      <c r="H543" s="26">
        <f t="shared" ref="H543:H653" si="44">DATE(YEAR(G543)+F543-1, 12, 31)</f>
        <v>46752</v>
      </c>
      <c r="I543" s="21" t="s">
        <v>8</v>
      </c>
      <c r="J543" s="62" t="s">
        <v>2429</v>
      </c>
      <c r="K543" s="160" t="s">
        <v>56</v>
      </c>
      <c r="L543" s="161" t="s">
        <v>57</v>
      </c>
      <c r="M543" s="64" t="s">
        <v>63</v>
      </c>
      <c r="N543" s="80" t="s">
        <v>2430</v>
      </c>
      <c r="O543" s="66" t="s">
        <v>2431</v>
      </c>
      <c r="P543" s="136"/>
      <c r="Q543" s="137"/>
      <c r="R543" s="118"/>
      <c r="S543" s="22">
        <v>1.0</v>
      </c>
      <c r="T543" s="22">
        <v>1.0</v>
      </c>
      <c r="U543" s="22">
        <v>1.0</v>
      </c>
      <c r="V543" s="106">
        <v>44936.0</v>
      </c>
      <c r="W543" s="22" t="s">
        <v>800</v>
      </c>
      <c r="X543" s="22" t="s">
        <v>800</v>
      </c>
      <c r="Y543" s="36" t="s">
        <v>45</v>
      </c>
      <c r="Z543" s="21" t="s">
        <v>8</v>
      </c>
      <c r="AA543" s="75"/>
    </row>
    <row r="544">
      <c r="A544" s="87" t="s">
        <v>2432</v>
      </c>
      <c r="B544" s="87" t="s">
        <v>2433</v>
      </c>
      <c r="C544" s="21">
        <v>827.0</v>
      </c>
      <c r="D544" s="22" t="str">
        <f t="shared" si="1"/>
        <v>General</v>
      </c>
      <c r="E544" s="23" t="str">
        <f t="shared" si="2"/>
        <v>Lapsed</v>
      </c>
      <c r="F544" s="24">
        <v>1.0</v>
      </c>
      <c r="G544" s="25">
        <v>45849.0</v>
      </c>
      <c r="H544" s="26">
        <f t="shared" si="44"/>
        <v>46022</v>
      </c>
      <c r="I544" s="21"/>
      <c r="J544" s="62" t="s">
        <v>2434</v>
      </c>
      <c r="K544" s="62" t="s">
        <v>1415</v>
      </c>
      <c r="L544" s="63" t="s">
        <v>35</v>
      </c>
      <c r="M544" s="64">
        <v>80118.0</v>
      </c>
      <c r="N544" s="80" t="s">
        <v>2435</v>
      </c>
      <c r="O544" s="66" t="s">
        <v>2436</v>
      </c>
      <c r="P544" s="37"/>
      <c r="Q544" s="38"/>
      <c r="R544" s="22"/>
      <c r="S544" s="22">
        <v>4.0</v>
      </c>
      <c r="T544" s="22">
        <v>1.0</v>
      </c>
      <c r="U544" s="22">
        <v>1.0</v>
      </c>
      <c r="V544" s="106">
        <v>45005.0</v>
      </c>
      <c r="W544" s="22" t="s">
        <v>800</v>
      </c>
      <c r="X544" s="22" t="s">
        <v>800</v>
      </c>
      <c r="Y544" s="36" t="str">
        <f t="shared" ref="Y544:Y582" si="45">if(E544="Active","send","renew")</f>
        <v>renew</v>
      </c>
      <c r="Z544" s="21" t="s">
        <v>27</v>
      </c>
      <c r="AA544" s="75"/>
    </row>
    <row r="545">
      <c r="A545" s="87" t="s">
        <v>2437</v>
      </c>
      <c r="B545" s="87" t="s">
        <v>2438</v>
      </c>
      <c r="C545" s="75">
        <v>826.0</v>
      </c>
      <c r="D545" s="22" t="str">
        <f t="shared" si="1"/>
        <v>General</v>
      </c>
      <c r="E545" s="23" t="str">
        <f t="shared" si="2"/>
        <v>Lapsed</v>
      </c>
      <c r="F545" s="24">
        <v>1.0</v>
      </c>
      <c r="G545" s="25">
        <v>44356.0</v>
      </c>
      <c r="H545" s="26">
        <f t="shared" si="44"/>
        <v>44561</v>
      </c>
      <c r="I545" s="75"/>
      <c r="J545" s="62" t="s">
        <v>2439</v>
      </c>
      <c r="K545" s="62" t="s">
        <v>322</v>
      </c>
      <c r="L545" s="63" t="s">
        <v>35</v>
      </c>
      <c r="M545" s="64">
        <v>80601.0</v>
      </c>
      <c r="N545" s="80" t="s">
        <v>2440</v>
      </c>
      <c r="O545" s="66" t="s">
        <v>2441</v>
      </c>
      <c r="P545" s="37"/>
      <c r="Q545" s="38"/>
      <c r="R545" s="22"/>
      <c r="S545" s="38"/>
      <c r="T545" s="38"/>
      <c r="U545" s="38"/>
      <c r="V545" s="59"/>
      <c r="W545" s="38"/>
      <c r="X545" s="38"/>
      <c r="Y545" s="36" t="str">
        <f t="shared" si="45"/>
        <v>renew</v>
      </c>
      <c r="Z545" s="75"/>
      <c r="AA545" s="75"/>
    </row>
    <row r="546">
      <c r="A546" s="87" t="s">
        <v>2442</v>
      </c>
      <c r="B546" s="87" t="s">
        <v>2443</v>
      </c>
      <c r="C546" s="75">
        <v>826.0</v>
      </c>
      <c r="D546" s="22" t="str">
        <f t="shared" si="1"/>
        <v>General</v>
      </c>
      <c r="E546" s="23" t="str">
        <f t="shared" si="2"/>
        <v>Lapsed</v>
      </c>
      <c r="F546" s="24">
        <v>1.0</v>
      </c>
      <c r="G546" s="155">
        <v>44354.0</v>
      </c>
      <c r="H546" s="26">
        <f t="shared" si="44"/>
        <v>44561</v>
      </c>
      <c r="I546" s="75"/>
      <c r="J546" s="62" t="s">
        <v>2444</v>
      </c>
      <c r="K546" s="62" t="s">
        <v>2445</v>
      </c>
      <c r="L546" s="63" t="s">
        <v>244</v>
      </c>
      <c r="M546" s="64">
        <v>69134.0</v>
      </c>
      <c r="N546" s="80" t="s">
        <v>2446</v>
      </c>
      <c r="O546" s="66" t="s">
        <v>2447</v>
      </c>
      <c r="P546" s="37"/>
      <c r="Q546" s="38"/>
      <c r="R546" s="22"/>
      <c r="S546" s="38"/>
      <c r="T546" s="38"/>
      <c r="U546" s="38"/>
      <c r="V546" s="59"/>
      <c r="W546" s="38"/>
      <c r="X546" s="38"/>
      <c r="Y546" s="36" t="str">
        <f t="shared" si="45"/>
        <v>renew</v>
      </c>
      <c r="Z546" s="75"/>
      <c r="AA546" s="75"/>
    </row>
    <row r="547">
      <c r="A547" s="87" t="s">
        <v>1041</v>
      </c>
      <c r="B547" s="87" t="s">
        <v>2448</v>
      </c>
      <c r="C547" s="75">
        <v>825.0</v>
      </c>
      <c r="D547" s="22" t="str">
        <f t="shared" si="1"/>
        <v>General</v>
      </c>
      <c r="E547" s="23" t="str">
        <f t="shared" si="2"/>
        <v>Lapsed</v>
      </c>
      <c r="F547" s="24">
        <v>1.0</v>
      </c>
      <c r="G547" s="25">
        <v>44351.0</v>
      </c>
      <c r="H547" s="26">
        <f t="shared" si="44"/>
        <v>44561</v>
      </c>
      <c r="I547" s="75"/>
      <c r="J547" s="62" t="s">
        <v>2449</v>
      </c>
      <c r="K547" s="62" t="s">
        <v>2450</v>
      </c>
      <c r="L547" s="63" t="s">
        <v>35</v>
      </c>
      <c r="M547" s="64">
        <v>80603.0</v>
      </c>
      <c r="N547" s="80" t="s">
        <v>2451</v>
      </c>
      <c r="O547" s="66" t="s">
        <v>2452</v>
      </c>
      <c r="P547" s="37"/>
      <c r="Q547" s="38"/>
      <c r="R547" s="22"/>
      <c r="S547" s="38"/>
      <c r="T547" s="38"/>
      <c r="U547" s="38"/>
      <c r="V547" s="59"/>
      <c r="W547" s="38"/>
      <c r="X547" s="38"/>
      <c r="Y547" s="36" t="str">
        <f t="shared" si="45"/>
        <v>renew</v>
      </c>
      <c r="Z547" s="75"/>
      <c r="AA547" s="75"/>
    </row>
    <row r="548">
      <c r="A548" s="87" t="s">
        <v>1813</v>
      </c>
      <c r="B548" s="87" t="s">
        <v>2453</v>
      </c>
      <c r="C548" s="75">
        <v>824.0</v>
      </c>
      <c r="D548" s="22" t="str">
        <f t="shared" si="1"/>
        <v>General</v>
      </c>
      <c r="E548" s="23" t="str">
        <f t="shared" si="2"/>
        <v>Lapsed</v>
      </c>
      <c r="F548" s="24">
        <v>1.0</v>
      </c>
      <c r="G548" s="25">
        <v>44320.0</v>
      </c>
      <c r="H548" s="26">
        <f t="shared" si="44"/>
        <v>44561</v>
      </c>
      <c r="I548" s="75"/>
      <c r="J548" s="62" t="s">
        <v>2454</v>
      </c>
      <c r="K548" s="62" t="s">
        <v>1488</v>
      </c>
      <c r="L548" s="63" t="s">
        <v>244</v>
      </c>
      <c r="M548" s="64" t="s">
        <v>1489</v>
      </c>
      <c r="N548" s="80" t="s">
        <v>2455</v>
      </c>
      <c r="O548" s="66" t="s">
        <v>2456</v>
      </c>
      <c r="P548" s="37"/>
      <c r="Q548" s="38"/>
      <c r="R548" s="22"/>
      <c r="S548" s="38"/>
      <c r="T548" s="38"/>
      <c r="U548" s="38"/>
      <c r="V548" s="59"/>
      <c r="W548" s="38"/>
      <c r="X548" s="38"/>
      <c r="Y548" s="36" t="str">
        <f t="shared" si="45"/>
        <v>renew</v>
      </c>
      <c r="Z548" s="75"/>
      <c r="AA548" s="75"/>
    </row>
    <row r="549">
      <c r="A549" s="87" t="s">
        <v>2457</v>
      </c>
      <c r="B549" s="87" t="s">
        <v>2458</v>
      </c>
      <c r="C549" s="138">
        <v>823.0</v>
      </c>
      <c r="D549" s="22" t="str">
        <f t="shared" si="1"/>
        <v>General</v>
      </c>
      <c r="E549" s="23" t="str">
        <f t="shared" si="2"/>
        <v>Lapsed</v>
      </c>
      <c r="F549" s="24">
        <v>1.0</v>
      </c>
      <c r="G549" s="155">
        <v>44375.0</v>
      </c>
      <c r="H549" s="26">
        <f t="shared" si="44"/>
        <v>44561</v>
      </c>
      <c r="I549" s="75"/>
      <c r="J549" s="62" t="s">
        <v>2459</v>
      </c>
      <c r="K549" s="139" t="s">
        <v>42</v>
      </c>
      <c r="L549" s="140" t="s">
        <v>35</v>
      </c>
      <c r="M549" s="64" t="s">
        <v>131</v>
      </c>
      <c r="N549" s="80" t="s">
        <v>2460</v>
      </c>
      <c r="O549" s="66" t="s">
        <v>2461</v>
      </c>
      <c r="P549" s="37"/>
      <c r="Q549" s="38"/>
      <c r="R549" s="22"/>
      <c r="S549" s="38"/>
      <c r="T549" s="38"/>
      <c r="U549" s="38"/>
      <c r="V549" s="59"/>
      <c r="W549" s="38"/>
      <c r="X549" s="38"/>
      <c r="Y549" s="36" t="str">
        <f t="shared" si="45"/>
        <v>renew</v>
      </c>
      <c r="Z549" s="75"/>
      <c r="AA549" s="75"/>
    </row>
    <row r="550">
      <c r="A550" s="87" t="s">
        <v>779</v>
      </c>
      <c r="B550" s="87" t="s">
        <v>1100</v>
      </c>
      <c r="C550" s="75">
        <v>822.0</v>
      </c>
      <c r="D550" s="22" t="str">
        <f t="shared" si="1"/>
        <v>General</v>
      </c>
      <c r="E550" s="23" t="str">
        <f t="shared" si="2"/>
        <v>Lapsed</v>
      </c>
      <c r="F550" s="24">
        <v>1.0</v>
      </c>
      <c r="G550" s="25">
        <v>45068.0</v>
      </c>
      <c r="H550" s="26">
        <f t="shared" si="44"/>
        <v>45291</v>
      </c>
      <c r="I550" s="75"/>
      <c r="J550" s="62" t="s">
        <v>2462</v>
      </c>
      <c r="K550" s="62" t="s">
        <v>89</v>
      </c>
      <c r="L550" s="63" t="s">
        <v>35</v>
      </c>
      <c r="M550" s="64" t="s">
        <v>90</v>
      </c>
      <c r="N550" s="53" t="s">
        <v>2463</v>
      </c>
      <c r="O550" s="66" t="s">
        <v>2464</v>
      </c>
      <c r="P550" s="37"/>
      <c r="Q550" s="22"/>
      <c r="R550" s="22"/>
      <c r="S550" s="22"/>
      <c r="T550" s="22"/>
      <c r="U550" s="22">
        <v>2.0</v>
      </c>
      <c r="V550" s="106">
        <v>45068.0</v>
      </c>
      <c r="W550" s="22" t="s">
        <v>800</v>
      </c>
      <c r="X550" s="22" t="s">
        <v>800</v>
      </c>
      <c r="Y550" s="36" t="str">
        <f t="shared" si="45"/>
        <v>renew</v>
      </c>
      <c r="Z550" s="75"/>
      <c r="AA550" s="75"/>
    </row>
    <row r="551">
      <c r="A551" s="87" t="s">
        <v>2465</v>
      </c>
      <c r="B551" s="87" t="s">
        <v>1100</v>
      </c>
      <c r="C551" s="75">
        <v>821.0</v>
      </c>
      <c r="D551" s="22" t="str">
        <f t="shared" si="1"/>
        <v>Youth</v>
      </c>
      <c r="E551" s="23" t="str">
        <f t="shared" si="2"/>
        <v>Lapsed</v>
      </c>
      <c r="F551" s="24">
        <v>1.0</v>
      </c>
      <c r="G551" s="25">
        <v>45571.0</v>
      </c>
      <c r="H551" s="26">
        <f t="shared" si="44"/>
        <v>45657</v>
      </c>
      <c r="I551" s="75"/>
      <c r="J551" s="62" t="s">
        <v>2462</v>
      </c>
      <c r="K551" s="62" t="s">
        <v>89</v>
      </c>
      <c r="L551" s="63" t="s">
        <v>35</v>
      </c>
      <c r="M551" s="64" t="s">
        <v>90</v>
      </c>
      <c r="N551" s="80" t="s">
        <v>2463</v>
      </c>
      <c r="O551" s="66" t="s">
        <v>2464</v>
      </c>
      <c r="P551" s="33">
        <v>39208.0</v>
      </c>
      <c r="Q551" s="22">
        <f>datedif(P551,today(),"Y")</f>
        <v>18</v>
      </c>
      <c r="R551" s="22"/>
      <c r="S551" s="22"/>
      <c r="T551" s="22">
        <v>2.0</v>
      </c>
      <c r="U551" s="22"/>
      <c r="V551" s="162"/>
      <c r="W551" s="22" t="s">
        <v>800</v>
      </c>
      <c r="X551" s="38"/>
      <c r="Y551" s="36" t="str">
        <f t="shared" si="45"/>
        <v>renew</v>
      </c>
      <c r="Z551" s="75"/>
      <c r="AA551" s="75"/>
    </row>
    <row r="552">
      <c r="A552" s="87" t="s">
        <v>450</v>
      </c>
      <c r="B552" s="87" t="s">
        <v>1100</v>
      </c>
      <c r="C552" s="75">
        <v>820.0</v>
      </c>
      <c r="D552" s="22" t="str">
        <f t="shared" si="1"/>
        <v>General</v>
      </c>
      <c r="E552" s="23" t="str">
        <f t="shared" si="2"/>
        <v>Lapsed</v>
      </c>
      <c r="F552" s="108">
        <v>3.0</v>
      </c>
      <c r="G552" s="25">
        <v>45058.0</v>
      </c>
      <c r="H552" s="26">
        <f t="shared" si="44"/>
        <v>46022</v>
      </c>
      <c r="I552" s="21"/>
      <c r="J552" s="62" t="s">
        <v>2462</v>
      </c>
      <c r="K552" s="62" t="s">
        <v>89</v>
      </c>
      <c r="L552" s="63" t="s">
        <v>35</v>
      </c>
      <c r="M552" s="64" t="s">
        <v>90</v>
      </c>
      <c r="N552" s="80" t="s">
        <v>2463</v>
      </c>
      <c r="O552" s="66" t="s">
        <v>2464</v>
      </c>
      <c r="P552" s="37"/>
      <c r="Q552" s="38"/>
      <c r="R552" s="22"/>
      <c r="S552" s="22">
        <v>1.0</v>
      </c>
      <c r="T552" s="22">
        <v>1.0</v>
      </c>
      <c r="U552" s="22">
        <v>2.0</v>
      </c>
      <c r="V552" s="106">
        <v>45058.0</v>
      </c>
      <c r="W552" s="22" t="s">
        <v>800</v>
      </c>
      <c r="X552" s="22" t="s">
        <v>800</v>
      </c>
      <c r="Y552" s="36" t="str">
        <f t="shared" si="45"/>
        <v>renew</v>
      </c>
      <c r="Z552" s="21"/>
      <c r="AA552" s="75"/>
    </row>
    <row r="553">
      <c r="A553" s="87" t="s">
        <v>2466</v>
      </c>
      <c r="B553" s="87" t="s">
        <v>2467</v>
      </c>
      <c r="C553" s="75">
        <v>819.0</v>
      </c>
      <c r="D553" s="22" t="str">
        <f t="shared" si="1"/>
        <v>General</v>
      </c>
      <c r="E553" s="23" t="str">
        <f t="shared" si="2"/>
        <v>Lapsed</v>
      </c>
      <c r="F553" s="24">
        <v>1.0</v>
      </c>
      <c r="G553" s="25">
        <v>45067.0</v>
      </c>
      <c r="H553" s="26">
        <f t="shared" si="44"/>
        <v>45291</v>
      </c>
      <c r="I553" s="21"/>
      <c r="J553" s="29" t="s">
        <v>2468</v>
      </c>
      <c r="K553" s="62" t="s">
        <v>42</v>
      </c>
      <c r="L553" s="63" t="s">
        <v>35</v>
      </c>
      <c r="M553" s="64" t="s">
        <v>239</v>
      </c>
      <c r="N553" s="80" t="s">
        <v>2469</v>
      </c>
      <c r="O553" s="66" t="s">
        <v>2470</v>
      </c>
      <c r="P553" s="37"/>
      <c r="Q553" s="38"/>
      <c r="R553" s="22"/>
      <c r="S553" s="22"/>
      <c r="T553" s="22"/>
      <c r="U553" s="22">
        <v>2.0</v>
      </c>
      <c r="V553" s="35">
        <v>45067.0</v>
      </c>
      <c r="W553" s="22" t="s">
        <v>800</v>
      </c>
      <c r="X553" s="22" t="s">
        <v>800</v>
      </c>
      <c r="Y553" s="36" t="str">
        <f t="shared" si="45"/>
        <v>renew</v>
      </c>
      <c r="Z553" s="21"/>
      <c r="AA553" s="75"/>
    </row>
    <row r="554">
      <c r="A554" s="87" t="s">
        <v>2471</v>
      </c>
      <c r="B554" s="87" t="s">
        <v>2472</v>
      </c>
      <c r="C554" s="75">
        <v>818.0</v>
      </c>
      <c r="D554" s="22" t="str">
        <f t="shared" si="1"/>
        <v>General</v>
      </c>
      <c r="E554" s="23" t="str">
        <f t="shared" si="2"/>
        <v>Lapsed</v>
      </c>
      <c r="F554" s="24">
        <v>1.0</v>
      </c>
      <c r="G554" s="25">
        <v>44375.0</v>
      </c>
      <c r="H554" s="26">
        <f t="shared" si="44"/>
        <v>44561</v>
      </c>
      <c r="I554" s="75"/>
      <c r="J554" s="62" t="s">
        <v>2473</v>
      </c>
      <c r="K554" s="62" t="s">
        <v>322</v>
      </c>
      <c r="L554" s="63" t="s">
        <v>35</v>
      </c>
      <c r="M554" s="64" t="s">
        <v>323</v>
      </c>
      <c r="N554" s="148" t="s">
        <v>2474</v>
      </c>
      <c r="O554" s="66" t="s">
        <v>2475</v>
      </c>
      <c r="P554" s="37"/>
      <c r="Q554" s="38"/>
      <c r="R554" s="22"/>
      <c r="S554" s="38"/>
      <c r="T554" s="38"/>
      <c r="U554" s="38"/>
      <c r="V554" s="59"/>
      <c r="W554" s="38"/>
      <c r="X554" s="38"/>
      <c r="Y554" s="36" t="str">
        <f t="shared" si="45"/>
        <v>renew</v>
      </c>
      <c r="Z554" s="75"/>
      <c r="AA554" s="75"/>
    </row>
    <row r="555">
      <c r="A555" s="87" t="s">
        <v>423</v>
      </c>
      <c r="B555" s="87" t="s">
        <v>2476</v>
      </c>
      <c r="C555" s="75">
        <v>817.0</v>
      </c>
      <c r="D555" s="22" t="str">
        <f t="shared" si="1"/>
        <v>General</v>
      </c>
      <c r="E555" s="23" t="str">
        <f t="shared" si="2"/>
        <v>Lapsed</v>
      </c>
      <c r="F555" s="24">
        <v>1.0</v>
      </c>
      <c r="G555" s="25">
        <v>44150.0</v>
      </c>
      <c r="H555" s="26">
        <f t="shared" si="44"/>
        <v>44196</v>
      </c>
      <c r="I555" s="75"/>
      <c r="J555" s="62" t="s">
        <v>2256</v>
      </c>
      <c r="K555" s="62" t="s">
        <v>322</v>
      </c>
      <c r="L555" s="63" t="s">
        <v>35</v>
      </c>
      <c r="M555" s="64">
        <v>80602.0</v>
      </c>
      <c r="N555" s="80" t="s">
        <v>2477</v>
      </c>
      <c r="O555" s="66"/>
      <c r="P555" s="37"/>
      <c r="Q555" s="38"/>
      <c r="R555" s="22"/>
      <c r="S555" s="38"/>
      <c r="T555" s="38"/>
      <c r="U555" s="38"/>
      <c r="V555" s="59"/>
      <c r="W555" s="38"/>
      <c r="X555" s="38"/>
      <c r="Y555" s="36" t="str">
        <f t="shared" si="45"/>
        <v>renew</v>
      </c>
      <c r="Z555" s="75"/>
      <c r="AA555" s="75"/>
    </row>
    <row r="556">
      <c r="A556" s="87" t="s">
        <v>878</v>
      </c>
      <c r="B556" s="87" t="s">
        <v>2478</v>
      </c>
      <c r="C556" s="75">
        <v>816.0</v>
      </c>
      <c r="D556" s="22" t="str">
        <f t="shared" si="1"/>
        <v>General</v>
      </c>
      <c r="E556" s="23" t="str">
        <f t="shared" si="2"/>
        <v>Lapsed</v>
      </c>
      <c r="F556" s="24">
        <v>1.0</v>
      </c>
      <c r="G556" s="163">
        <v>44055.0</v>
      </c>
      <c r="H556" s="26">
        <f t="shared" si="44"/>
        <v>44196</v>
      </c>
      <c r="I556" s="75"/>
      <c r="J556" s="62" t="s">
        <v>2479</v>
      </c>
      <c r="K556" s="62" t="s">
        <v>2480</v>
      </c>
      <c r="L556" s="63" t="s">
        <v>244</v>
      </c>
      <c r="M556" s="64">
        <v>69153.0</v>
      </c>
      <c r="N556" s="80" t="s">
        <v>2481</v>
      </c>
      <c r="O556" s="66" t="s">
        <v>2482</v>
      </c>
      <c r="P556" s="37"/>
      <c r="Q556" s="38"/>
      <c r="R556" s="22"/>
      <c r="S556" s="38"/>
      <c r="T556" s="38"/>
      <c r="U556" s="38"/>
      <c r="V556" s="157"/>
      <c r="W556" s="38"/>
      <c r="X556" s="38"/>
      <c r="Y556" s="36" t="str">
        <f t="shared" si="45"/>
        <v>renew</v>
      </c>
      <c r="Z556" s="75"/>
      <c r="AA556" s="75"/>
    </row>
    <row r="557">
      <c r="A557" s="87" t="s">
        <v>2483</v>
      </c>
      <c r="B557" s="87" t="s">
        <v>2484</v>
      </c>
      <c r="C557" s="75">
        <v>815.0</v>
      </c>
      <c r="D557" s="22" t="str">
        <f t="shared" si="1"/>
        <v>General</v>
      </c>
      <c r="E557" s="23" t="str">
        <f t="shared" si="2"/>
        <v>Lapsed</v>
      </c>
      <c r="F557" s="24">
        <v>1.0</v>
      </c>
      <c r="G557" s="146">
        <v>45451.0</v>
      </c>
      <c r="H557" s="26">
        <f t="shared" si="44"/>
        <v>45657</v>
      </c>
      <c r="I557" s="21"/>
      <c r="J557" s="62" t="s">
        <v>2485</v>
      </c>
      <c r="K557" s="62" t="s">
        <v>1976</v>
      </c>
      <c r="L557" s="63" t="s">
        <v>35</v>
      </c>
      <c r="M557" s="64" t="s">
        <v>2486</v>
      </c>
      <c r="N557" s="80" t="s">
        <v>2487</v>
      </c>
      <c r="O557" s="66" t="s">
        <v>2488</v>
      </c>
      <c r="P557" s="37"/>
      <c r="Q557" s="38"/>
      <c r="R557" s="22"/>
      <c r="S557" s="22"/>
      <c r="T557" s="22">
        <v>1.0</v>
      </c>
      <c r="U557" s="22">
        <v>2.0</v>
      </c>
      <c r="V557" s="164">
        <v>45129.0</v>
      </c>
      <c r="W557" s="22" t="s">
        <v>800</v>
      </c>
      <c r="X557" s="22" t="s">
        <v>800</v>
      </c>
      <c r="Y557" s="36" t="str">
        <f t="shared" si="45"/>
        <v>renew</v>
      </c>
      <c r="Z557" s="21"/>
      <c r="AA557" s="75"/>
    </row>
    <row r="558">
      <c r="A558" s="87" t="s">
        <v>2489</v>
      </c>
      <c r="B558" s="87" t="s">
        <v>2490</v>
      </c>
      <c r="C558" s="75">
        <v>814.0</v>
      </c>
      <c r="D558" s="22" t="str">
        <f t="shared" si="1"/>
        <v>General</v>
      </c>
      <c r="E558" s="23" t="str">
        <f t="shared" si="2"/>
        <v>Lapsed</v>
      </c>
      <c r="F558" s="24">
        <v>1.0</v>
      </c>
      <c r="G558" s="25">
        <v>45068.0</v>
      </c>
      <c r="H558" s="26">
        <f t="shared" si="44"/>
        <v>45291</v>
      </c>
      <c r="I558" s="75"/>
      <c r="J558" s="62" t="s">
        <v>2491</v>
      </c>
      <c r="K558" s="62" t="s">
        <v>1780</v>
      </c>
      <c r="L558" s="63" t="s">
        <v>35</v>
      </c>
      <c r="M558" s="64">
        <v>80534.0</v>
      </c>
      <c r="N558" s="80" t="s">
        <v>2492</v>
      </c>
      <c r="O558" s="66" t="s">
        <v>2493</v>
      </c>
      <c r="P558" s="37"/>
      <c r="Q558" s="38"/>
      <c r="R558" s="22"/>
      <c r="S558" s="22"/>
      <c r="T558" s="22"/>
      <c r="U558" s="22">
        <v>2.0</v>
      </c>
      <c r="V558" s="35">
        <v>45068.0</v>
      </c>
      <c r="W558" s="22" t="s">
        <v>800</v>
      </c>
      <c r="X558" s="22" t="s">
        <v>800</v>
      </c>
      <c r="Y558" s="36" t="str">
        <f t="shared" si="45"/>
        <v>renew</v>
      </c>
      <c r="Z558" s="75"/>
      <c r="AA558" s="75"/>
    </row>
    <row r="559">
      <c r="A559" s="87" t="s">
        <v>2494</v>
      </c>
      <c r="B559" s="87" t="s">
        <v>2495</v>
      </c>
      <c r="C559" s="75">
        <v>813.0</v>
      </c>
      <c r="D559" s="22" t="str">
        <f t="shared" si="1"/>
        <v>General</v>
      </c>
      <c r="E559" s="23" t="str">
        <f t="shared" si="2"/>
        <v>Lapsed</v>
      </c>
      <c r="F559" s="24">
        <v>1.0</v>
      </c>
      <c r="G559" s="155">
        <v>44153.0</v>
      </c>
      <c r="H559" s="26">
        <f t="shared" si="44"/>
        <v>44196</v>
      </c>
      <c r="I559" s="75"/>
      <c r="J559" s="62" t="s">
        <v>2496</v>
      </c>
      <c r="K559" s="62" t="s">
        <v>448</v>
      </c>
      <c r="L559" s="63" t="s">
        <v>35</v>
      </c>
      <c r="M559" s="64">
        <v>80513.0</v>
      </c>
      <c r="N559" s="80" t="s">
        <v>2497</v>
      </c>
      <c r="O559" s="66" t="s">
        <v>2498</v>
      </c>
      <c r="P559" s="37"/>
      <c r="Q559" s="38"/>
      <c r="R559" s="22"/>
      <c r="S559" s="38"/>
      <c r="T559" s="38"/>
      <c r="U559" s="38"/>
      <c r="V559" s="59"/>
      <c r="W559" s="38"/>
      <c r="X559" s="38"/>
      <c r="Y559" s="36" t="str">
        <f t="shared" si="45"/>
        <v>renew</v>
      </c>
      <c r="Z559" s="75"/>
      <c r="AA559" s="75"/>
    </row>
    <row r="560">
      <c r="A560" s="87" t="s">
        <v>1565</v>
      </c>
      <c r="B560" s="20" t="s">
        <v>2499</v>
      </c>
      <c r="C560" s="75">
        <v>812.0</v>
      </c>
      <c r="D560" s="22" t="str">
        <f t="shared" si="1"/>
        <v>General</v>
      </c>
      <c r="E560" s="23" t="str">
        <f t="shared" si="2"/>
        <v>Lapsed</v>
      </c>
      <c r="F560" s="24">
        <v>1.0</v>
      </c>
      <c r="G560" s="25">
        <v>44786.0</v>
      </c>
      <c r="H560" s="26">
        <f t="shared" si="44"/>
        <v>44926</v>
      </c>
      <c r="I560" s="21"/>
      <c r="J560" s="29" t="s">
        <v>2500</v>
      </c>
      <c r="K560" s="29" t="s">
        <v>42</v>
      </c>
      <c r="L560" s="63" t="s">
        <v>35</v>
      </c>
      <c r="M560" s="42" t="s">
        <v>131</v>
      </c>
      <c r="N560" s="53" t="s">
        <v>2501</v>
      </c>
      <c r="O560" s="66" t="s">
        <v>2502</v>
      </c>
      <c r="P560" s="37"/>
      <c r="Q560" s="38"/>
      <c r="R560" s="22"/>
      <c r="S560" s="38"/>
      <c r="T560" s="38"/>
      <c r="U560" s="38"/>
      <c r="V560" s="59"/>
      <c r="W560" s="22" t="s">
        <v>800</v>
      </c>
      <c r="X560" s="38"/>
      <c r="Y560" s="36" t="str">
        <f t="shared" si="45"/>
        <v>renew</v>
      </c>
      <c r="Z560" s="21"/>
      <c r="AA560" s="75"/>
    </row>
    <row r="561">
      <c r="A561" s="87" t="s">
        <v>2503</v>
      </c>
      <c r="B561" s="20" t="s">
        <v>433</v>
      </c>
      <c r="C561" s="75">
        <v>811.0</v>
      </c>
      <c r="D561" s="22" t="str">
        <f t="shared" si="1"/>
        <v>General</v>
      </c>
      <c r="E561" s="23" t="str">
        <f t="shared" si="2"/>
        <v>Lapsed</v>
      </c>
      <c r="F561" s="24">
        <v>1.0</v>
      </c>
      <c r="G561" s="25">
        <v>45771.0</v>
      </c>
      <c r="H561" s="26">
        <f t="shared" si="44"/>
        <v>46022</v>
      </c>
      <c r="I561" s="21"/>
      <c r="J561" s="62" t="s">
        <v>2504</v>
      </c>
      <c r="K561" s="62" t="s">
        <v>1626</v>
      </c>
      <c r="L561" s="63" t="s">
        <v>35</v>
      </c>
      <c r="M561" s="64">
        <v>80759.0</v>
      </c>
      <c r="N561" s="80" t="s">
        <v>2505</v>
      </c>
      <c r="O561" s="66" t="s">
        <v>2506</v>
      </c>
      <c r="P561" s="37"/>
      <c r="Q561" s="38"/>
      <c r="R561" s="22"/>
      <c r="S561" s="22">
        <v>1.0</v>
      </c>
      <c r="T561" s="22">
        <v>1.0</v>
      </c>
      <c r="U561" s="22">
        <v>2.0</v>
      </c>
      <c r="V561" s="116">
        <v>45150.0</v>
      </c>
      <c r="W561" s="22" t="s">
        <v>800</v>
      </c>
      <c r="X561" s="22" t="s">
        <v>800</v>
      </c>
      <c r="Y561" s="36" t="str">
        <f t="shared" si="45"/>
        <v>renew</v>
      </c>
      <c r="Z561" s="21" t="s">
        <v>27</v>
      </c>
      <c r="AA561" s="75"/>
    </row>
    <row r="562">
      <c r="A562" s="87" t="s">
        <v>2507</v>
      </c>
      <c r="B562" s="87" t="s">
        <v>2499</v>
      </c>
      <c r="C562" s="75">
        <v>810.0</v>
      </c>
      <c r="D562" s="22" t="str">
        <f t="shared" si="1"/>
        <v>General</v>
      </c>
      <c r="E562" s="23" t="str">
        <f t="shared" si="2"/>
        <v>Lapsed</v>
      </c>
      <c r="F562" s="24">
        <v>1.0</v>
      </c>
      <c r="G562" s="155">
        <v>44167.0</v>
      </c>
      <c r="H562" s="26">
        <f t="shared" si="44"/>
        <v>44196</v>
      </c>
      <c r="I562" s="75"/>
      <c r="J562" s="62" t="s">
        <v>2508</v>
      </c>
      <c r="K562" s="62" t="s">
        <v>647</v>
      </c>
      <c r="L562" s="63" t="s">
        <v>35</v>
      </c>
      <c r="M562" s="64">
        <v>80503.0</v>
      </c>
      <c r="N562" s="80" t="s">
        <v>2509</v>
      </c>
      <c r="O562" s="66" t="s">
        <v>2510</v>
      </c>
      <c r="P562" s="37"/>
      <c r="Q562" s="38"/>
      <c r="R562" s="22"/>
      <c r="S562" s="38"/>
      <c r="T562" s="38"/>
      <c r="U562" s="38"/>
      <c r="V562" s="59"/>
      <c r="W562" s="38"/>
      <c r="X562" s="38"/>
      <c r="Y562" s="36" t="str">
        <f t="shared" si="45"/>
        <v>renew</v>
      </c>
      <c r="Z562" s="75"/>
      <c r="AA562" s="75"/>
    </row>
    <row r="563">
      <c r="A563" s="87" t="s">
        <v>1772</v>
      </c>
      <c r="B563" s="87" t="s">
        <v>2511</v>
      </c>
      <c r="C563" s="75">
        <v>809.0</v>
      </c>
      <c r="D563" s="22" t="str">
        <f t="shared" si="1"/>
        <v>General</v>
      </c>
      <c r="E563" s="23" t="str">
        <f t="shared" si="2"/>
        <v>Lapsed</v>
      </c>
      <c r="F563" s="24">
        <v>1.0</v>
      </c>
      <c r="G563" s="25">
        <v>45771.0</v>
      </c>
      <c r="H563" s="26">
        <f t="shared" si="44"/>
        <v>46022</v>
      </c>
      <c r="I563" s="21"/>
      <c r="J563" s="62" t="s">
        <v>717</v>
      </c>
      <c r="K563" s="62" t="s">
        <v>42</v>
      </c>
      <c r="L563" s="63" t="s">
        <v>35</v>
      </c>
      <c r="M563" s="64">
        <v>80524.0</v>
      </c>
      <c r="N563" s="80" t="s">
        <v>2512</v>
      </c>
      <c r="O563" s="66" t="s">
        <v>2513</v>
      </c>
      <c r="P563" s="37"/>
      <c r="Q563" s="38"/>
      <c r="R563" s="22"/>
      <c r="S563" s="22">
        <v>1.0</v>
      </c>
      <c r="T563" s="38"/>
      <c r="U563" s="38"/>
      <c r="V563" s="59"/>
      <c r="W563" s="38"/>
      <c r="X563" s="38"/>
      <c r="Y563" s="36" t="str">
        <f t="shared" si="45"/>
        <v>renew</v>
      </c>
      <c r="Z563" s="21" t="s">
        <v>27</v>
      </c>
      <c r="AA563" s="75"/>
    </row>
    <row r="564">
      <c r="A564" s="87" t="s">
        <v>1783</v>
      </c>
      <c r="B564" s="87" t="s">
        <v>433</v>
      </c>
      <c r="C564" s="75">
        <v>808.0</v>
      </c>
      <c r="D564" s="22" t="str">
        <f t="shared" si="1"/>
        <v>Youth</v>
      </c>
      <c r="E564" s="23" t="str">
        <f t="shared" si="2"/>
        <v>Lapsed</v>
      </c>
      <c r="F564" s="108">
        <v>3.0</v>
      </c>
      <c r="G564" s="25">
        <v>45044.0</v>
      </c>
      <c r="H564" s="26">
        <f t="shared" si="44"/>
        <v>46022</v>
      </c>
      <c r="I564" s="21"/>
      <c r="J564" s="62" t="s">
        <v>2504</v>
      </c>
      <c r="K564" s="62" t="s">
        <v>1626</v>
      </c>
      <c r="L564" s="63" t="s">
        <v>35</v>
      </c>
      <c r="M564" s="64">
        <v>80759.0</v>
      </c>
      <c r="N564" s="156" t="s">
        <v>1628</v>
      </c>
      <c r="O564" s="66" t="s">
        <v>2506</v>
      </c>
      <c r="P564" s="144">
        <v>40021.0</v>
      </c>
      <c r="Q564" s="22">
        <f>datedif(P564,today(),"Y")</f>
        <v>16</v>
      </c>
      <c r="R564" s="22"/>
      <c r="S564" s="22">
        <v>1.0</v>
      </c>
      <c r="T564" s="22">
        <v>1.0</v>
      </c>
      <c r="U564" s="22">
        <v>1.0</v>
      </c>
      <c r="V564" s="116">
        <v>45044.0</v>
      </c>
      <c r="W564" s="22" t="s">
        <v>800</v>
      </c>
      <c r="X564" s="22" t="s">
        <v>800</v>
      </c>
      <c r="Y564" s="36" t="str">
        <f t="shared" si="45"/>
        <v>renew</v>
      </c>
      <c r="Z564" s="21" t="s">
        <v>27</v>
      </c>
      <c r="AA564" s="75"/>
    </row>
    <row r="565">
      <c r="A565" s="87" t="s">
        <v>2514</v>
      </c>
      <c r="B565" s="87" t="s">
        <v>2515</v>
      </c>
      <c r="C565" s="75">
        <v>807.0</v>
      </c>
      <c r="D565" s="22" t="str">
        <f t="shared" si="1"/>
        <v>General</v>
      </c>
      <c r="E565" s="23" t="str">
        <f t="shared" si="2"/>
        <v>Lapsed</v>
      </c>
      <c r="F565" s="24">
        <v>1.0</v>
      </c>
      <c r="G565" s="155">
        <v>44157.0</v>
      </c>
      <c r="H565" s="26">
        <f t="shared" si="44"/>
        <v>44196</v>
      </c>
      <c r="I565" s="75"/>
      <c r="J565" s="62" t="s">
        <v>2516</v>
      </c>
      <c r="K565" s="62" t="s">
        <v>164</v>
      </c>
      <c r="L565" s="63" t="s">
        <v>35</v>
      </c>
      <c r="M565" s="64">
        <v>80516.0</v>
      </c>
      <c r="N565" s="80" t="s">
        <v>2517</v>
      </c>
      <c r="O565" s="66" t="s">
        <v>2518</v>
      </c>
      <c r="P565" s="37"/>
      <c r="Q565" s="38"/>
      <c r="R565" s="22"/>
      <c r="S565" s="38"/>
      <c r="T565" s="38"/>
      <c r="U565" s="38"/>
      <c r="V565" s="59"/>
      <c r="W565" s="38"/>
      <c r="X565" s="38"/>
      <c r="Y565" s="36" t="str">
        <f t="shared" si="45"/>
        <v>renew</v>
      </c>
      <c r="Z565" s="75"/>
      <c r="AA565" s="75"/>
    </row>
    <row r="566">
      <c r="A566" s="87" t="s">
        <v>1188</v>
      </c>
      <c r="B566" s="87" t="s">
        <v>2519</v>
      </c>
      <c r="C566" s="75">
        <v>806.0</v>
      </c>
      <c r="D566" s="22" t="str">
        <f t="shared" si="1"/>
        <v>General</v>
      </c>
      <c r="E566" s="23" t="str">
        <f t="shared" si="2"/>
        <v>Lapsed</v>
      </c>
      <c r="F566" s="24">
        <v>1.0</v>
      </c>
      <c r="G566" s="155">
        <v>43789.0</v>
      </c>
      <c r="H566" s="26">
        <f t="shared" si="44"/>
        <v>43830</v>
      </c>
      <c r="I566" s="75"/>
      <c r="J566" s="62" t="s">
        <v>2520</v>
      </c>
      <c r="K566" s="62" t="s">
        <v>560</v>
      </c>
      <c r="L566" s="63" t="s">
        <v>35</v>
      </c>
      <c r="M566" s="64" t="s">
        <v>1641</v>
      </c>
      <c r="N566" s="80" t="s">
        <v>2521</v>
      </c>
      <c r="O566" s="66" t="s">
        <v>2522</v>
      </c>
      <c r="P566" s="37"/>
      <c r="Q566" s="38"/>
      <c r="R566" s="22"/>
      <c r="S566" s="38"/>
      <c r="T566" s="38"/>
      <c r="U566" s="38"/>
      <c r="V566" s="59"/>
      <c r="W566" s="38"/>
      <c r="X566" s="38"/>
      <c r="Y566" s="36" t="str">
        <f t="shared" si="45"/>
        <v>renew</v>
      </c>
      <c r="Z566" s="75"/>
      <c r="AA566" s="75"/>
    </row>
    <row r="567">
      <c r="A567" s="87" t="s">
        <v>2523</v>
      </c>
      <c r="B567" s="87" t="s">
        <v>2524</v>
      </c>
      <c r="C567" s="75">
        <v>805.0</v>
      </c>
      <c r="D567" s="22" t="str">
        <f t="shared" si="1"/>
        <v>General</v>
      </c>
      <c r="E567" s="23" t="str">
        <f t="shared" si="2"/>
        <v>Lapsed</v>
      </c>
      <c r="F567" s="24">
        <v>1.0</v>
      </c>
      <c r="G567" s="155">
        <v>44157.0</v>
      </c>
      <c r="H567" s="26">
        <f t="shared" si="44"/>
        <v>44196</v>
      </c>
      <c r="I567" s="75"/>
      <c r="J567" s="62" t="s">
        <v>2525</v>
      </c>
      <c r="K567" s="62" t="s">
        <v>866</v>
      </c>
      <c r="L567" s="63" t="s">
        <v>35</v>
      </c>
      <c r="M567" s="64">
        <v>80610.0</v>
      </c>
      <c r="N567" s="80" t="s">
        <v>2526</v>
      </c>
      <c r="O567" s="66" t="s">
        <v>2527</v>
      </c>
      <c r="P567" s="37"/>
      <c r="Q567" s="38"/>
      <c r="R567" s="22"/>
      <c r="S567" s="38"/>
      <c r="T567" s="38"/>
      <c r="U567" s="38"/>
      <c r="V567" s="59"/>
      <c r="W567" s="38"/>
      <c r="X567" s="38"/>
      <c r="Y567" s="36" t="str">
        <f t="shared" si="45"/>
        <v>renew</v>
      </c>
      <c r="Z567" s="75"/>
      <c r="AA567" s="75"/>
    </row>
    <row r="568">
      <c r="A568" s="87" t="s">
        <v>607</v>
      </c>
      <c r="B568" s="87" t="s">
        <v>2528</v>
      </c>
      <c r="C568" s="75">
        <v>803.0</v>
      </c>
      <c r="D568" s="22" t="str">
        <f t="shared" si="1"/>
        <v>General</v>
      </c>
      <c r="E568" s="23" t="str">
        <f t="shared" si="2"/>
        <v>Lapsed</v>
      </c>
      <c r="F568" s="24">
        <v>1.0</v>
      </c>
      <c r="G568" s="155">
        <v>44157.0</v>
      </c>
      <c r="H568" s="26">
        <f t="shared" si="44"/>
        <v>44196</v>
      </c>
      <c r="I568" s="75"/>
      <c r="J568" s="62" t="s">
        <v>2529</v>
      </c>
      <c r="K568" s="62" t="s">
        <v>448</v>
      </c>
      <c r="L568" s="63" t="s">
        <v>35</v>
      </c>
      <c r="M568" s="64">
        <v>80513.0</v>
      </c>
      <c r="N568" s="80" t="s">
        <v>2530</v>
      </c>
      <c r="O568" s="66" t="s">
        <v>2531</v>
      </c>
      <c r="P568" s="37"/>
      <c r="Q568" s="38"/>
      <c r="R568" s="22"/>
      <c r="S568" s="38"/>
      <c r="T568" s="38"/>
      <c r="U568" s="38"/>
      <c r="V568" s="59"/>
      <c r="W568" s="38"/>
      <c r="X568" s="38"/>
      <c r="Y568" s="36" t="str">
        <f t="shared" si="45"/>
        <v>renew</v>
      </c>
      <c r="Z568" s="75"/>
      <c r="AA568" s="75"/>
    </row>
    <row r="569">
      <c r="A569" s="87" t="s">
        <v>561</v>
      </c>
      <c r="B569" s="87" t="s">
        <v>2532</v>
      </c>
      <c r="C569" s="75">
        <v>802.0</v>
      </c>
      <c r="D569" s="22" t="str">
        <f t="shared" si="1"/>
        <v>General</v>
      </c>
      <c r="E569" s="23" t="str">
        <f t="shared" si="2"/>
        <v>Lapsed</v>
      </c>
      <c r="F569" s="24">
        <v>1.0</v>
      </c>
      <c r="G569" s="155">
        <v>44157.0</v>
      </c>
      <c r="H569" s="26">
        <f t="shared" si="44"/>
        <v>44196</v>
      </c>
      <c r="I569" s="75"/>
      <c r="J569" s="62" t="s">
        <v>2092</v>
      </c>
      <c r="K569" s="62" t="s">
        <v>2533</v>
      </c>
      <c r="L569" s="63" t="s">
        <v>35</v>
      </c>
      <c r="M569" s="64">
        <v>80866.0</v>
      </c>
      <c r="N569" s="80" t="s">
        <v>2534</v>
      </c>
      <c r="O569" s="66" t="s">
        <v>2535</v>
      </c>
      <c r="P569" s="37"/>
      <c r="Q569" s="38"/>
      <c r="R569" s="22"/>
      <c r="S569" s="38"/>
      <c r="T569" s="38"/>
      <c r="U569" s="38"/>
      <c r="V569" s="59"/>
      <c r="W569" s="38"/>
      <c r="X569" s="38"/>
      <c r="Y569" s="36" t="str">
        <f t="shared" si="45"/>
        <v>renew</v>
      </c>
      <c r="Z569" s="75"/>
      <c r="AA569" s="75"/>
    </row>
    <row r="570">
      <c r="A570" s="87" t="s">
        <v>773</v>
      </c>
      <c r="B570" s="87" t="s">
        <v>2536</v>
      </c>
      <c r="C570" s="21">
        <v>801.0</v>
      </c>
      <c r="D570" s="22" t="str">
        <f t="shared" si="1"/>
        <v>General</v>
      </c>
      <c r="E570" s="23" t="str">
        <f t="shared" si="2"/>
        <v>Lapsed</v>
      </c>
      <c r="F570" s="24">
        <v>1.0</v>
      </c>
      <c r="G570" s="25">
        <v>44495.0</v>
      </c>
      <c r="H570" s="26">
        <f t="shared" si="44"/>
        <v>44561</v>
      </c>
      <c r="I570" s="75"/>
      <c r="J570" s="62" t="s">
        <v>2354</v>
      </c>
      <c r="K570" s="62" t="s">
        <v>473</v>
      </c>
      <c r="L570" s="63" t="s">
        <v>35</v>
      </c>
      <c r="M570" s="64">
        <v>80241.0</v>
      </c>
      <c r="N570" s="80" t="s">
        <v>2537</v>
      </c>
      <c r="O570" s="66" t="s">
        <v>2538</v>
      </c>
      <c r="P570" s="37"/>
      <c r="Q570" s="38"/>
      <c r="R570" s="22"/>
      <c r="S570" s="38"/>
      <c r="T570" s="38"/>
      <c r="U570" s="38"/>
      <c r="V570" s="59"/>
      <c r="W570" s="22" t="s">
        <v>800</v>
      </c>
      <c r="X570" s="38"/>
      <c r="Y570" s="36" t="str">
        <f t="shared" si="45"/>
        <v>renew</v>
      </c>
      <c r="Z570" s="75"/>
      <c r="AA570" s="75"/>
    </row>
    <row r="571">
      <c r="A571" s="87" t="s">
        <v>2539</v>
      </c>
      <c r="B571" s="87" t="s">
        <v>2540</v>
      </c>
      <c r="C571" s="75">
        <v>800.0</v>
      </c>
      <c r="D571" s="22" t="str">
        <f t="shared" si="1"/>
        <v>General</v>
      </c>
      <c r="E571" s="23" t="str">
        <f t="shared" si="2"/>
        <v>Lapsed</v>
      </c>
      <c r="F571" s="24">
        <v>1.0</v>
      </c>
      <c r="G571" s="25">
        <v>45839.0</v>
      </c>
      <c r="H571" s="26">
        <f t="shared" si="44"/>
        <v>46022</v>
      </c>
      <c r="I571" s="75"/>
      <c r="J571" s="62" t="s">
        <v>2541</v>
      </c>
      <c r="K571" s="62" t="s">
        <v>2542</v>
      </c>
      <c r="L571" s="63" t="s">
        <v>35</v>
      </c>
      <c r="M571" s="64">
        <v>80512.0</v>
      </c>
      <c r="N571" s="80" t="s">
        <v>2543</v>
      </c>
      <c r="O571" s="66" t="s">
        <v>2544</v>
      </c>
      <c r="P571" s="165">
        <v>39056.0</v>
      </c>
      <c r="Q571" s="22">
        <f>datedif(P571,today(),"Y")</f>
        <v>19</v>
      </c>
      <c r="R571" s="22"/>
      <c r="S571" s="22">
        <v>3.0</v>
      </c>
      <c r="T571" s="38"/>
      <c r="U571" s="38"/>
      <c r="V571" s="59"/>
      <c r="W571" s="38"/>
      <c r="X571" s="38"/>
      <c r="Y571" s="36" t="str">
        <f t="shared" si="45"/>
        <v>renew</v>
      </c>
      <c r="Z571" s="75"/>
      <c r="AA571" s="75"/>
    </row>
    <row r="572">
      <c r="A572" s="87" t="s">
        <v>2545</v>
      </c>
      <c r="B572" s="87" t="s">
        <v>2546</v>
      </c>
      <c r="C572" s="75">
        <v>799.0</v>
      </c>
      <c r="D572" s="22" t="str">
        <f t="shared" si="1"/>
        <v>General</v>
      </c>
      <c r="E572" s="23" t="str">
        <f t="shared" si="2"/>
        <v>Lapsed</v>
      </c>
      <c r="F572" s="24">
        <v>1.0</v>
      </c>
      <c r="G572" s="25">
        <v>44155.0</v>
      </c>
      <c r="H572" s="26">
        <f t="shared" si="44"/>
        <v>44196</v>
      </c>
      <c r="I572" s="75"/>
      <c r="J572" s="62" t="s">
        <v>2547</v>
      </c>
      <c r="K572" s="62" t="s">
        <v>1595</v>
      </c>
      <c r="L572" s="63" t="s">
        <v>35</v>
      </c>
      <c r="M572" s="64">
        <v>80535.0</v>
      </c>
      <c r="N572" s="80" t="s">
        <v>2548</v>
      </c>
      <c r="O572" s="66" t="s">
        <v>2549</v>
      </c>
      <c r="P572" s="37"/>
      <c r="Q572" s="38"/>
      <c r="R572" s="22"/>
      <c r="S572" s="38"/>
      <c r="T572" s="38"/>
      <c r="U572" s="38"/>
      <c r="V572" s="59"/>
      <c r="W572" s="38"/>
      <c r="X572" s="38"/>
      <c r="Y572" s="36" t="str">
        <f t="shared" si="45"/>
        <v>renew</v>
      </c>
      <c r="Z572" s="75"/>
      <c r="AA572" s="75"/>
    </row>
    <row r="573">
      <c r="A573" s="87" t="s">
        <v>1230</v>
      </c>
      <c r="B573" s="87" t="s">
        <v>2550</v>
      </c>
      <c r="C573" s="75">
        <v>798.0</v>
      </c>
      <c r="D573" s="22" t="str">
        <f t="shared" si="1"/>
        <v>General</v>
      </c>
      <c r="E573" s="23" t="str">
        <f t="shared" si="2"/>
        <v>Lapsed</v>
      </c>
      <c r="F573" s="24">
        <v>1.0</v>
      </c>
      <c r="G573" s="25">
        <v>44346.0</v>
      </c>
      <c r="H573" s="26">
        <f t="shared" si="44"/>
        <v>44561</v>
      </c>
      <c r="I573" s="75"/>
      <c r="J573" s="62" t="s">
        <v>2551</v>
      </c>
      <c r="K573" s="62" t="s">
        <v>329</v>
      </c>
      <c r="L573" s="63" t="s">
        <v>35</v>
      </c>
      <c r="M573" s="64">
        <v>80645.0</v>
      </c>
      <c r="N573" s="80" t="s">
        <v>2552</v>
      </c>
      <c r="O573" s="66" t="s">
        <v>2553</v>
      </c>
      <c r="P573" s="37"/>
      <c r="Q573" s="38"/>
      <c r="R573" s="22"/>
      <c r="S573" s="38"/>
      <c r="T573" s="38"/>
      <c r="U573" s="38"/>
      <c r="V573" s="59"/>
      <c r="W573" s="38"/>
      <c r="X573" s="38"/>
      <c r="Y573" s="36" t="str">
        <f t="shared" si="45"/>
        <v>renew</v>
      </c>
      <c r="Z573" s="75"/>
      <c r="AA573" s="75"/>
    </row>
    <row r="574">
      <c r="A574" s="87" t="s">
        <v>450</v>
      </c>
      <c r="B574" s="87" t="s">
        <v>2554</v>
      </c>
      <c r="C574" s="75">
        <v>797.0</v>
      </c>
      <c r="D574" s="22" t="str">
        <f t="shared" si="1"/>
        <v>General</v>
      </c>
      <c r="E574" s="23" t="str">
        <f t="shared" si="2"/>
        <v>Lapsed</v>
      </c>
      <c r="F574" s="24">
        <v>1.0</v>
      </c>
      <c r="G574" s="155">
        <v>44157.0</v>
      </c>
      <c r="H574" s="26">
        <f t="shared" si="44"/>
        <v>44196</v>
      </c>
      <c r="I574" s="75"/>
      <c r="J574" s="62" t="s">
        <v>2555</v>
      </c>
      <c r="K574" s="62" t="s">
        <v>939</v>
      </c>
      <c r="L574" s="63" t="s">
        <v>35</v>
      </c>
      <c r="M574" s="64">
        <v>80648.0</v>
      </c>
      <c r="N574" s="80" t="s">
        <v>2556</v>
      </c>
      <c r="O574" s="66" t="s">
        <v>2557</v>
      </c>
      <c r="P574" s="37"/>
      <c r="Q574" s="38"/>
      <c r="R574" s="22"/>
      <c r="S574" s="38"/>
      <c r="T574" s="38"/>
      <c r="U574" s="38"/>
      <c r="V574" s="59"/>
      <c r="W574" s="38"/>
      <c r="X574" s="38"/>
      <c r="Y574" s="36" t="str">
        <f t="shared" si="45"/>
        <v>renew</v>
      </c>
      <c r="Z574" s="75"/>
      <c r="AA574" s="75"/>
    </row>
    <row r="575">
      <c r="A575" s="149"/>
      <c r="B575" s="87" t="s">
        <v>2558</v>
      </c>
      <c r="C575" s="142">
        <v>796.0</v>
      </c>
      <c r="D575" s="22" t="str">
        <f t="shared" si="1"/>
        <v>Business</v>
      </c>
      <c r="E575" s="23" t="str">
        <f t="shared" si="2"/>
        <v>Lapsed</v>
      </c>
      <c r="F575" s="24">
        <v>1.0</v>
      </c>
      <c r="G575" s="155">
        <v>44157.0</v>
      </c>
      <c r="H575" s="26">
        <f t="shared" si="44"/>
        <v>44196</v>
      </c>
      <c r="I575" s="75"/>
      <c r="J575" s="62" t="s">
        <v>2559</v>
      </c>
      <c r="K575" s="62" t="s">
        <v>2560</v>
      </c>
      <c r="L575" s="151" t="s">
        <v>35</v>
      </c>
      <c r="M575" s="152">
        <v>80624.0</v>
      </c>
      <c r="N575" s="80" t="s">
        <v>2561</v>
      </c>
      <c r="O575" s="66" t="s">
        <v>2562</v>
      </c>
      <c r="P575" s="37"/>
      <c r="Q575" s="38"/>
      <c r="R575" s="22"/>
      <c r="S575" s="38"/>
      <c r="T575" s="38"/>
      <c r="U575" s="38"/>
      <c r="V575" s="59"/>
      <c r="W575" s="38"/>
      <c r="X575" s="38"/>
      <c r="Y575" s="36" t="str">
        <f t="shared" si="45"/>
        <v>renew</v>
      </c>
      <c r="Z575" s="75"/>
      <c r="AA575" s="75"/>
    </row>
    <row r="576">
      <c r="A576" s="87" t="s">
        <v>1117</v>
      </c>
      <c r="B576" s="87" t="s">
        <v>2563</v>
      </c>
      <c r="C576" s="75">
        <v>795.0</v>
      </c>
      <c r="D576" s="22" t="str">
        <f t="shared" si="1"/>
        <v>General</v>
      </c>
      <c r="E576" s="23" t="str">
        <f t="shared" si="2"/>
        <v>Lapsed</v>
      </c>
      <c r="F576" s="24">
        <v>1.0</v>
      </c>
      <c r="G576" s="25">
        <v>45406.0</v>
      </c>
      <c r="H576" s="26">
        <f t="shared" si="44"/>
        <v>45657</v>
      </c>
      <c r="I576" s="21"/>
      <c r="J576" s="29" t="s">
        <v>2564</v>
      </c>
      <c r="K576" s="29" t="s">
        <v>2565</v>
      </c>
      <c r="L576" s="63" t="s">
        <v>35</v>
      </c>
      <c r="M576" s="42" t="s">
        <v>2566</v>
      </c>
      <c r="N576" s="80" t="s">
        <v>2567</v>
      </c>
      <c r="O576" s="66" t="s">
        <v>2568</v>
      </c>
      <c r="P576" s="37"/>
      <c r="Q576" s="38"/>
      <c r="R576" s="22"/>
      <c r="S576" s="22"/>
      <c r="T576" s="22">
        <v>1.0</v>
      </c>
      <c r="U576" s="22">
        <v>3.0</v>
      </c>
      <c r="V576" s="35">
        <v>45206.0</v>
      </c>
      <c r="W576" s="22" t="s">
        <v>800</v>
      </c>
      <c r="X576" s="22" t="s">
        <v>800</v>
      </c>
      <c r="Y576" s="36" t="str">
        <f t="shared" si="45"/>
        <v>renew</v>
      </c>
      <c r="Z576" s="21"/>
      <c r="AA576" s="75"/>
    </row>
    <row r="577">
      <c r="A577" s="87" t="s">
        <v>553</v>
      </c>
      <c r="B577" s="87" t="s">
        <v>1171</v>
      </c>
      <c r="C577" s="75">
        <v>794.0</v>
      </c>
      <c r="D577" s="22" t="str">
        <f t="shared" si="1"/>
        <v>General</v>
      </c>
      <c r="E577" s="23" t="str">
        <f t="shared" si="2"/>
        <v>Lapsed</v>
      </c>
      <c r="F577" s="24">
        <v>1.0</v>
      </c>
      <c r="G577" s="155">
        <v>44167.0</v>
      </c>
      <c r="H577" s="26">
        <f t="shared" si="44"/>
        <v>44196</v>
      </c>
      <c r="I577" s="75"/>
      <c r="J577" s="62" t="s">
        <v>2569</v>
      </c>
      <c r="K577" s="62" t="s">
        <v>2570</v>
      </c>
      <c r="L577" s="63" t="s">
        <v>57</v>
      </c>
      <c r="M577" s="64">
        <v>82240.0</v>
      </c>
      <c r="N577" s="80" t="s">
        <v>2571</v>
      </c>
      <c r="O577" s="66"/>
      <c r="P577" s="37"/>
      <c r="Q577" s="38"/>
      <c r="R577" s="22"/>
      <c r="S577" s="38"/>
      <c r="T577" s="38"/>
      <c r="U577" s="38"/>
      <c r="V577" s="59"/>
      <c r="W577" s="38"/>
      <c r="X577" s="38"/>
      <c r="Y577" s="36" t="str">
        <f t="shared" si="45"/>
        <v>renew</v>
      </c>
      <c r="Z577" s="75"/>
      <c r="AA577" s="75"/>
    </row>
    <row r="578">
      <c r="A578" s="87" t="s">
        <v>2572</v>
      </c>
      <c r="B578" s="87" t="s">
        <v>2573</v>
      </c>
      <c r="C578" s="75">
        <v>793.0</v>
      </c>
      <c r="D578" s="22" t="str">
        <f t="shared" si="1"/>
        <v>General</v>
      </c>
      <c r="E578" s="23" t="str">
        <f t="shared" si="2"/>
        <v>Lapsed</v>
      </c>
      <c r="F578" s="24">
        <v>1.0</v>
      </c>
      <c r="G578" s="25">
        <v>45205.0</v>
      </c>
      <c r="H578" s="26">
        <f t="shared" si="44"/>
        <v>45291</v>
      </c>
      <c r="I578" s="75"/>
      <c r="J578" s="62" t="s">
        <v>2574</v>
      </c>
      <c r="K578" s="62" t="s">
        <v>2575</v>
      </c>
      <c r="L578" s="63" t="s">
        <v>35</v>
      </c>
      <c r="M578" s="64">
        <v>80723.0</v>
      </c>
      <c r="N578" s="80" t="s">
        <v>2576</v>
      </c>
      <c r="O578" s="66" t="s">
        <v>2577</v>
      </c>
      <c r="P578" s="37"/>
      <c r="Q578" s="38"/>
      <c r="R578" s="22"/>
      <c r="S578" s="22"/>
      <c r="T578" s="22"/>
      <c r="U578" s="22">
        <v>3.0</v>
      </c>
      <c r="V578" s="59">
        <v>45205.0</v>
      </c>
      <c r="W578" s="38"/>
      <c r="X578" s="22" t="s">
        <v>800</v>
      </c>
      <c r="Y578" s="36" t="str">
        <f t="shared" si="45"/>
        <v>renew</v>
      </c>
      <c r="Z578" s="75"/>
      <c r="AA578" s="75"/>
    </row>
    <row r="579">
      <c r="A579" s="87" t="s">
        <v>2578</v>
      </c>
      <c r="B579" s="87" t="s">
        <v>2579</v>
      </c>
      <c r="C579" s="75">
        <v>792.0</v>
      </c>
      <c r="D579" s="22" t="str">
        <f t="shared" si="1"/>
        <v>General</v>
      </c>
      <c r="E579" s="23" t="str">
        <f t="shared" si="2"/>
        <v>Lapsed</v>
      </c>
      <c r="F579" s="24">
        <v>1.0</v>
      </c>
      <c r="G579" s="25">
        <v>44722.0</v>
      </c>
      <c r="H579" s="26">
        <f t="shared" si="44"/>
        <v>44926</v>
      </c>
      <c r="I579" s="75"/>
      <c r="J579" s="62" t="s">
        <v>2580</v>
      </c>
      <c r="K579" s="62" t="s">
        <v>56</v>
      </c>
      <c r="L579" s="63" t="s">
        <v>57</v>
      </c>
      <c r="M579" s="64">
        <v>82009.0</v>
      </c>
      <c r="N579" s="80" t="s">
        <v>2581</v>
      </c>
      <c r="O579" s="66" t="s">
        <v>2582</v>
      </c>
      <c r="P579" s="37"/>
      <c r="Q579" s="38"/>
      <c r="R579" s="22"/>
      <c r="S579" s="22"/>
      <c r="T579" s="22"/>
      <c r="U579" s="22"/>
      <c r="V579" s="59"/>
      <c r="W579" s="22" t="s">
        <v>800</v>
      </c>
      <c r="X579" s="38"/>
      <c r="Y579" s="36" t="str">
        <f t="shared" si="45"/>
        <v>renew</v>
      </c>
      <c r="Z579" s="75"/>
      <c r="AA579" s="75"/>
    </row>
    <row r="580">
      <c r="A580" s="87" t="s">
        <v>2583</v>
      </c>
      <c r="B580" s="87" t="s">
        <v>2584</v>
      </c>
      <c r="C580" s="75">
        <v>791.0</v>
      </c>
      <c r="D580" s="22" t="str">
        <f t="shared" si="1"/>
        <v>General</v>
      </c>
      <c r="E580" s="23" t="str">
        <f t="shared" si="2"/>
        <v>Lapsed</v>
      </c>
      <c r="F580" s="24">
        <v>1.0</v>
      </c>
      <c r="G580" s="155">
        <v>44141.0</v>
      </c>
      <c r="H580" s="26">
        <f t="shared" si="44"/>
        <v>44196</v>
      </c>
      <c r="I580" s="75"/>
      <c r="J580" s="62" t="s">
        <v>2585</v>
      </c>
      <c r="K580" s="62" t="s">
        <v>704</v>
      </c>
      <c r="L580" s="63" t="s">
        <v>244</v>
      </c>
      <c r="M580" s="64">
        <v>69025.0</v>
      </c>
      <c r="N580" s="80" t="s">
        <v>2586</v>
      </c>
      <c r="O580" s="66" t="s">
        <v>2587</v>
      </c>
      <c r="P580" s="37"/>
      <c r="Q580" s="38"/>
      <c r="R580" s="22"/>
      <c r="S580" s="38"/>
      <c r="T580" s="38"/>
      <c r="U580" s="38"/>
      <c r="V580" s="59"/>
      <c r="W580" s="38"/>
      <c r="X580" s="38"/>
      <c r="Y580" s="36" t="str">
        <f t="shared" si="45"/>
        <v>renew</v>
      </c>
      <c r="Z580" s="75"/>
      <c r="AA580" s="75"/>
    </row>
    <row r="581">
      <c r="A581" s="87" t="s">
        <v>1570</v>
      </c>
      <c r="B581" s="87" t="s">
        <v>2588</v>
      </c>
      <c r="C581" s="75">
        <v>790.0</v>
      </c>
      <c r="D581" s="22" t="str">
        <f t="shared" si="1"/>
        <v>General</v>
      </c>
      <c r="E581" s="23" t="str">
        <f t="shared" si="2"/>
        <v>Lapsed</v>
      </c>
      <c r="F581" s="24">
        <v>1.0</v>
      </c>
      <c r="G581" s="155">
        <v>44157.0</v>
      </c>
      <c r="H581" s="26">
        <f t="shared" si="44"/>
        <v>44196</v>
      </c>
      <c r="I581" s="75"/>
      <c r="J581" s="62" t="s">
        <v>2589</v>
      </c>
      <c r="K581" s="62" t="s">
        <v>1366</v>
      </c>
      <c r="L581" s="63" t="s">
        <v>35</v>
      </c>
      <c r="M581" s="64">
        <v>80643.0</v>
      </c>
      <c r="N581" s="80" t="s">
        <v>2590</v>
      </c>
      <c r="O581" s="66"/>
      <c r="P581" s="37"/>
      <c r="Q581" s="38"/>
      <c r="R581" s="22"/>
      <c r="S581" s="38"/>
      <c r="T581" s="38"/>
      <c r="U581" s="38"/>
      <c r="V581" s="59"/>
      <c r="W581" s="38"/>
      <c r="X581" s="38"/>
      <c r="Y581" s="36" t="str">
        <f t="shared" si="45"/>
        <v>renew</v>
      </c>
      <c r="Z581" s="75"/>
      <c r="AA581" s="75"/>
    </row>
    <row r="582">
      <c r="A582" s="87" t="s">
        <v>2591</v>
      </c>
      <c r="B582" s="87" t="s">
        <v>2592</v>
      </c>
      <c r="C582" s="75">
        <v>789.0</v>
      </c>
      <c r="D582" s="22" t="str">
        <f t="shared" si="1"/>
        <v>General</v>
      </c>
      <c r="E582" s="23" t="str">
        <f t="shared" si="2"/>
        <v>Lapsed</v>
      </c>
      <c r="F582" s="24">
        <v>1.0</v>
      </c>
      <c r="G582" s="163">
        <v>44157.0</v>
      </c>
      <c r="H582" s="26">
        <f t="shared" si="44"/>
        <v>44196</v>
      </c>
      <c r="I582" s="75"/>
      <c r="J582" s="62" t="s">
        <v>2593</v>
      </c>
      <c r="K582" s="62" t="s">
        <v>2594</v>
      </c>
      <c r="L582" s="63" t="s">
        <v>2595</v>
      </c>
      <c r="M582" s="64">
        <v>67737.0</v>
      </c>
      <c r="N582" s="80" t="s">
        <v>2596</v>
      </c>
      <c r="O582" s="66" t="s">
        <v>2597</v>
      </c>
      <c r="P582" s="37"/>
      <c r="Q582" s="38"/>
      <c r="R582" s="22"/>
      <c r="S582" s="38"/>
      <c r="T582" s="38"/>
      <c r="U582" s="38"/>
      <c r="V582" s="157"/>
      <c r="W582" s="38"/>
      <c r="X582" s="38"/>
      <c r="Y582" s="36" t="str">
        <f t="shared" si="45"/>
        <v>renew</v>
      </c>
      <c r="Z582" s="75"/>
      <c r="AA582" s="75"/>
    </row>
    <row r="583">
      <c r="A583" s="87" t="s">
        <v>1783</v>
      </c>
      <c r="B583" s="87" t="s">
        <v>2598</v>
      </c>
      <c r="C583" s="75">
        <v>788.0</v>
      </c>
      <c r="D583" s="22" t="str">
        <f t="shared" si="1"/>
        <v>General</v>
      </c>
      <c r="E583" s="23" t="str">
        <f t="shared" si="2"/>
        <v>Active</v>
      </c>
      <c r="F583" s="24">
        <v>3.0</v>
      </c>
      <c r="G583" s="25">
        <v>45406.0</v>
      </c>
      <c r="H583" s="26">
        <f t="shared" si="44"/>
        <v>46387</v>
      </c>
      <c r="I583" s="21" t="s">
        <v>27</v>
      </c>
      <c r="J583" s="62" t="s">
        <v>2599</v>
      </c>
      <c r="K583" s="62" t="s">
        <v>473</v>
      </c>
      <c r="L583" s="63" t="s">
        <v>35</v>
      </c>
      <c r="M583" s="64">
        <v>80602.0</v>
      </c>
      <c r="N583" s="80" t="s">
        <v>2600</v>
      </c>
      <c r="O583" s="66" t="s">
        <v>2601</v>
      </c>
      <c r="P583" s="37"/>
      <c r="Q583" s="38"/>
      <c r="R583" s="22"/>
      <c r="S583" s="22">
        <v>1.0</v>
      </c>
      <c r="T583" s="22">
        <v>1.0</v>
      </c>
      <c r="U583" s="38"/>
      <c r="V583" s="59"/>
      <c r="W583" s="22" t="s">
        <v>800</v>
      </c>
      <c r="X583" s="38"/>
      <c r="Y583" s="36" t="s">
        <v>45</v>
      </c>
      <c r="Z583" s="21" t="s">
        <v>27</v>
      </c>
      <c r="AA583" s="75"/>
    </row>
    <row r="584">
      <c r="A584" s="87" t="s">
        <v>2602</v>
      </c>
      <c r="B584" s="87" t="s">
        <v>2598</v>
      </c>
      <c r="C584" s="75">
        <v>786.0</v>
      </c>
      <c r="D584" s="22" t="str">
        <f t="shared" si="1"/>
        <v>General</v>
      </c>
      <c r="E584" s="23" t="str">
        <f t="shared" si="2"/>
        <v>Active</v>
      </c>
      <c r="F584" s="24">
        <v>3.0</v>
      </c>
      <c r="G584" s="25">
        <v>45406.0</v>
      </c>
      <c r="H584" s="26">
        <f t="shared" si="44"/>
        <v>46387</v>
      </c>
      <c r="I584" s="21" t="s">
        <v>27</v>
      </c>
      <c r="J584" s="62" t="s">
        <v>2599</v>
      </c>
      <c r="K584" s="62" t="s">
        <v>473</v>
      </c>
      <c r="L584" s="63" t="s">
        <v>35</v>
      </c>
      <c r="M584" s="64">
        <v>80602.0</v>
      </c>
      <c r="N584" s="80" t="s">
        <v>2603</v>
      </c>
      <c r="O584" s="66" t="s">
        <v>2604</v>
      </c>
      <c r="P584" s="37"/>
      <c r="Q584" s="38"/>
      <c r="R584" s="22"/>
      <c r="S584" s="22">
        <v>1.0</v>
      </c>
      <c r="T584" s="22">
        <v>1.0</v>
      </c>
      <c r="U584" s="22">
        <v>3.0</v>
      </c>
      <c r="V584" s="59">
        <v>45117.0</v>
      </c>
      <c r="W584" s="22" t="s">
        <v>800</v>
      </c>
      <c r="X584" s="22" t="s">
        <v>800</v>
      </c>
      <c r="Y584" s="36" t="s">
        <v>45</v>
      </c>
      <c r="Z584" s="21" t="s">
        <v>27</v>
      </c>
      <c r="AA584" s="75"/>
    </row>
    <row r="585">
      <c r="A585" s="87" t="s">
        <v>2605</v>
      </c>
      <c r="B585" s="87" t="s">
        <v>2606</v>
      </c>
      <c r="C585" s="75">
        <v>785.0</v>
      </c>
      <c r="D585" s="22" t="str">
        <f t="shared" si="1"/>
        <v>General</v>
      </c>
      <c r="E585" s="23" t="str">
        <f t="shared" si="2"/>
        <v>Lapsed</v>
      </c>
      <c r="F585" s="24">
        <v>1.0</v>
      </c>
      <c r="G585" s="155">
        <v>44111.0</v>
      </c>
      <c r="H585" s="26">
        <f t="shared" si="44"/>
        <v>44196</v>
      </c>
      <c r="I585" s="75"/>
      <c r="J585" s="62" t="s">
        <v>2607</v>
      </c>
      <c r="K585" s="62" t="s">
        <v>2608</v>
      </c>
      <c r="L585" s="63" t="s">
        <v>35</v>
      </c>
      <c r="M585" s="64">
        <v>80033.0</v>
      </c>
      <c r="N585" s="80" t="s">
        <v>2609</v>
      </c>
      <c r="O585" s="66" t="s">
        <v>2610</v>
      </c>
      <c r="P585" s="37"/>
      <c r="Q585" s="38"/>
      <c r="R585" s="22"/>
      <c r="S585" s="38"/>
      <c r="T585" s="38"/>
      <c r="U585" s="38"/>
      <c r="V585" s="59"/>
      <c r="W585" s="38"/>
      <c r="X585" s="38"/>
      <c r="Y585" s="36" t="str">
        <f t="shared" ref="Y585:Y630" si="46">if(E585="Active","send","renew")</f>
        <v>renew</v>
      </c>
      <c r="Z585" s="75"/>
      <c r="AA585" s="75"/>
    </row>
    <row r="586">
      <c r="A586" s="87" t="s">
        <v>2611</v>
      </c>
      <c r="B586" s="87" t="s">
        <v>2612</v>
      </c>
      <c r="C586" s="75">
        <v>784.0</v>
      </c>
      <c r="D586" s="22" t="str">
        <f t="shared" si="1"/>
        <v>General</v>
      </c>
      <c r="E586" s="23" t="str">
        <f t="shared" si="2"/>
        <v>Lapsed</v>
      </c>
      <c r="F586" s="24">
        <v>1.0</v>
      </c>
      <c r="G586" s="155">
        <v>44111.0</v>
      </c>
      <c r="H586" s="26">
        <f t="shared" si="44"/>
        <v>44196</v>
      </c>
      <c r="I586" s="75"/>
      <c r="J586" s="62" t="s">
        <v>2613</v>
      </c>
      <c r="K586" s="62" t="s">
        <v>761</v>
      </c>
      <c r="L586" s="63" t="s">
        <v>35</v>
      </c>
      <c r="M586" s="64">
        <v>80403.0</v>
      </c>
      <c r="N586" s="80" t="s">
        <v>2614</v>
      </c>
      <c r="O586" s="66" t="s">
        <v>2615</v>
      </c>
      <c r="P586" s="37"/>
      <c r="Q586" s="38"/>
      <c r="R586" s="22"/>
      <c r="S586" s="38"/>
      <c r="T586" s="38"/>
      <c r="U586" s="38"/>
      <c r="V586" s="59"/>
      <c r="W586" s="38"/>
      <c r="X586" s="38"/>
      <c r="Y586" s="36" t="str">
        <f t="shared" si="46"/>
        <v>renew</v>
      </c>
      <c r="Z586" s="75"/>
      <c r="AA586" s="75"/>
    </row>
    <row r="587">
      <c r="A587" s="87" t="s">
        <v>2616</v>
      </c>
      <c r="B587" s="87" t="s">
        <v>966</v>
      </c>
      <c r="C587" s="75">
        <v>783.0</v>
      </c>
      <c r="D587" s="22" t="str">
        <f t="shared" si="1"/>
        <v>General</v>
      </c>
      <c r="E587" s="23" t="str">
        <f t="shared" si="2"/>
        <v>Lapsed</v>
      </c>
      <c r="F587" s="24">
        <v>1.0</v>
      </c>
      <c r="G587" s="155">
        <v>44094.0</v>
      </c>
      <c r="H587" s="26">
        <f t="shared" si="44"/>
        <v>44196</v>
      </c>
      <c r="I587" s="75"/>
      <c r="J587" s="62" t="s">
        <v>2617</v>
      </c>
      <c r="K587" s="62" t="s">
        <v>2618</v>
      </c>
      <c r="L587" s="63" t="s">
        <v>57</v>
      </c>
      <c r="M587" s="64">
        <v>82321.0</v>
      </c>
      <c r="N587" s="80" t="s">
        <v>2619</v>
      </c>
      <c r="O587" s="66" t="s">
        <v>2620</v>
      </c>
      <c r="P587" s="37"/>
      <c r="Q587" s="38"/>
      <c r="R587" s="22"/>
      <c r="S587" s="38"/>
      <c r="T587" s="38"/>
      <c r="U587" s="38"/>
      <c r="V587" s="59"/>
      <c r="W587" s="38"/>
      <c r="X587" s="38"/>
      <c r="Y587" s="36" t="str">
        <f t="shared" si="46"/>
        <v>renew</v>
      </c>
      <c r="Z587" s="75"/>
      <c r="AA587" s="75"/>
    </row>
    <row r="588">
      <c r="A588" s="87" t="s">
        <v>1240</v>
      </c>
      <c r="B588" s="87" t="s">
        <v>47</v>
      </c>
      <c r="C588" s="75">
        <v>782.0</v>
      </c>
      <c r="D588" s="22" t="str">
        <f t="shared" si="1"/>
        <v>General</v>
      </c>
      <c r="E588" s="23" t="str">
        <f t="shared" si="2"/>
        <v>Lapsed</v>
      </c>
      <c r="F588" s="24">
        <v>1.0</v>
      </c>
      <c r="G588" s="155">
        <v>44082.0</v>
      </c>
      <c r="H588" s="26">
        <f t="shared" si="44"/>
        <v>44196</v>
      </c>
      <c r="I588" s="75"/>
      <c r="J588" s="62" t="s">
        <v>2621</v>
      </c>
      <c r="K588" s="62" t="s">
        <v>1298</v>
      </c>
      <c r="L588" s="63" t="s">
        <v>35</v>
      </c>
      <c r="M588" s="64">
        <v>81007.0</v>
      </c>
      <c r="N588" s="80" t="s">
        <v>2622</v>
      </c>
      <c r="O588" s="66" t="s">
        <v>2623</v>
      </c>
      <c r="P588" s="37"/>
      <c r="Q588" s="38"/>
      <c r="R588" s="22"/>
      <c r="S588" s="38"/>
      <c r="T588" s="38"/>
      <c r="U588" s="38"/>
      <c r="V588" s="59"/>
      <c r="W588" s="38"/>
      <c r="X588" s="38"/>
      <c r="Y588" s="36" t="str">
        <f t="shared" si="46"/>
        <v>renew</v>
      </c>
      <c r="Z588" s="75"/>
      <c r="AA588" s="75"/>
    </row>
    <row r="589">
      <c r="A589" s="87" t="s">
        <v>2624</v>
      </c>
      <c r="B589" s="87" t="s">
        <v>1774</v>
      </c>
      <c r="C589" s="75">
        <v>781.0</v>
      </c>
      <c r="D589" s="22" t="str">
        <f t="shared" si="1"/>
        <v>General</v>
      </c>
      <c r="E589" s="23" t="str">
        <f t="shared" si="2"/>
        <v>Lapsed</v>
      </c>
      <c r="F589" s="24">
        <v>1.0</v>
      </c>
      <c r="G589" s="155">
        <v>44034.0</v>
      </c>
      <c r="H589" s="26">
        <f t="shared" si="44"/>
        <v>44196</v>
      </c>
      <c r="I589" s="75"/>
      <c r="J589" s="62" t="s">
        <v>2625</v>
      </c>
      <c r="K589" s="62" t="s">
        <v>2626</v>
      </c>
      <c r="L589" s="63" t="s">
        <v>57</v>
      </c>
      <c r="M589" s="64">
        <v>82501.0</v>
      </c>
      <c r="N589" s="80" t="s">
        <v>2627</v>
      </c>
      <c r="O589" s="66" t="s">
        <v>2628</v>
      </c>
      <c r="P589" s="37"/>
      <c r="Q589" s="38"/>
      <c r="R589" s="22"/>
      <c r="S589" s="38"/>
      <c r="T589" s="38"/>
      <c r="U589" s="38"/>
      <c r="V589" s="59"/>
      <c r="W589" s="38"/>
      <c r="X589" s="38"/>
      <c r="Y589" s="36" t="str">
        <f t="shared" si="46"/>
        <v>renew</v>
      </c>
      <c r="Z589" s="75"/>
      <c r="AA589" s="75"/>
    </row>
    <row r="590">
      <c r="A590" s="87" t="s">
        <v>2629</v>
      </c>
      <c r="B590" s="87" t="s">
        <v>2630</v>
      </c>
      <c r="C590" s="75">
        <v>780.0</v>
      </c>
      <c r="D590" s="22" t="str">
        <f t="shared" si="1"/>
        <v>General</v>
      </c>
      <c r="E590" s="23" t="str">
        <f t="shared" si="2"/>
        <v>Lapsed</v>
      </c>
      <c r="F590" s="24">
        <v>1.0</v>
      </c>
      <c r="G590" s="155">
        <v>44026.0</v>
      </c>
      <c r="H590" s="26">
        <f t="shared" si="44"/>
        <v>44196</v>
      </c>
      <c r="I590" s="75"/>
      <c r="J590" s="62" t="s">
        <v>2631</v>
      </c>
      <c r="K590" s="29" t="s">
        <v>374</v>
      </c>
      <c r="L590" s="63" t="s">
        <v>35</v>
      </c>
      <c r="M590" s="64">
        <v>81006.0</v>
      </c>
      <c r="N590" s="80" t="s">
        <v>2632</v>
      </c>
      <c r="O590" s="66" t="s">
        <v>2633</v>
      </c>
      <c r="P590" s="37"/>
      <c r="Q590" s="38"/>
      <c r="R590" s="22"/>
      <c r="S590" s="38"/>
      <c r="T590" s="38"/>
      <c r="U590" s="38"/>
      <c r="V590" s="59"/>
      <c r="W590" s="38"/>
      <c r="X590" s="38"/>
      <c r="Y590" s="36" t="str">
        <f t="shared" si="46"/>
        <v>renew</v>
      </c>
      <c r="Z590" s="75"/>
      <c r="AA590" s="75"/>
    </row>
    <row r="591">
      <c r="A591" s="87" t="s">
        <v>154</v>
      </c>
      <c r="B591" s="87" t="s">
        <v>2634</v>
      </c>
      <c r="C591" s="75">
        <v>779.0</v>
      </c>
      <c r="D591" s="22" t="str">
        <f t="shared" si="1"/>
        <v>General</v>
      </c>
      <c r="E591" s="23" t="str">
        <f t="shared" si="2"/>
        <v>Lapsed</v>
      </c>
      <c r="F591" s="24">
        <v>1.0</v>
      </c>
      <c r="G591" s="155">
        <v>44391.0</v>
      </c>
      <c r="H591" s="26">
        <f t="shared" si="44"/>
        <v>44561</v>
      </c>
      <c r="I591" s="75"/>
      <c r="J591" s="62" t="s">
        <v>2635</v>
      </c>
      <c r="K591" s="62" t="s">
        <v>56</v>
      </c>
      <c r="L591" s="63" t="s">
        <v>57</v>
      </c>
      <c r="M591" s="64">
        <v>82009.0</v>
      </c>
      <c r="N591" s="80" t="s">
        <v>2636</v>
      </c>
      <c r="O591" s="66" t="s">
        <v>2637</v>
      </c>
      <c r="P591" s="37"/>
      <c r="Q591" s="38"/>
      <c r="R591" s="22"/>
      <c r="S591" s="38"/>
      <c r="T591" s="38"/>
      <c r="U591" s="38"/>
      <c r="V591" s="59"/>
      <c r="W591" s="38"/>
      <c r="X591" s="38"/>
      <c r="Y591" s="36" t="str">
        <f t="shared" si="46"/>
        <v>renew</v>
      </c>
      <c r="Z591" s="75"/>
      <c r="AA591" s="75"/>
    </row>
    <row r="592">
      <c r="A592" s="87" t="s">
        <v>2638</v>
      </c>
      <c r="B592" s="87" t="s">
        <v>2639</v>
      </c>
      <c r="C592" s="75">
        <v>778.0</v>
      </c>
      <c r="D592" s="22" t="str">
        <f t="shared" si="1"/>
        <v>General</v>
      </c>
      <c r="E592" s="23" t="str">
        <f t="shared" si="2"/>
        <v>Lapsed</v>
      </c>
      <c r="F592" s="24">
        <v>1.0</v>
      </c>
      <c r="G592" s="155">
        <v>44026.0</v>
      </c>
      <c r="H592" s="26">
        <f t="shared" si="44"/>
        <v>44196</v>
      </c>
      <c r="I592" s="75"/>
      <c r="J592" s="62" t="s">
        <v>2640</v>
      </c>
      <c r="K592" s="62" t="s">
        <v>647</v>
      </c>
      <c r="L592" s="63" t="s">
        <v>35</v>
      </c>
      <c r="M592" s="64">
        <v>80504.0</v>
      </c>
      <c r="N592" s="80" t="s">
        <v>2641</v>
      </c>
      <c r="O592" s="66" t="s">
        <v>2642</v>
      </c>
      <c r="P592" s="37"/>
      <c r="Q592" s="38"/>
      <c r="R592" s="22"/>
      <c r="S592" s="38"/>
      <c r="T592" s="38"/>
      <c r="U592" s="38"/>
      <c r="V592" s="59"/>
      <c r="W592" s="38"/>
      <c r="X592" s="38"/>
      <c r="Y592" s="36" t="str">
        <f t="shared" si="46"/>
        <v>renew</v>
      </c>
      <c r="Z592" s="75"/>
      <c r="AA592" s="75"/>
    </row>
    <row r="593">
      <c r="A593" s="87" t="s">
        <v>2643</v>
      </c>
      <c r="B593" s="87" t="s">
        <v>2644</v>
      </c>
      <c r="C593" s="75">
        <v>777.0</v>
      </c>
      <c r="D593" s="22" t="str">
        <f t="shared" si="1"/>
        <v>General</v>
      </c>
      <c r="E593" s="23" t="str">
        <f t="shared" si="2"/>
        <v>Lapsed</v>
      </c>
      <c r="F593" s="24">
        <v>1.0</v>
      </c>
      <c r="G593" s="155">
        <v>44026.0</v>
      </c>
      <c r="H593" s="26">
        <f t="shared" si="44"/>
        <v>44196</v>
      </c>
      <c r="I593" s="75"/>
      <c r="J593" s="62" t="s">
        <v>2645</v>
      </c>
      <c r="K593" s="29" t="s">
        <v>374</v>
      </c>
      <c r="L593" s="63" t="s">
        <v>35</v>
      </c>
      <c r="M593" s="64">
        <v>80005.0</v>
      </c>
      <c r="N593" s="80" t="s">
        <v>2646</v>
      </c>
      <c r="O593" s="66" t="s">
        <v>2647</v>
      </c>
      <c r="P593" s="37"/>
      <c r="Q593" s="38"/>
      <c r="R593" s="22"/>
      <c r="S593" s="38"/>
      <c r="T593" s="38"/>
      <c r="U593" s="38"/>
      <c r="V593" s="59"/>
      <c r="W593" s="38"/>
      <c r="X593" s="38"/>
      <c r="Y593" s="36" t="str">
        <f t="shared" si="46"/>
        <v>renew</v>
      </c>
      <c r="Z593" s="75"/>
      <c r="AA593" s="75"/>
    </row>
    <row r="594">
      <c r="A594" s="87" t="s">
        <v>2288</v>
      </c>
      <c r="B594" s="87" t="s">
        <v>2648</v>
      </c>
      <c r="C594" s="75">
        <v>776.0</v>
      </c>
      <c r="D594" s="22" t="str">
        <f t="shared" si="1"/>
        <v>General</v>
      </c>
      <c r="E594" s="23" t="str">
        <f t="shared" si="2"/>
        <v>Lapsed</v>
      </c>
      <c r="F594" s="24">
        <v>1.0</v>
      </c>
      <c r="G594" s="25">
        <v>44976.0</v>
      </c>
      <c r="H594" s="26">
        <f t="shared" si="44"/>
        <v>45291</v>
      </c>
      <c r="I594" s="75"/>
      <c r="J594" s="62" t="s">
        <v>2649</v>
      </c>
      <c r="K594" s="62" t="s">
        <v>2650</v>
      </c>
      <c r="L594" s="63" t="s">
        <v>35</v>
      </c>
      <c r="M594" s="64">
        <v>81240.0</v>
      </c>
      <c r="N594" s="80" t="s">
        <v>2651</v>
      </c>
      <c r="O594" s="66" t="s">
        <v>2652</v>
      </c>
      <c r="P594" s="37"/>
      <c r="Q594" s="38"/>
      <c r="R594" s="22"/>
      <c r="S594" s="22"/>
      <c r="T594" s="22"/>
      <c r="U594" s="22">
        <v>1.0</v>
      </c>
      <c r="V594" s="106">
        <v>44976.0</v>
      </c>
      <c r="W594" s="38"/>
      <c r="X594" s="22" t="s">
        <v>800</v>
      </c>
      <c r="Y594" s="36" t="str">
        <f t="shared" si="46"/>
        <v>renew</v>
      </c>
      <c r="Z594" s="75"/>
      <c r="AA594" s="75"/>
    </row>
    <row r="595">
      <c r="A595" s="87" t="s">
        <v>1931</v>
      </c>
      <c r="B595" s="87" t="s">
        <v>2653</v>
      </c>
      <c r="C595" s="75">
        <v>773.0</v>
      </c>
      <c r="D595" s="22" t="str">
        <f t="shared" si="1"/>
        <v>General</v>
      </c>
      <c r="E595" s="23" t="str">
        <f t="shared" si="2"/>
        <v>Lapsed</v>
      </c>
      <c r="F595" s="24">
        <v>1.0</v>
      </c>
      <c r="G595" s="155">
        <v>44026.0</v>
      </c>
      <c r="H595" s="26">
        <f t="shared" si="44"/>
        <v>44196</v>
      </c>
      <c r="I595" s="75"/>
      <c r="J595" s="62" t="s">
        <v>2654</v>
      </c>
      <c r="K595" s="29" t="s">
        <v>1976</v>
      </c>
      <c r="L595" s="63" t="s">
        <v>35</v>
      </c>
      <c r="M595" s="64">
        <v>80214.0</v>
      </c>
      <c r="N595" s="80" t="s">
        <v>2655</v>
      </c>
      <c r="O595" s="66" t="s">
        <v>2656</v>
      </c>
      <c r="P595" s="37"/>
      <c r="Q595" s="38"/>
      <c r="R595" s="22"/>
      <c r="S595" s="38"/>
      <c r="T595" s="38"/>
      <c r="U595" s="38"/>
      <c r="V595" s="59"/>
      <c r="W595" s="38"/>
      <c r="X595" s="38"/>
      <c r="Y595" s="36" t="str">
        <f t="shared" si="46"/>
        <v>renew</v>
      </c>
      <c r="Z595" s="75"/>
      <c r="AA595" s="75"/>
    </row>
    <row r="596">
      <c r="A596" s="87" t="s">
        <v>1240</v>
      </c>
      <c r="B596" s="87" t="s">
        <v>2657</v>
      </c>
      <c r="C596" s="75">
        <v>772.0</v>
      </c>
      <c r="D596" s="22" t="str">
        <f t="shared" si="1"/>
        <v>General</v>
      </c>
      <c r="E596" s="23" t="str">
        <f t="shared" si="2"/>
        <v>Lapsed</v>
      </c>
      <c r="F596" s="24">
        <v>1.0</v>
      </c>
      <c r="G596" s="155">
        <v>44031.0</v>
      </c>
      <c r="H596" s="26">
        <f t="shared" si="44"/>
        <v>44196</v>
      </c>
      <c r="I596" s="75"/>
      <c r="J596" s="62" t="s">
        <v>2658</v>
      </c>
      <c r="K596" s="62" t="s">
        <v>2659</v>
      </c>
      <c r="L596" s="63" t="s">
        <v>57</v>
      </c>
      <c r="M596" s="64">
        <v>82501.0</v>
      </c>
      <c r="N596" s="80" t="s">
        <v>2660</v>
      </c>
      <c r="O596" s="66" t="s">
        <v>2661</v>
      </c>
      <c r="P596" s="37"/>
      <c r="Q596" s="38"/>
      <c r="R596" s="22"/>
      <c r="S596" s="38"/>
      <c r="T596" s="38"/>
      <c r="U596" s="38"/>
      <c r="V596" s="59"/>
      <c r="W596" s="38"/>
      <c r="X596" s="38"/>
      <c r="Y596" s="36" t="str">
        <f t="shared" si="46"/>
        <v>renew</v>
      </c>
      <c r="Z596" s="75"/>
      <c r="AA596" s="75"/>
    </row>
    <row r="597">
      <c r="A597" s="87" t="s">
        <v>2662</v>
      </c>
      <c r="B597" s="87" t="s">
        <v>2663</v>
      </c>
      <c r="C597" s="75">
        <v>771.0</v>
      </c>
      <c r="D597" s="22" t="str">
        <f t="shared" si="1"/>
        <v>General</v>
      </c>
      <c r="E597" s="23" t="str">
        <f t="shared" si="2"/>
        <v>Lapsed</v>
      </c>
      <c r="F597" s="24">
        <v>1.0</v>
      </c>
      <c r="G597" s="155">
        <v>44235.0</v>
      </c>
      <c r="H597" s="26">
        <f t="shared" si="44"/>
        <v>44561</v>
      </c>
      <c r="I597" s="75"/>
      <c r="J597" s="62" t="s">
        <v>2664</v>
      </c>
      <c r="K597" s="62" t="s">
        <v>314</v>
      </c>
      <c r="L597" s="63" t="s">
        <v>35</v>
      </c>
      <c r="M597" s="64">
        <v>80750.0</v>
      </c>
      <c r="N597" s="80" t="s">
        <v>2665</v>
      </c>
      <c r="O597" s="66" t="s">
        <v>2666</v>
      </c>
      <c r="P597" s="37"/>
      <c r="Q597" s="38"/>
      <c r="R597" s="22"/>
      <c r="S597" s="38"/>
      <c r="T597" s="38"/>
      <c r="U597" s="38"/>
      <c r="V597" s="59"/>
      <c r="W597" s="38"/>
      <c r="X597" s="38"/>
      <c r="Y597" s="36" t="str">
        <f t="shared" si="46"/>
        <v>renew</v>
      </c>
      <c r="Z597" s="75"/>
      <c r="AA597" s="75"/>
    </row>
    <row r="598">
      <c r="A598" s="87" t="s">
        <v>1302</v>
      </c>
      <c r="B598" s="87" t="s">
        <v>2163</v>
      </c>
      <c r="C598" s="75">
        <v>770.0</v>
      </c>
      <c r="D598" s="22" t="str">
        <f t="shared" si="1"/>
        <v>General</v>
      </c>
      <c r="E598" s="23" t="str">
        <f t="shared" si="2"/>
        <v>Lapsed</v>
      </c>
      <c r="F598" s="24">
        <v>1.0</v>
      </c>
      <c r="G598" s="25">
        <v>45771.0</v>
      </c>
      <c r="H598" s="26">
        <f t="shared" si="44"/>
        <v>46022</v>
      </c>
      <c r="I598" s="21"/>
      <c r="J598" s="62" t="s">
        <v>2667</v>
      </c>
      <c r="K598" s="62" t="s">
        <v>42</v>
      </c>
      <c r="L598" s="63" t="s">
        <v>35</v>
      </c>
      <c r="M598" s="64" t="s">
        <v>239</v>
      </c>
      <c r="N598" s="80" t="s">
        <v>2668</v>
      </c>
      <c r="O598" s="66" t="s">
        <v>2669</v>
      </c>
      <c r="P598" s="37"/>
      <c r="Q598" s="38"/>
      <c r="R598" s="22"/>
      <c r="S598" s="22">
        <v>1.0</v>
      </c>
      <c r="T598" s="22">
        <v>1.0</v>
      </c>
      <c r="U598" s="38"/>
      <c r="V598" s="59"/>
      <c r="W598" s="22" t="s">
        <v>800</v>
      </c>
      <c r="X598" s="38"/>
      <c r="Y598" s="36" t="str">
        <f t="shared" si="46"/>
        <v>renew</v>
      </c>
      <c r="Z598" s="21" t="s">
        <v>27</v>
      </c>
      <c r="AA598" s="75"/>
    </row>
    <row r="599">
      <c r="A599" s="87" t="s">
        <v>2670</v>
      </c>
      <c r="B599" s="87" t="s">
        <v>623</v>
      </c>
      <c r="C599" s="75">
        <v>769.0</v>
      </c>
      <c r="D599" s="22" t="str">
        <f t="shared" si="1"/>
        <v>General</v>
      </c>
      <c r="E599" s="23" t="str">
        <f t="shared" si="2"/>
        <v>Lapsed</v>
      </c>
      <c r="F599" s="24">
        <v>1.0</v>
      </c>
      <c r="G599" s="155">
        <v>43875.0</v>
      </c>
      <c r="H599" s="26">
        <f t="shared" si="44"/>
        <v>44196</v>
      </c>
      <c r="I599" s="75"/>
      <c r="J599" s="62" t="s">
        <v>2671</v>
      </c>
      <c r="K599" s="62" t="s">
        <v>1816</v>
      </c>
      <c r="L599" s="63" t="s">
        <v>35</v>
      </c>
      <c r="M599" s="64" t="s">
        <v>2672</v>
      </c>
      <c r="N599" s="80" t="s">
        <v>2673</v>
      </c>
      <c r="O599" s="66" t="s">
        <v>2674</v>
      </c>
      <c r="P599" s="37"/>
      <c r="Q599" s="38"/>
      <c r="R599" s="22"/>
      <c r="S599" s="38"/>
      <c r="T599" s="38"/>
      <c r="U599" s="38"/>
      <c r="V599" s="59"/>
      <c r="W599" s="38"/>
      <c r="X599" s="38"/>
      <c r="Y599" s="36" t="str">
        <f t="shared" si="46"/>
        <v>renew</v>
      </c>
      <c r="Z599" s="75"/>
      <c r="AA599" s="75"/>
    </row>
    <row r="600">
      <c r="A600" s="87" t="s">
        <v>2110</v>
      </c>
      <c r="B600" s="87" t="s">
        <v>2675</v>
      </c>
      <c r="C600" s="75">
        <v>768.0</v>
      </c>
      <c r="D600" s="22" t="str">
        <f t="shared" si="1"/>
        <v>General</v>
      </c>
      <c r="E600" s="23" t="str">
        <f t="shared" si="2"/>
        <v>Lapsed</v>
      </c>
      <c r="F600" s="24">
        <v>1.0</v>
      </c>
      <c r="G600" s="25">
        <v>45817.0</v>
      </c>
      <c r="H600" s="26">
        <f t="shared" si="44"/>
        <v>46022</v>
      </c>
      <c r="I600" s="75"/>
      <c r="J600" s="62" t="s">
        <v>2676</v>
      </c>
      <c r="K600" s="62" t="s">
        <v>1919</v>
      </c>
      <c r="L600" s="81" t="s">
        <v>35</v>
      </c>
      <c r="M600" s="64" t="s">
        <v>1367</v>
      </c>
      <c r="N600" s="166" t="s">
        <v>2677</v>
      </c>
      <c r="O600" s="66" t="s">
        <v>2678</v>
      </c>
      <c r="P600" s="37"/>
      <c r="Q600" s="38"/>
      <c r="R600" s="22"/>
      <c r="S600" s="22">
        <v>2.0</v>
      </c>
      <c r="T600" s="22"/>
      <c r="U600" s="22">
        <v>2.0</v>
      </c>
      <c r="V600" s="116">
        <v>45150.0</v>
      </c>
      <c r="W600" s="38"/>
      <c r="X600" s="22" t="s">
        <v>800</v>
      </c>
      <c r="Y600" s="36" t="str">
        <f t="shared" si="46"/>
        <v>renew</v>
      </c>
      <c r="Z600" s="75"/>
      <c r="AA600" s="75"/>
    </row>
    <row r="601">
      <c r="A601" s="87" t="s">
        <v>1081</v>
      </c>
      <c r="B601" s="87" t="s">
        <v>2679</v>
      </c>
      <c r="C601" s="75">
        <v>767.0</v>
      </c>
      <c r="D601" s="22" t="str">
        <f t="shared" si="1"/>
        <v>General</v>
      </c>
      <c r="E601" s="23" t="str">
        <f t="shared" si="2"/>
        <v>Lapsed</v>
      </c>
      <c r="F601" s="24">
        <v>1.0</v>
      </c>
      <c r="G601" s="155">
        <v>43999.0</v>
      </c>
      <c r="H601" s="26">
        <f t="shared" si="44"/>
        <v>44196</v>
      </c>
      <c r="I601" s="75"/>
      <c r="J601" s="62" t="s">
        <v>2680</v>
      </c>
      <c r="K601" s="62" t="s">
        <v>322</v>
      </c>
      <c r="L601" s="63" t="s">
        <v>35</v>
      </c>
      <c r="M601" s="64">
        <v>80603.0</v>
      </c>
      <c r="N601" s="80" t="s">
        <v>2681</v>
      </c>
      <c r="O601" s="66" t="s">
        <v>2682</v>
      </c>
      <c r="P601" s="37"/>
      <c r="Q601" s="38"/>
      <c r="R601" s="22"/>
      <c r="S601" s="38"/>
      <c r="T601" s="38"/>
      <c r="U601" s="38"/>
      <c r="V601" s="59"/>
      <c r="W601" s="38"/>
      <c r="X601" s="38"/>
      <c r="Y601" s="36" t="str">
        <f t="shared" si="46"/>
        <v>renew</v>
      </c>
      <c r="Z601" s="75"/>
      <c r="AA601" s="75"/>
    </row>
    <row r="602">
      <c r="A602" s="87" t="s">
        <v>1027</v>
      </c>
      <c r="B602" s="87" t="s">
        <v>1475</v>
      </c>
      <c r="C602" s="75">
        <v>766.0</v>
      </c>
      <c r="D602" s="22" t="str">
        <f t="shared" si="1"/>
        <v>General</v>
      </c>
      <c r="E602" s="23" t="str">
        <f t="shared" si="2"/>
        <v>Lapsed</v>
      </c>
      <c r="F602" s="24">
        <v>1.0</v>
      </c>
      <c r="G602" s="155">
        <v>44157.0</v>
      </c>
      <c r="H602" s="26">
        <f t="shared" si="44"/>
        <v>44196</v>
      </c>
      <c r="I602" s="75"/>
      <c r="J602" s="62" t="s">
        <v>2683</v>
      </c>
      <c r="K602" s="62" t="s">
        <v>89</v>
      </c>
      <c r="L602" s="63" t="s">
        <v>35</v>
      </c>
      <c r="M602" s="64" t="s">
        <v>90</v>
      </c>
      <c r="N602" s="80" t="s">
        <v>2684</v>
      </c>
      <c r="O602" s="66" t="s">
        <v>2685</v>
      </c>
      <c r="P602" s="37"/>
      <c r="Q602" s="38"/>
      <c r="R602" s="22"/>
      <c r="S602" s="38"/>
      <c r="T602" s="38"/>
      <c r="U602" s="38"/>
      <c r="V602" s="59"/>
      <c r="W602" s="38"/>
      <c r="X602" s="38"/>
      <c r="Y602" s="36" t="str">
        <f t="shared" si="46"/>
        <v>renew</v>
      </c>
      <c r="Z602" s="75"/>
      <c r="AA602" s="75"/>
    </row>
    <row r="603">
      <c r="A603" s="87" t="s">
        <v>1306</v>
      </c>
      <c r="B603" s="87" t="s">
        <v>2686</v>
      </c>
      <c r="C603" s="75">
        <v>765.0</v>
      </c>
      <c r="D603" s="22" t="str">
        <f t="shared" si="1"/>
        <v>General</v>
      </c>
      <c r="E603" s="23" t="str">
        <f t="shared" si="2"/>
        <v>Lapsed</v>
      </c>
      <c r="F603" s="24">
        <v>1.0</v>
      </c>
      <c r="G603" s="155">
        <v>43983.0</v>
      </c>
      <c r="H603" s="26">
        <f t="shared" si="44"/>
        <v>44196</v>
      </c>
      <c r="I603" s="75"/>
      <c r="J603" s="62" t="s">
        <v>2687</v>
      </c>
      <c r="K603" s="62" t="s">
        <v>2688</v>
      </c>
      <c r="L603" s="63" t="s">
        <v>35</v>
      </c>
      <c r="M603" s="64" t="s">
        <v>277</v>
      </c>
      <c r="N603" s="80" t="s">
        <v>2689</v>
      </c>
      <c r="O603" s="66" t="s">
        <v>2690</v>
      </c>
      <c r="P603" s="37"/>
      <c r="Q603" s="38"/>
      <c r="R603" s="22"/>
      <c r="S603" s="38"/>
      <c r="T603" s="38"/>
      <c r="U603" s="38"/>
      <c r="V603" s="59"/>
      <c r="W603" s="38"/>
      <c r="X603" s="38"/>
      <c r="Y603" s="36" t="str">
        <f t="shared" si="46"/>
        <v>renew</v>
      </c>
      <c r="Z603" s="75"/>
      <c r="AA603" s="75"/>
    </row>
    <row r="604">
      <c r="A604" s="87" t="s">
        <v>738</v>
      </c>
      <c r="B604" s="87" t="s">
        <v>2691</v>
      </c>
      <c r="C604" s="75">
        <v>764.0</v>
      </c>
      <c r="D604" s="22" t="str">
        <f t="shared" si="1"/>
        <v>General</v>
      </c>
      <c r="E604" s="23" t="str">
        <f t="shared" si="2"/>
        <v>Lapsed</v>
      </c>
      <c r="F604" s="24">
        <v>1.0</v>
      </c>
      <c r="G604" s="25">
        <v>45817.0</v>
      </c>
      <c r="H604" s="26">
        <f t="shared" si="44"/>
        <v>46022</v>
      </c>
      <c r="I604" s="21"/>
      <c r="J604" s="62" t="s">
        <v>2692</v>
      </c>
      <c r="K604" s="62" t="s">
        <v>448</v>
      </c>
      <c r="L604" s="63" t="s">
        <v>35</v>
      </c>
      <c r="M604" s="64" t="s">
        <v>277</v>
      </c>
      <c r="N604" s="80" t="s">
        <v>2693</v>
      </c>
      <c r="O604" s="66" t="s">
        <v>2694</v>
      </c>
      <c r="P604" s="37"/>
      <c r="Q604" s="38"/>
      <c r="R604" s="22"/>
      <c r="S604" s="22">
        <v>2.0</v>
      </c>
      <c r="T604" s="22">
        <v>1.0</v>
      </c>
      <c r="U604" s="22"/>
      <c r="V604" s="59"/>
      <c r="W604" s="22" t="s">
        <v>800</v>
      </c>
      <c r="X604" s="38"/>
      <c r="Y604" s="36" t="str">
        <f t="shared" si="46"/>
        <v>renew</v>
      </c>
      <c r="Z604" s="21"/>
      <c r="AA604" s="75"/>
    </row>
    <row r="605">
      <c r="A605" s="87" t="s">
        <v>789</v>
      </c>
      <c r="B605" s="87" t="s">
        <v>2695</v>
      </c>
      <c r="C605" s="75">
        <v>764.0</v>
      </c>
      <c r="D605" s="22" t="str">
        <f t="shared" si="1"/>
        <v>General</v>
      </c>
      <c r="E605" s="23" t="str">
        <f t="shared" si="2"/>
        <v>Lapsed</v>
      </c>
      <c r="F605" s="24">
        <v>1.0</v>
      </c>
      <c r="G605" s="155">
        <v>44375.0</v>
      </c>
      <c r="H605" s="26">
        <f t="shared" si="44"/>
        <v>44561</v>
      </c>
      <c r="I605" s="75"/>
      <c r="J605" s="62" t="s">
        <v>2696</v>
      </c>
      <c r="K605" s="62" t="s">
        <v>42</v>
      </c>
      <c r="L605" s="63" t="s">
        <v>35</v>
      </c>
      <c r="M605" s="64">
        <v>80526.0</v>
      </c>
      <c r="N605" s="80" t="s">
        <v>2697</v>
      </c>
      <c r="O605" s="66" t="s">
        <v>2698</v>
      </c>
      <c r="P605" s="37"/>
      <c r="Q605" s="38"/>
      <c r="R605" s="22"/>
      <c r="S605" s="22"/>
      <c r="T605" s="38"/>
      <c r="U605" s="38"/>
      <c r="V605" s="59"/>
      <c r="W605" s="38"/>
      <c r="X605" s="38"/>
      <c r="Y605" s="36" t="str">
        <f t="shared" si="46"/>
        <v>renew</v>
      </c>
      <c r="Z605" s="75"/>
      <c r="AA605" s="75"/>
    </row>
    <row r="606">
      <c r="A606" s="87" t="s">
        <v>2699</v>
      </c>
      <c r="B606" s="87" t="s">
        <v>2700</v>
      </c>
      <c r="C606" s="75">
        <v>763.0</v>
      </c>
      <c r="D606" s="22" t="str">
        <f t="shared" si="1"/>
        <v>General</v>
      </c>
      <c r="E606" s="23" t="str">
        <f t="shared" si="2"/>
        <v>Lapsed</v>
      </c>
      <c r="F606" s="24">
        <v>1.0</v>
      </c>
      <c r="G606" s="25">
        <v>45123.0</v>
      </c>
      <c r="H606" s="26">
        <f t="shared" si="44"/>
        <v>45291</v>
      </c>
      <c r="I606" s="75"/>
      <c r="J606" s="62" t="s">
        <v>2701</v>
      </c>
      <c r="K606" s="62" t="s">
        <v>56</v>
      </c>
      <c r="L606" s="63" t="s">
        <v>57</v>
      </c>
      <c r="M606" s="64" t="s">
        <v>63</v>
      </c>
      <c r="N606" s="80" t="s">
        <v>2702</v>
      </c>
      <c r="O606" s="66" t="s">
        <v>2703</v>
      </c>
      <c r="P606" s="37"/>
      <c r="Q606" s="38"/>
      <c r="R606" s="22"/>
      <c r="S606" s="22"/>
      <c r="T606" s="22"/>
      <c r="U606" s="22">
        <v>2.0</v>
      </c>
      <c r="V606" s="116">
        <v>45123.0</v>
      </c>
      <c r="W606" s="22" t="s">
        <v>800</v>
      </c>
      <c r="X606" s="22" t="s">
        <v>800</v>
      </c>
      <c r="Y606" s="36" t="str">
        <f t="shared" si="46"/>
        <v>renew</v>
      </c>
      <c r="Z606" s="75"/>
      <c r="AA606" s="75"/>
    </row>
    <row r="607">
      <c r="A607" s="87" t="s">
        <v>302</v>
      </c>
      <c r="B607" s="87" t="s">
        <v>1181</v>
      </c>
      <c r="C607" s="75">
        <v>763.0</v>
      </c>
      <c r="D607" s="22" t="str">
        <f t="shared" si="1"/>
        <v>General</v>
      </c>
      <c r="E607" s="23" t="str">
        <f t="shared" si="2"/>
        <v>Lapsed</v>
      </c>
      <c r="F607" s="24">
        <v>1.0</v>
      </c>
      <c r="G607" s="25">
        <v>44317.0</v>
      </c>
      <c r="H607" s="26">
        <f t="shared" si="44"/>
        <v>44561</v>
      </c>
      <c r="I607" s="75"/>
      <c r="J607" s="62" t="s">
        <v>2704</v>
      </c>
      <c r="K607" s="62" t="s">
        <v>1259</v>
      </c>
      <c r="L607" s="63" t="s">
        <v>35</v>
      </c>
      <c r="M607" s="64" t="s">
        <v>952</v>
      </c>
      <c r="N607" s="80" t="s">
        <v>2705</v>
      </c>
      <c r="O607" s="66" t="s">
        <v>2706</v>
      </c>
      <c r="P607" s="37"/>
      <c r="Q607" s="38"/>
      <c r="R607" s="22"/>
      <c r="S607" s="38"/>
      <c r="T607" s="38"/>
      <c r="U607" s="38"/>
      <c r="V607" s="59"/>
      <c r="W607" s="38"/>
      <c r="X607" s="38"/>
      <c r="Y607" s="36" t="str">
        <f t="shared" si="46"/>
        <v>renew</v>
      </c>
      <c r="Z607" s="75"/>
      <c r="AA607" s="75"/>
    </row>
    <row r="608">
      <c r="A608" s="87" t="s">
        <v>2707</v>
      </c>
      <c r="B608" s="87" t="s">
        <v>2708</v>
      </c>
      <c r="C608" s="75">
        <v>762.0</v>
      </c>
      <c r="D608" s="22" t="str">
        <f t="shared" si="1"/>
        <v>General</v>
      </c>
      <c r="E608" s="23" t="str">
        <f t="shared" si="2"/>
        <v>Lapsed</v>
      </c>
      <c r="F608" s="24">
        <v>1.0</v>
      </c>
      <c r="G608" s="155">
        <v>44347.0</v>
      </c>
      <c r="H608" s="26">
        <f t="shared" si="44"/>
        <v>44561</v>
      </c>
      <c r="I608" s="75"/>
      <c r="J608" s="62" t="s">
        <v>2709</v>
      </c>
      <c r="K608" s="62" t="s">
        <v>423</v>
      </c>
      <c r="L608" s="63" t="s">
        <v>35</v>
      </c>
      <c r="M608" s="64" t="s">
        <v>424</v>
      </c>
      <c r="N608" s="80" t="s">
        <v>2710</v>
      </c>
      <c r="O608" s="66" t="s">
        <v>2711</v>
      </c>
      <c r="P608" s="37"/>
      <c r="Q608" s="38"/>
      <c r="R608" s="22"/>
      <c r="S608" s="38"/>
      <c r="T608" s="38"/>
      <c r="U608" s="38"/>
      <c r="V608" s="59"/>
      <c r="W608" s="38"/>
      <c r="X608" s="38"/>
      <c r="Y608" s="36" t="str">
        <f t="shared" si="46"/>
        <v>renew</v>
      </c>
      <c r="Z608" s="75"/>
      <c r="AA608" s="75"/>
    </row>
    <row r="609">
      <c r="A609" s="87" t="s">
        <v>943</v>
      </c>
      <c r="B609" s="87" t="s">
        <v>2066</v>
      </c>
      <c r="C609" s="75">
        <v>761.0</v>
      </c>
      <c r="D609" s="22" t="str">
        <f t="shared" si="1"/>
        <v>General</v>
      </c>
      <c r="E609" s="23" t="str">
        <f t="shared" si="2"/>
        <v>Lapsed</v>
      </c>
      <c r="F609" s="24">
        <v>1.0</v>
      </c>
      <c r="G609" s="25">
        <v>44381.0</v>
      </c>
      <c r="H609" s="26">
        <f t="shared" si="44"/>
        <v>44561</v>
      </c>
      <c r="I609" s="75"/>
      <c r="J609" s="62" t="s">
        <v>2712</v>
      </c>
      <c r="K609" s="62" t="s">
        <v>171</v>
      </c>
      <c r="L609" s="63" t="s">
        <v>35</v>
      </c>
      <c r="M609" s="64">
        <v>80439.0</v>
      </c>
      <c r="N609" s="80" t="s">
        <v>2713</v>
      </c>
      <c r="O609" s="66" t="s">
        <v>2714</v>
      </c>
      <c r="P609" s="37"/>
      <c r="Q609" s="38"/>
      <c r="R609" s="22"/>
      <c r="S609" s="38"/>
      <c r="T609" s="38"/>
      <c r="U609" s="38"/>
      <c r="V609" s="59"/>
      <c r="W609" s="38"/>
      <c r="X609" s="38"/>
      <c r="Y609" s="36" t="str">
        <f t="shared" si="46"/>
        <v>renew</v>
      </c>
      <c r="Z609" s="75"/>
      <c r="AA609" s="75"/>
    </row>
    <row r="610">
      <c r="A610" s="87" t="s">
        <v>2715</v>
      </c>
      <c r="B610" s="87" t="s">
        <v>2716</v>
      </c>
      <c r="C610" s="75">
        <v>760.0</v>
      </c>
      <c r="D610" s="22" t="str">
        <f t="shared" si="1"/>
        <v>General</v>
      </c>
      <c r="E610" s="23" t="str">
        <f t="shared" si="2"/>
        <v>Lapsed</v>
      </c>
      <c r="F610" s="24">
        <v>1.0</v>
      </c>
      <c r="G610" s="155">
        <v>43955.0</v>
      </c>
      <c r="H610" s="26">
        <f t="shared" si="44"/>
        <v>44196</v>
      </c>
      <c r="I610" s="75"/>
      <c r="J610" s="62" t="s">
        <v>2717</v>
      </c>
      <c r="K610" s="62" t="s">
        <v>136</v>
      </c>
      <c r="L610" s="63" t="s">
        <v>35</v>
      </c>
      <c r="M610" s="64" t="s">
        <v>137</v>
      </c>
      <c r="N610" s="80" t="s">
        <v>2718</v>
      </c>
      <c r="O610" s="66" t="s">
        <v>2719</v>
      </c>
      <c r="P610" s="37"/>
      <c r="Q610" s="38"/>
      <c r="R610" s="22"/>
      <c r="S610" s="38"/>
      <c r="T610" s="38"/>
      <c r="U610" s="38"/>
      <c r="V610" s="59"/>
      <c r="W610" s="38"/>
      <c r="X610" s="38"/>
      <c r="Y610" s="36" t="str">
        <f t="shared" si="46"/>
        <v>renew</v>
      </c>
      <c r="Z610" s="75"/>
      <c r="AA610" s="75"/>
    </row>
    <row r="611">
      <c r="A611" s="87" t="s">
        <v>1041</v>
      </c>
      <c r="B611" s="87" t="s">
        <v>237</v>
      </c>
      <c r="C611" s="75">
        <v>759.0</v>
      </c>
      <c r="D611" s="22" t="str">
        <f t="shared" si="1"/>
        <v>General</v>
      </c>
      <c r="E611" s="23" t="str">
        <f t="shared" si="2"/>
        <v>Lapsed</v>
      </c>
      <c r="F611" s="24">
        <v>1.0</v>
      </c>
      <c r="G611" s="155">
        <v>43970.0</v>
      </c>
      <c r="H611" s="26">
        <f t="shared" si="44"/>
        <v>44196</v>
      </c>
      <c r="I611" s="75"/>
      <c r="J611" s="62" t="s">
        <v>2720</v>
      </c>
      <c r="K611" s="62" t="s">
        <v>190</v>
      </c>
      <c r="L611" s="63" t="s">
        <v>35</v>
      </c>
      <c r="M611" s="64" t="s">
        <v>311</v>
      </c>
      <c r="N611" s="80" t="s">
        <v>2721</v>
      </c>
      <c r="O611" s="66" t="s">
        <v>2722</v>
      </c>
      <c r="P611" s="37"/>
      <c r="Q611" s="38"/>
      <c r="R611" s="22"/>
      <c r="S611" s="38"/>
      <c r="T611" s="38"/>
      <c r="U611" s="38"/>
      <c r="V611" s="59"/>
      <c r="W611" s="38"/>
      <c r="X611" s="38"/>
      <c r="Y611" s="36" t="str">
        <f t="shared" si="46"/>
        <v>renew</v>
      </c>
      <c r="Z611" s="75"/>
      <c r="AA611" s="75"/>
    </row>
    <row r="612">
      <c r="A612" s="87" t="s">
        <v>2723</v>
      </c>
      <c r="B612" s="87" t="s">
        <v>1718</v>
      </c>
      <c r="C612" s="75">
        <v>758.0</v>
      </c>
      <c r="D612" s="22" t="str">
        <f t="shared" si="1"/>
        <v>General</v>
      </c>
      <c r="E612" s="23" t="str">
        <f t="shared" si="2"/>
        <v>Lapsed</v>
      </c>
      <c r="F612" s="24">
        <v>1.0</v>
      </c>
      <c r="G612" s="25">
        <v>44662.0</v>
      </c>
      <c r="H612" s="26">
        <f t="shared" si="44"/>
        <v>44926</v>
      </c>
      <c r="I612" s="75"/>
      <c r="J612" s="62" t="s">
        <v>1719</v>
      </c>
      <c r="K612" s="62" t="s">
        <v>1366</v>
      </c>
      <c r="L612" s="63" t="s">
        <v>35</v>
      </c>
      <c r="M612" s="64">
        <v>80643.0</v>
      </c>
      <c r="N612" s="80" t="s">
        <v>1720</v>
      </c>
      <c r="O612" s="66" t="s">
        <v>1721</v>
      </c>
      <c r="P612" s="37"/>
      <c r="Q612" s="38"/>
      <c r="R612" s="22"/>
      <c r="S612" s="22"/>
      <c r="T612" s="22"/>
      <c r="U612" s="22"/>
      <c r="V612" s="59"/>
      <c r="W612" s="22" t="s">
        <v>800</v>
      </c>
      <c r="X612" s="38"/>
      <c r="Y612" s="36" t="str">
        <f t="shared" si="46"/>
        <v>renew</v>
      </c>
      <c r="Z612" s="75"/>
      <c r="AA612" s="75"/>
    </row>
    <row r="613">
      <c r="A613" s="87" t="s">
        <v>2724</v>
      </c>
      <c r="B613" s="87" t="s">
        <v>2725</v>
      </c>
      <c r="C613" s="75">
        <v>757.0</v>
      </c>
      <c r="D613" s="22" t="str">
        <f t="shared" si="1"/>
        <v>General</v>
      </c>
      <c r="E613" s="23" t="str">
        <f t="shared" si="2"/>
        <v>Lapsed</v>
      </c>
      <c r="F613" s="24">
        <v>1.0</v>
      </c>
      <c r="G613" s="25">
        <v>44661.0</v>
      </c>
      <c r="H613" s="26">
        <f t="shared" si="44"/>
        <v>44926</v>
      </c>
      <c r="I613" s="75"/>
      <c r="J613" s="62" t="s">
        <v>2726</v>
      </c>
      <c r="K613" s="62" t="s">
        <v>322</v>
      </c>
      <c r="L613" s="63" t="s">
        <v>35</v>
      </c>
      <c r="M613" s="64">
        <v>80601.0</v>
      </c>
      <c r="N613" s="80" t="s">
        <v>2727</v>
      </c>
      <c r="O613" s="66" t="s">
        <v>2728</v>
      </c>
      <c r="P613" s="37"/>
      <c r="Q613" s="38"/>
      <c r="R613" s="22"/>
      <c r="S613" s="22"/>
      <c r="T613" s="22"/>
      <c r="U613" s="22"/>
      <c r="V613" s="59"/>
      <c r="W613" s="22" t="s">
        <v>800</v>
      </c>
      <c r="X613" s="38"/>
      <c r="Y613" s="36" t="str">
        <f t="shared" si="46"/>
        <v>renew</v>
      </c>
      <c r="Z613" s="75"/>
      <c r="AA613" s="75"/>
    </row>
    <row r="614">
      <c r="A614" s="87" t="s">
        <v>2729</v>
      </c>
      <c r="B614" s="87" t="s">
        <v>2730</v>
      </c>
      <c r="C614" s="75">
        <v>756.0</v>
      </c>
      <c r="D614" s="22" t="str">
        <f t="shared" si="1"/>
        <v>General</v>
      </c>
      <c r="E614" s="23" t="str">
        <f t="shared" si="2"/>
        <v>Lapsed</v>
      </c>
      <c r="F614" s="24">
        <v>1.0</v>
      </c>
      <c r="G614" s="155">
        <v>43970.0</v>
      </c>
      <c r="H614" s="26">
        <f t="shared" si="44"/>
        <v>44196</v>
      </c>
      <c r="I614" s="75"/>
      <c r="J614" s="62" t="s">
        <v>2731</v>
      </c>
      <c r="K614" s="62" t="s">
        <v>2565</v>
      </c>
      <c r="L614" s="81" t="s">
        <v>35</v>
      </c>
      <c r="M614" s="64">
        <v>80543.0</v>
      </c>
      <c r="N614" s="145"/>
      <c r="O614" s="66" t="s">
        <v>2732</v>
      </c>
      <c r="P614" s="37"/>
      <c r="Q614" s="38"/>
      <c r="R614" s="22"/>
      <c r="S614" s="38"/>
      <c r="T614" s="38"/>
      <c r="U614" s="38"/>
      <c r="V614" s="59"/>
      <c r="W614" s="38"/>
      <c r="X614" s="38"/>
      <c r="Y614" s="36" t="str">
        <f t="shared" si="46"/>
        <v>renew</v>
      </c>
      <c r="Z614" s="75"/>
      <c r="AA614" s="75"/>
    </row>
    <row r="615">
      <c r="A615" s="87" t="s">
        <v>2733</v>
      </c>
      <c r="B615" s="87" t="s">
        <v>2734</v>
      </c>
      <c r="C615" s="75">
        <v>755.0</v>
      </c>
      <c r="D615" s="22" t="str">
        <f t="shared" si="1"/>
        <v>General</v>
      </c>
      <c r="E615" s="23" t="str">
        <f t="shared" si="2"/>
        <v>Lapsed</v>
      </c>
      <c r="F615" s="24">
        <v>1.0</v>
      </c>
      <c r="G615" s="155">
        <v>43970.0</v>
      </c>
      <c r="H615" s="26">
        <f t="shared" si="44"/>
        <v>44196</v>
      </c>
      <c r="I615" s="75"/>
      <c r="J615" s="62" t="s">
        <v>2735</v>
      </c>
      <c r="K615" s="62" t="s">
        <v>68</v>
      </c>
      <c r="L615" s="63" t="s">
        <v>35</v>
      </c>
      <c r="M615" s="64">
        <v>80532.0</v>
      </c>
      <c r="N615" s="80" t="s">
        <v>2736</v>
      </c>
      <c r="O615" s="66" t="s">
        <v>2737</v>
      </c>
      <c r="P615" s="37"/>
      <c r="Q615" s="38"/>
      <c r="R615" s="22"/>
      <c r="S615" s="38"/>
      <c r="T615" s="38"/>
      <c r="U615" s="38"/>
      <c r="V615" s="59"/>
      <c r="W615" s="38"/>
      <c r="X615" s="38"/>
      <c r="Y615" s="36" t="str">
        <f t="shared" si="46"/>
        <v>renew</v>
      </c>
      <c r="Z615" s="75"/>
      <c r="AA615" s="75"/>
    </row>
    <row r="616">
      <c r="A616" s="87" t="s">
        <v>438</v>
      </c>
      <c r="B616" s="87" t="s">
        <v>2738</v>
      </c>
      <c r="C616" s="75">
        <v>754.0</v>
      </c>
      <c r="D616" s="22" t="str">
        <f t="shared" si="1"/>
        <v>General</v>
      </c>
      <c r="E616" s="23" t="str">
        <f t="shared" si="2"/>
        <v>Lapsed</v>
      </c>
      <c r="F616" s="24">
        <v>1.0</v>
      </c>
      <c r="G616" s="155">
        <v>43986.0</v>
      </c>
      <c r="H616" s="26">
        <f t="shared" si="44"/>
        <v>44196</v>
      </c>
      <c r="I616" s="75"/>
      <c r="J616" s="62" t="s">
        <v>2739</v>
      </c>
      <c r="K616" s="62" t="s">
        <v>2000</v>
      </c>
      <c r="L616" s="63" t="s">
        <v>57</v>
      </c>
      <c r="M616" s="64" t="s">
        <v>2740</v>
      </c>
      <c r="N616" s="80" t="s">
        <v>2741</v>
      </c>
      <c r="O616" s="66" t="s">
        <v>2742</v>
      </c>
      <c r="P616" s="37"/>
      <c r="Q616" s="38"/>
      <c r="R616" s="22"/>
      <c r="S616" s="38"/>
      <c r="T616" s="38"/>
      <c r="U616" s="38"/>
      <c r="V616" s="59"/>
      <c r="W616" s="38"/>
      <c r="X616" s="38"/>
      <c r="Y616" s="36" t="str">
        <f t="shared" si="46"/>
        <v>renew</v>
      </c>
      <c r="Z616" s="75"/>
      <c r="AA616" s="75"/>
    </row>
    <row r="617">
      <c r="A617" s="87" t="s">
        <v>1498</v>
      </c>
      <c r="B617" s="87" t="s">
        <v>2563</v>
      </c>
      <c r="C617" s="75">
        <v>753.0</v>
      </c>
      <c r="D617" s="22" t="str">
        <f t="shared" si="1"/>
        <v>General</v>
      </c>
      <c r="E617" s="23" t="str">
        <f t="shared" si="2"/>
        <v>Lapsed</v>
      </c>
      <c r="F617" s="24">
        <v>1.0</v>
      </c>
      <c r="G617" s="155">
        <v>43982.0</v>
      </c>
      <c r="H617" s="26">
        <f t="shared" si="44"/>
        <v>44196</v>
      </c>
      <c r="I617" s="75"/>
      <c r="J617" s="62" t="s">
        <v>2743</v>
      </c>
      <c r="K617" s="62" t="s">
        <v>56</v>
      </c>
      <c r="L617" s="63" t="s">
        <v>57</v>
      </c>
      <c r="M617" s="64" t="s">
        <v>63</v>
      </c>
      <c r="N617" s="80" t="s">
        <v>2744</v>
      </c>
      <c r="O617" s="66" t="s">
        <v>2745</v>
      </c>
      <c r="P617" s="37"/>
      <c r="Q617" s="38"/>
      <c r="R617" s="22"/>
      <c r="S617" s="38"/>
      <c r="T617" s="38"/>
      <c r="U617" s="38"/>
      <c r="V617" s="59"/>
      <c r="W617" s="38"/>
      <c r="X617" s="38"/>
      <c r="Y617" s="36" t="str">
        <f t="shared" si="46"/>
        <v>renew</v>
      </c>
      <c r="Z617" s="75"/>
      <c r="AA617" s="75"/>
    </row>
    <row r="618">
      <c r="A618" s="87" t="s">
        <v>672</v>
      </c>
      <c r="B618" s="87" t="s">
        <v>2746</v>
      </c>
      <c r="C618" s="75">
        <v>752.0</v>
      </c>
      <c r="D618" s="22" t="str">
        <f t="shared" si="1"/>
        <v>General</v>
      </c>
      <c r="E618" s="23" t="str">
        <f t="shared" si="2"/>
        <v>Lapsed</v>
      </c>
      <c r="F618" s="24">
        <v>1.0</v>
      </c>
      <c r="G618" s="155">
        <v>43979.0</v>
      </c>
      <c r="H618" s="26">
        <f t="shared" si="44"/>
        <v>44196</v>
      </c>
      <c r="I618" s="75"/>
      <c r="J618" s="62" t="s">
        <v>2747</v>
      </c>
      <c r="K618" s="62" t="s">
        <v>647</v>
      </c>
      <c r="L618" s="63" t="s">
        <v>35</v>
      </c>
      <c r="M618" s="64" t="s">
        <v>1062</v>
      </c>
      <c r="N618" s="80" t="s">
        <v>2748</v>
      </c>
      <c r="O618" s="66" t="s">
        <v>2749</v>
      </c>
      <c r="P618" s="37"/>
      <c r="Q618" s="38"/>
      <c r="R618" s="22"/>
      <c r="S618" s="38"/>
      <c r="T618" s="38"/>
      <c r="U618" s="38"/>
      <c r="V618" s="59"/>
      <c r="W618" s="38"/>
      <c r="X618" s="38"/>
      <c r="Y618" s="36" t="str">
        <f t="shared" si="46"/>
        <v>renew</v>
      </c>
      <c r="Z618" s="75"/>
      <c r="AA618" s="75"/>
    </row>
    <row r="619">
      <c r="A619" s="87" t="s">
        <v>1117</v>
      </c>
      <c r="B619" s="87" t="s">
        <v>2750</v>
      </c>
      <c r="C619" s="75">
        <v>751.0</v>
      </c>
      <c r="D619" s="22" t="str">
        <f t="shared" si="1"/>
        <v>General</v>
      </c>
      <c r="E619" s="23" t="str">
        <f t="shared" si="2"/>
        <v>Lapsed</v>
      </c>
      <c r="F619" s="24">
        <v>1.0</v>
      </c>
      <c r="G619" s="155">
        <v>43978.0</v>
      </c>
      <c r="H619" s="26">
        <f t="shared" si="44"/>
        <v>44196</v>
      </c>
      <c r="I619" s="75"/>
      <c r="J619" s="62" t="s">
        <v>2751</v>
      </c>
      <c r="K619" s="62" t="s">
        <v>322</v>
      </c>
      <c r="L619" s="63" t="s">
        <v>35</v>
      </c>
      <c r="M619" s="64" t="s">
        <v>323</v>
      </c>
      <c r="N619" s="80" t="s">
        <v>2752</v>
      </c>
      <c r="O619" s="66" t="s">
        <v>2753</v>
      </c>
      <c r="P619" s="37"/>
      <c r="Q619" s="38"/>
      <c r="R619" s="22"/>
      <c r="S619" s="38"/>
      <c r="T619" s="38"/>
      <c r="U619" s="38"/>
      <c r="V619" s="59"/>
      <c r="W619" s="38"/>
      <c r="X619" s="38"/>
      <c r="Y619" s="36" t="str">
        <f t="shared" si="46"/>
        <v>renew</v>
      </c>
      <c r="Z619" s="75"/>
      <c r="AA619" s="75"/>
    </row>
    <row r="620">
      <c r="A620" s="87" t="s">
        <v>1466</v>
      </c>
      <c r="B620" s="87" t="s">
        <v>2754</v>
      </c>
      <c r="C620" s="75">
        <v>750.0</v>
      </c>
      <c r="D620" s="22" t="str">
        <f t="shared" si="1"/>
        <v>General</v>
      </c>
      <c r="E620" s="23" t="str">
        <f t="shared" si="2"/>
        <v>Lapsed</v>
      </c>
      <c r="F620" s="24">
        <v>1.0</v>
      </c>
      <c r="G620" s="167">
        <v>45567.0</v>
      </c>
      <c r="H620" s="26">
        <f t="shared" si="44"/>
        <v>45657</v>
      </c>
      <c r="I620" s="21"/>
      <c r="J620" s="62" t="s">
        <v>2755</v>
      </c>
      <c r="K620" s="62" t="s">
        <v>448</v>
      </c>
      <c r="L620" s="63" t="s">
        <v>35</v>
      </c>
      <c r="M620" s="64" t="s">
        <v>277</v>
      </c>
      <c r="N620" s="80" t="s">
        <v>2756</v>
      </c>
      <c r="O620" s="66" t="s">
        <v>2757</v>
      </c>
      <c r="P620" s="37"/>
      <c r="Q620" s="38"/>
      <c r="R620" s="22"/>
      <c r="S620" s="22"/>
      <c r="T620" s="22">
        <v>2.0</v>
      </c>
      <c r="U620" s="38"/>
      <c r="V620" s="59"/>
      <c r="W620" s="22" t="s">
        <v>800</v>
      </c>
      <c r="X620" s="38"/>
      <c r="Y620" s="36" t="str">
        <f t="shared" si="46"/>
        <v>renew</v>
      </c>
      <c r="Z620" s="21"/>
      <c r="AA620" s="75"/>
    </row>
    <row r="621">
      <c r="A621" s="87" t="s">
        <v>2758</v>
      </c>
      <c r="B621" s="87" t="s">
        <v>2759</v>
      </c>
      <c r="C621" s="75">
        <v>749.0</v>
      </c>
      <c r="D621" s="22" t="str">
        <f t="shared" si="1"/>
        <v>General</v>
      </c>
      <c r="E621" s="23" t="str">
        <f t="shared" si="2"/>
        <v>Lapsed</v>
      </c>
      <c r="F621" s="24">
        <v>1.0</v>
      </c>
      <c r="G621" s="155">
        <v>43979.0</v>
      </c>
      <c r="H621" s="26">
        <f t="shared" si="44"/>
        <v>44196</v>
      </c>
      <c r="I621" s="75"/>
      <c r="J621" s="62" t="s">
        <v>2760</v>
      </c>
      <c r="K621" s="62" t="s">
        <v>2761</v>
      </c>
      <c r="L621" s="63" t="s">
        <v>35</v>
      </c>
      <c r="M621" s="64" t="s">
        <v>2762</v>
      </c>
      <c r="N621" s="80" t="s">
        <v>2763</v>
      </c>
      <c r="O621" s="66" t="s">
        <v>2764</v>
      </c>
      <c r="P621" s="37"/>
      <c r="Q621" s="38"/>
      <c r="R621" s="22"/>
      <c r="S621" s="38"/>
      <c r="T621" s="38"/>
      <c r="U621" s="38"/>
      <c r="V621" s="59"/>
      <c r="W621" s="38"/>
      <c r="X621" s="38"/>
      <c r="Y621" s="36" t="str">
        <f t="shared" si="46"/>
        <v>renew</v>
      </c>
      <c r="Z621" s="75"/>
      <c r="AA621" s="75"/>
    </row>
    <row r="622">
      <c r="A622" s="87" t="s">
        <v>154</v>
      </c>
      <c r="B622" s="87" t="s">
        <v>2765</v>
      </c>
      <c r="C622" s="75">
        <v>748.0</v>
      </c>
      <c r="D622" s="22" t="str">
        <f t="shared" si="1"/>
        <v>General</v>
      </c>
      <c r="E622" s="23" t="str">
        <f t="shared" si="2"/>
        <v>Lapsed</v>
      </c>
      <c r="F622" s="24">
        <v>1.0</v>
      </c>
      <c r="G622" s="25">
        <v>45150.0</v>
      </c>
      <c r="H622" s="26">
        <f t="shared" si="44"/>
        <v>45291</v>
      </c>
      <c r="I622" s="75"/>
      <c r="J622" s="62" t="s">
        <v>2766</v>
      </c>
      <c r="K622" s="62" t="s">
        <v>1203</v>
      </c>
      <c r="L622" s="63" t="s">
        <v>35</v>
      </c>
      <c r="M622" s="64" t="s">
        <v>2767</v>
      </c>
      <c r="N622" s="80" t="s">
        <v>2768</v>
      </c>
      <c r="O622" s="66" t="s">
        <v>2769</v>
      </c>
      <c r="P622" s="37"/>
      <c r="Q622" s="38"/>
      <c r="R622" s="22"/>
      <c r="S622" s="22"/>
      <c r="T622" s="22"/>
      <c r="U622" s="22">
        <v>2.0</v>
      </c>
      <c r="V622" s="116">
        <v>45150.0</v>
      </c>
      <c r="W622" s="38"/>
      <c r="X622" s="22" t="s">
        <v>800</v>
      </c>
      <c r="Y622" s="36" t="str">
        <f t="shared" si="46"/>
        <v>renew</v>
      </c>
      <c r="Z622" s="75"/>
      <c r="AA622" s="75"/>
    </row>
    <row r="623">
      <c r="A623" s="87" t="s">
        <v>2770</v>
      </c>
      <c r="B623" s="87" t="s">
        <v>2771</v>
      </c>
      <c r="C623" s="75">
        <v>747.0</v>
      </c>
      <c r="D623" s="22" t="str">
        <f t="shared" si="1"/>
        <v>General</v>
      </c>
      <c r="E623" s="23" t="str">
        <f t="shared" si="2"/>
        <v>Lapsed</v>
      </c>
      <c r="F623" s="24">
        <v>1.0</v>
      </c>
      <c r="G623" s="25">
        <v>45771.0</v>
      </c>
      <c r="H623" s="26">
        <f t="shared" si="44"/>
        <v>46022</v>
      </c>
      <c r="I623" s="21"/>
      <c r="J623" s="29" t="s">
        <v>2772</v>
      </c>
      <c r="K623" s="62" t="s">
        <v>42</v>
      </c>
      <c r="L623" s="63" t="s">
        <v>35</v>
      </c>
      <c r="M623" s="64">
        <v>80528.0</v>
      </c>
      <c r="N623" s="80" t="s">
        <v>2773</v>
      </c>
      <c r="O623" s="66" t="s">
        <v>2774</v>
      </c>
      <c r="P623" s="37"/>
      <c r="Q623" s="38"/>
      <c r="R623" s="22"/>
      <c r="S623" s="22">
        <v>1.0</v>
      </c>
      <c r="T623" s="22">
        <v>1.0</v>
      </c>
      <c r="U623" s="22">
        <v>1.0</v>
      </c>
      <c r="V623" s="106">
        <v>45035.0</v>
      </c>
      <c r="W623" s="22" t="s">
        <v>800</v>
      </c>
      <c r="X623" s="22" t="s">
        <v>800</v>
      </c>
      <c r="Y623" s="36" t="str">
        <f t="shared" si="46"/>
        <v>renew</v>
      </c>
      <c r="Z623" s="21" t="s">
        <v>27</v>
      </c>
      <c r="AA623" s="75"/>
    </row>
    <row r="624">
      <c r="A624" s="87" t="s">
        <v>438</v>
      </c>
      <c r="B624" s="87" t="s">
        <v>2775</v>
      </c>
      <c r="C624" s="75">
        <v>746.0</v>
      </c>
      <c r="D624" s="22" t="str">
        <f t="shared" si="1"/>
        <v>General</v>
      </c>
      <c r="E624" s="23" t="str">
        <f t="shared" si="2"/>
        <v>Lapsed</v>
      </c>
      <c r="F624" s="24">
        <v>1.0</v>
      </c>
      <c r="G624" s="25">
        <v>45771.0</v>
      </c>
      <c r="H624" s="26">
        <f t="shared" si="44"/>
        <v>46022</v>
      </c>
      <c r="I624" s="21"/>
      <c r="J624" s="62" t="s">
        <v>2776</v>
      </c>
      <c r="K624" s="62" t="s">
        <v>473</v>
      </c>
      <c r="L624" s="63" t="s">
        <v>35</v>
      </c>
      <c r="M624" s="64" t="s">
        <v>474</v>
      </c>
      <c r="N624" s="80" t="s">
        <v>2777</v>
      </c>
      <c r="O624" s="66" t="s">
        <v>2778</v>
      </c>
      <c r="P624" s="37"/>
      <c r="Q624" s="38"/>
      <c r="R624" s="22"/>
      <c r="S624" s="22">
        <v>1.0</v>
      </c>
      <c r="T624" s="22">
        <v>1.0</v>
      </c>
      <c r="U624" s="22">
        <v>1.0</v>
      </c>
      <c r="V624" s="106">
        <v>45020.0</v>
      </c>
      <c r="W624" s="22" t="s">
        <v>800</v>
      </c>
      <c r="X624" s="22" t="s">
        <v>800</v>
      </c>
      <c r="Y624" s="36" t="str">
        <f t="shared" si="46"/>
        <v>renew</v>
      </c>
      <c r="Z624" s="21" t="s">
        <v>27</v>
      </c>
      <c r="AA624" s="75"/>
    </row>
    <row r="625">
      <c r="A625" s="87" t="s">
        <v>1372</v>
      </c>
      <c r="B625" s="87" t="s">
        <v>2779</v>
      </c>
      <c r="C625" s="75">
        <v>745.0</v>
      </c>
      <c r="D625" s="22" t="str">
        <f t="shared" si="1"/>
        <v>General</v>
      </c>
      <c r="E625" s="23" t="str">
        <f t="shared" si="2"/>
        <v>Lapsed</v>
      </c>
      <c r="F625" s="24">
        <v>1.0</v>
      </c>
      <c r="G625" s="25">
        <v>45515.0</v>
      </c>
      <c r="H625" s="26">
        <f t="shared" si="44"/>
        <v>45657</v>
      </c>
      <c r="I625" s="21"/>
      <c r="J625" s="62" t="s">
        <v>2780</v>
      </c>
      <c r="K625" s="62" t="s">
        <v>56</v>
      </c>
      <c r="L625" s="63" t="s">
        <v>57</v>
      </c>
      <c r="M625" s="64" t="s">
        <v>63</v>
      </c>
      <c r="N625" s="80" t="s">
        <v>2781</v>
      </c>
      <c r="O625" s="66" t="s">
        <v>2782</v>
      </c>
      <c r="P625" s="37"/>
      <c r="Q625" s="38"/>
      <c r="R625" s="22"/>
      <c r="S625" s="22"/>
      <c r="T625" s="22">
        <v>1.0</v>
      </c>
      <c r="U625" s="22">
        <v>2.0</v>
      </c>
      <c r="V625" s="35">
        <v>45068.0</v>
      </c>
      <c r="W625" s="22" t="s">
        <v>800</v>
      </c>
      <c r="X625" s="22" t="s">
        <v>800</v>
      </c>
      <c r="Y625" s="36" t="str">
        <f t="shared" si="46"/>
        <v>renew</v>
      </c>
      <c r="Z625" s="21"/>
      <c r="AA625" s="75"/>
    </row>
    <row r="626">
      <c r="A626" s="87" t="s">
        <v>2783</v>
      </c>
      <c r="B626" s="87" t="s">
        <v>2784</v>
      </c>
      <c r="C626" s="75">
        <v>744.0</v>
      </c>
      <c r="D626" s="22" t="str">
        <f t="shared" si="1"/>
        <v>General</v>
      </c>
      <c r="E626" s="23" t="str">
        <f t="shared" si="2"/>
        <v>Lapsed</v>
      </c>
      <c r="F626" s="24">
        <v>1.0</v>
      </c>
      <c r="G626" s="155">
        <v>43966.0</v>
      </c>
      <c r="H626" s="26">
        <f t="shared" si="44"/>
        <v>44196</v>
      </c>
      <c r="I626" s="75"/>
      <c r="J626" s="62" t="s">
        <v>2785</v>
      </c>
      <c r="K626" s="62" t="s">
        <v>939</v>
      </c>
      <c r="L626" s="63" t="s">
        <v>35</v>
      </c>
      <c r="M626" s="64" t="s">
        <v>940</v>
      </c>
      <c r="N626" s="80" t="s">
        <v>2786</v>
      </c>
      <c r="O626" s="66" t="s">
        <v>2787</v>
      </c>
      <c r="P626" s="37"/>
      <c r="Q626" s="38"/>
      <c r="R626" s="22"/>
      <c r="S626" s="38"/>
      <c r="T626" s="38"/>
      <c r="U626" s="38"/>
      <c r="V626" s="59"/>
      <c r="W626" s="38"/>
      <c r="X626" s="38"/>
      <c r="Y626" s="36" t="str">
        <f t="shared" si="46"/>
        <v>renew</v>
      </c>
      <c r="Z626" s="75"/>
      <c r="AA626" s="75"/>
    </row>
    <row r="627">
      <c r="A627" s="87" t="s">
        <v>2788</v>
      </c>
      <c r="B627" s="87" t="s">
        <v>2789</v>
      </c>
      <c r="C627" s="75">
        <v>743.0</v>
      </c>
      <c r="D627" s="22" t="str">
        <f t="shared" si="1"/>
        <v>General</v>
      </c>
      <c r="E627" s="23" t="str">
        <f t="shared" si="2"/>
        <v>Lapsed</v>
      </c>
      <c r="F627" s="108">
        <v>3.0</v>
      </c>
      <c r="G627" s="25">
        <v>45044.0</v>
      </c>
      <c r="H627" s="26">
        <f t="shared" si="44"/>
        <v>46022</v>
      </c>
      <c r="I627" s="27"/>
      <c r="J627" s="62" t="s">
        <v>2790</v>
      </c>
      <c r="K627" s="62" t="s">
        <v>423</v>
      </c>
      <c r="L627" s="63" t="s">
        <v>35</v>
      </c>
      <c r="M627" s="64" t="s">
        <v>424</v>
      </c>
      <c r="N627" s="80" t="s">
        <v>2791</v>
      </c>
      <c r="O627" s="66" t="s">
        <v>2792</v>
      </c>
      <c r="P627" s="37"/>
      <c r="Q627" s="38"/>
      <c r="R627" s="22"/>
      <c r="S627" s="22">
        <v>1.0</v>
      </c>
      <c r="T627" s="22">
        <v>1.0</v>
      </c>
      <c r="U627" s="22">
        <v>1.0</v>
      </c>
      <c r="V627" s="116">
        <v>45044.0</v>
      </c>
      <c r="W627" s="22" t="s">
        <v>800</v>
      </c>
      <c r="X627" s="22" t="s">
        <v>800</v>
      </c>
      <c r="Y627" s="36" t="str">
        <f t="shared" si="46"/>
        <v>renew</v>
      </c>
      <c r="Z627" s="21" t="s">
        <v>8</v>
      </c>
      <c r="AA627" s="75"/>
    </row>
    <row r="628">
      <c r="A628" s="87" t="s">
        <v>779</v>
      </c>
      <c r="B628" s="87" t="s">
        <v>1513</v>
      </c>
      <c r="C628" s="75">
        <v>742.0</v>
      </c>
      <c r="D628" s="22" t="str">
        <f t="shared" si="1"/>
        <v>General</v>
      </c>
      <c r="E628" s="23" t="str">
        <f t="shared" si="2"/>
        <v>Lapsed</v>
      </c>
      <c r="F628" s="24">
        <v>1.0</v>
      </c>
      <c r="G628" s="25">
        <v>44481.0</v>
      </c>
      <c r="H628" s="26">
        <f t="shared" si="44"/>
        <v>44561</v>
      </c>
      <c r="I628" s="75"/>
      <c r="J628" s="62" t="s">
        <v>2793</v>
      </c>
      <c r="K628" s="62" t="s">
        <v>2794</v>
      </c>
      <c r="L628" s="63" t="s">
        <v>35</v>
      </c>
      <c r="M628" s="64" t="s">
        <v>2795</v>
      </c>
      <c r="N628" s="80" t="s">
        <v>2796</v>
      </c>
      <c r="O628" s="66" t="s">
        <v>2797</v>
      </c>
      <c r="P628" s="37"/>
      <c r="Q628" s="38"/>
      <c r="R628" s="22"/>
      <c r="S628" s="38"/>
      <c r="T628" s="38"/>
      <c r="U628" s="38"/>
      <c r="V628" s="59"/>
      <c r="W628" s="22" t="s">
        <v>800</v>
      </c>
      <c r="X628" s="38"/>
      <c r="Y628" s="36" t="str">
        <f t="shared" si="46"/>
        <v>renew</v>
      </c>
      <c r="Z628" s="75"/>
      <c r="AA628" s="75"/>
    </row>
    <row r="629">
      <c r="A629" s="87" t="s">
        <v>2798</v>
      </c>
      <c r="B629" s="87" t="s">
        <v>1921</v>
      </c>
      <c r="C629" s="75">
        <v>741.0</v>
      </c>
      <c r="D629" s="22" t="str">
        <f t="shared" si="1"/>
        <v>General</v>
      </c>
      <c r="E629" s="23" t="str">
        <f t="shared" si="2"/>
        <v>Lapsed</v>
      </c>
      <c r="F629" s="24">
        <v>1.0</v>
      </c>
      <c r="G629" s="25">
        <v>44257.0</v>
      </c>
      <c r="H629" s="26">
        <f t="shared" si="44"/>
        <v>44561</v>
      </c>
      <c r="I629" s="75"/>
      <c r="J629" s="62" t="s">
        <v>2799</v>
      </c>
      <c r="K629" s="62" t="s">
        <v>647</v>
      </c>
      <c r="L629" s="63" t="s">
        <v>35</v>
      </c>
      <c r="M629" s="64" t="s">
        <v>1062</v>
      </c>
      <c r="N629" s="80" t="s">
        <v>2800</v>
      </c>
      <c r="O629" s="66" t="s">
        <v>2801</v>
      </c>
      <c r="P629" s="37"/>
      <c r="Q629" s="38"/>
      <c r="R629" s="22"/>
      <c r="S629" s="38"/>
      <c r="T629" s="38"/>
      <c r="U629" s="38"/>
      <c r="V629" s="59"/>
      <c r="W629" s="38"/>
      <c r="X629" s="38"/>
      <c r="Y629" s="36" t="str">
        <f t="shared" si="46"/>
        <v>renew</v>
      </c>
      <c r="Z629" s="75"/>
      <c r="AA629" s="138"/>
    </row>
    <row r="630">
      <c r="A630" s="87" t="s">
        <v>2802</v>
      </c>
      <c r="B630" s="87" t="s">
        <v>2803</v>
      </c>
      <c r="C630" s="75">
        <v>740.0</v>
      </c>
      <c r="D630" s="22" t="str">
        <f t="shared" si="1"/>
        <v>General</v>
      </c>
      <c r="E630" s="23" t="str">
        <f t="shared" si="2"/>
        <v>Lapsed</v>
      </c>
      <c r="F630" s="24">
        <v>1.0</v>
      </c>
      <c r="G630" s="155">
        <v>44328.0</v>
      </c>
      <c r="H630" s="26">
        <f t="shared" si="44"/>
        <v>44561</v>
      </c>
      <c r="I630" s="75"/>
      <c r="J630" s="62" t="s">
        <v>2804</v>
      </c>
      <c r="K630" s="62" t="s">
        <v>1451</v>
      </c>
      <c r="L630" s="63" t="s">
        <v>244</v>
      </c>
      <c r="M630" s="64" t="s">
        <v>2805</v>
      </c>
      <c r="N630" s="80" t="s">
        <v>2806</v>
      </c>
      <c r="O630" s="66" t="s">
        <v>2807</v>
      </c>
      <c r="P630" s="37"/>
      <c r="Q630" s="38"/>
      <c r="R630" s="22"/>
      <c r="S630" s="38"/>
      <c r="T630" s="38"/>
      <c r="U630" s="38"/>
      <c r="V630" s="59"/>
      <c r="W630" s="38"/>
      <c r="X630" s="38"/>
      <c r="Y630" s="36" t="str">
        <f t="shared" si="46"/>
        <v>renew</v>
      </c>
      <c r="Z630" s="75"/>
      <c r="AA630" s="75"/>
    </row>
    <row r="631">
      <c r="A631" s="87" t="s">
        <v>2808</v>
      </c>
      <c r="B631" s="87" t="s">
        <v>2809</v>
      </c>
      <c r="C631" s="75">
        <v>739.0</v>
      </c>
      <c r="D631" s="22" t="str">
        <f t="shared" si="1"/>
        <v>General</v>
      </c>
      <c r="E631" s="23" t="str">
        <f t="shared" si="2"/>
        <v>Active</v>
      </c>
      <c r="F631" s="24">
        <v>3.0</v>
      </c>
      <c r="G631" s="25">
        <v>45733.0</v>
      </c>
      <c r="H631" s="26">
        <f t="shared" si="44"/>
        <v>46752</v>
      </c>
      <c r="I631" s="21" t="s">
        <v>8</v>
      </c>
      <c r="J631" s="62" t="s">
        <v>2810</v>
      </c>
      <c r="K631" s="62" t="s">
        <v>423</v>
      </c>
      <c r="L631" s="63" t="s">
        <v>35</v>
      </c>
      <c r="M631" s="64" t="s">
        <v>424</v>
      </c>
      <c r="N631" s="80" t="s">
        <v>2811</v>
      </c>
      <c r="O631" s="66" t="s">
        <v>2812</v>
      </c>
      <c r="P631" s="37"/>
      <c r="Q631" s="38"/>
      <c r="R631" s="118"/>
      <c r="S631" s="22">
        <v>1.0</v>
      </c>
      <c r="T631" s="22">
        <v>1.0</v>
      </c>
      <c r="U631" s="22">
        <v>1.0</v>
      </c>
      <c r="V631" s="168"/>
      <c r="W631" s="22" t="s">
        <v>800</v>
      </c>
      <c r="X631" s="38"/>
      <c r="Y631" s="36" t="s">
        <v>45</v>
      </c>
      <c r="Z631" s="21" t="s">
        <v>8</v>
      </c>
      <c r="AA631" s="75"/>
    </row>
    <row r="632">
      <c r="A632" s="87" t="s">
        <v>2813</v>
      </c>
      <c r="B632" s="87" t="s">
        <v>2814</v>
      </c>
      <c r="C632" s="75">
        <v>738.0</v>
      </c>
      <c r="D632" s="22" t="str">
        <f t="shared" si="1"/>
        <v>General</v>
      </c>
      <c r="E632" s="23" t="str">
        <f t="shared" si="2"/>
        <v>Lapsed</v>
      </c>
      <c r="F632" s="24">
        <v>1.0</v>
      </c>
      <c r="G632" s="155">
        <v>44375.0</v>
      </c>
      <c r="H632" s="26">
        <f t="shared" si="44"/>
        <v>44561</v>
      </c>
      <c r="I632" s="75"/>
      <c r="J632" s="62" t="s">
        <v>2815</v>
      </c>
      <c r="K632" s="62" t="s">
        <v>1595</v>
      </c>
      <c r="L632" s="63" t="s">
        <v>35</v>
      </c>
      <c r="M632" s="64" t="s">
        <v>1596</v>
      </c>
      <c r="N632" s="80" t="s">
        <v>2816</v>
      </c>
      <c r="O632" s="66" t="s">
        <v>2817</v>
      </c>
      <c r="P632" s="37"/>
      <c r="Q632" s="38"/>
      <c r="R632" s="22"/>
      <c r="S632" s="38"/>
      <c r="T632" s="38"/>
      <c r="U632" s="38"/>
      <c r="V632" s="59"/>
      <c r="W632" s="38"/>
      <c r="X632" s="38"/>
      <c r="Y632" s="36" t="str">
        <f t="shared" ref="Y632:Y667" si="47">if(E632="Active","send","renew")</f>
        <v>renew</v>
      </c>
      <c r="Z632" s="75"/>
      <c r="AA632" s="75"/>
    </row>
    <row r="633">
      <c r="A633" s="87" t="s">
        <v>2818</v>
      </c>
      <c r="B633" s="87" t="s">
        <v>2819</v>
      </c>
      <c r="C633" s="75">
        <v>737.0</v>
      </c>
      <c r="D633" s="22" t="str">
        <f t="shared" si="1"/>
        <v>General</v>
      </c>
      <c r="E633" s="23" t="str">
        <f t="shared" si="2"/>
        <v>Lapsed</v>
      </c>
      <c r="F633" s="24">
        <v>1.0</v>
      </c>
      <c r="G633" s="25">
        <v>45099.0</v>
      </c>
      <c r="H633" s="26">
        <f t="shared" si="44"/>
        <v>45291</v>
      </c>
      <c r="I633" s="75"/>
      <c r="J633" s="62" t="s">
        <v>2820</v>
      </c>
      <c r="K633" s="62" t="s">
        <v>2821</v>
      </c>
      <c r="L633" s="63" t="s">
        <v>244</v>
      </c>
      <c r="M633" s="64" t="s">
        <v>2822</v>
      </c>
      <c r="N633" s="80" t="s">
        <v>2823</v>
      </c>
      <c r="O633" s="66" t="s">
        <v>2824</v>
      </c>
      <c r="P633" s="37"/>
      <c r="Q633" s="38"/>
      <c r="R633" s="22"/>
      <c r="S633" s="22"/>
      <c r="T633" s="22"/>
      <c r="U633" s="22">
        <v>2.0</v>
      </c>
      <c r="V633" s="116">
        <v>45099.0</v>
      </c>
      <c r="W633" s="22" t="s">
        <v>800</v>
      </c>
      <c r="X633" s="22" t="s">
        <v>800</v>
      </c>
      <c r="Y633" s="36" t="str">
        <f t="shared" si="47"/>
        <v>renew</v>
      </c>
      <c r="Z633" s="75"/>
      <c r="AA633" s="75"/>
    </row>
    <row r="634">
      <c r="A634" s="87" t="s">
        <v>2539</v>
      </c>
      <c r="B634" s="87" t="s">
        <v>1599</v>
      </c>
      <c r="C634" s="75">
        <v>736.0</v>
      </c>
      <c r="D634" s="22" t="str">
        <f t="shared" si="1"/>
        <v>Youth</v>
      </c>
      <c r="E634" s="23" t="str">
        <f t="shared" si="2"/>
        <v>Lapsed</v>
      </c>
      <c r="F634" s="24">
        <v>1.0</v>
      </c>
      <c r="G634" s="25">
        <v>45768.0</v>
      </c>
      <c r="H634" s="26">
        <f t="shared" si="44"/>
        <v>46022</v>
      </c>
      <c r="I634" s="21"/>
      <c r="J634" s="62" t="s">
        <v>1600</v>
      </c>
      <c r="K634" s="62" t="s">
        <v>1919</v>
      </c>
      <c r="L634" s="63" t="s">
        <v>35</v>
      </c>
      <c r="M634" s="64" t="s">
        <v>1367</v>
      </c>
      <c r="N634" s="80" t="s">
        <v>1601</v>
      </c>
      <c r="O634" s="66" t="s">
        <v>1920</v>
      </c>
      <c r="P634" s="48">
        <v>39576.0</v>
      </c>
      <c r="Q634" s="22">
        <f>datedif(P634,today(),"Y")</f>
        <v>17</v>
      </c>
      <c r="R634" s="22"/>
      <c r="S634" s="22">
        <v>1.0</v>
      </c>
      <c r="T634" s="22"/>
      <c r="U634" s="22"/>
      <c r="V634" s="59"/>
      <c r="W634" s="22" t="s">
        <v>800</v>
      </c>
      <c r="X634" s="38"/>
      <c r="Y634" s="36" t="str">
        <f t="shared" si="47"/>
        <v>renew</v>
      </c>
      <c r="Z634" s="21" t="s">
        <v>8</v>
      </c>
      <c r="AA634" s="75"/>
    </row>
    <row r="635">
      <c r="A635" s="122" t="s">
        <v>2383</v>
      </c>
      <c r="B635" s="122" t="s">
        <v>2825</v>
      </c>
      <c r="C635" s="21">
        <v>735.0</v>
      </c>
      <c r="D635" s="22" t="str">
        <f t="shared" si="1"/>
        <v>General</v>
      </c>
      <c r="E635" s="23" t="str">
        <f t="shared" si="2"/>
        <v>Lapsed</v>
      </c>
      <c r="F635" s="24">
        <v>1.0</v>
      </c>
      <c r="G635" s="25">
        <v>45770.0</v>
      </c>
      <c r="H635" s="26">
        <f t="shared" si="44"/>
        <v>46022</v>
      </c>
      <c r="I635" s="21"/>
      <c r="J635" s="29" t="s">
        <v>2826</v>
      </c>
      <c r="K635" s="29" t="s">
        <v>898</v>
      </c>
      <c r="L635" s="30" t="s">
        <v>35</v>
      </c>
      <c r="M635" s="42" t="s">
        <v>899</v>
      </c>
      <c r="N635" s="131" t="s">
        <v>2827</v>
      </c>
      <c r="O635" s="54">
        <v>9.708181525E9</v>
      </c>
      <c r="P635" s="37"/>
      <c r="Q635" s="38"/>
      <c r="R635" s="22"/>
      <c r="S635" s="22">
        <v>1.0</v>
      </c>
      <c r="T635" s="38"/>
      <c r="U635" s="38"/>
      <c r="V635" s="159"/>
      <c r="W635" s="38"/>
      <c r="X635" s="38"/>
      <c r="Y635" s="36" t="str">
        <f t="shared" si="47"/>
        <v>renew</v>
      </c>
      <c r="Z635" s="21" t="s">
        <v>671</v>
      </c>
      <c r="AA635" s="75"/>
    </row>
    <row r="636">
      <c r="A636" s="87" t="s">
        <v>2828</v>
      </c>
      <c r="B636" s="87" t="s">
        <v>2829</v>
      </c>
      <c r="C636" s="75">
        <v>734.0</v>
      </c>
      <c r="D636" s="22" t="str">
        <f t="shared" si="1"/>
        <v>General</v>
      </c>
      <c r="E636" s="23" t="str">
        <f t="shared" si="2"/>
        <v>Lapsed</v>
      </c>
      <c r="F636" s="24">
        <v>1.0</v>
      </c>
      <c r="G636" s="25">
        <v>44950.0</v>
      </c>
      <c r="H636" s="26">
        <f t="shared" si="44"/>
        <v>45291</v>
      </c>
      <c r="I636" s="75"/>
      <c r="J636" s="62" t="s">
        <v>2830</v>
      </c>
      <c r="K636" s="62" t="s">
        <v>42</v>
      </c>
      <c r="L636" s="63" t="s">
        <v>35</v>
      </c>
      <c r="M636" s="64" t="s">
        <v>239</v>
      </c>
      <c r="N636" s="131" t="s">
        <v>2831</v>
      </c>
      <c r="O636" s="66" t="s">
        <v>2832</v>
      </c>
      <c r="P636" s="37"/>
      <c r="Q636" s="38"/>
      <c r="R636" s="118"/>
      <c r="S636" s="22"/>
      <c r="T636" s="22"/>
      <c r="U636" s="22">
        <v>1.0</v>
      </c>
      <c r="V636" s="106">
        <v>44950.0</v>
      </c>
      <c r="W636" s="22" t="s">
        <v>800</v>
      </c>
      <c r="X636" s="22" t="s">
        <v>800</v>
      </c>
      <c r="Y636" s="36" t="str">
        <f t="shared" si="47"/>
        <v>renew</v>
      </c>
      <c r="Z636" s="75"/>
      <c r="AA636" s="75"/>
    </row>
    <row r="637">
      <c r="A637" s="87" t="s">
        <v>2308</v>
      </c>
      <c r="B637" s="87" t="s">
        <v>2833</v>
      </c>
      <c r="C637" s="75">
        <v>733.0</v>
      </c>
      <c r="D637" s="22" t="str">
        <f t="shared" si="1"/>
        <v>General</v>
      </c>
      <c r="E637" s="23" t="str">
        <f t="shared" si="2"/>
        <v>Lapsed</v>
      </c>
      <c r="F637" s="24">
        <v>1.0</v>
      </c>
      <c r="G637" s="155">
        <v>44296.0</v>
      </c>
      <c r="H637" s="26">
        <f t="shared" si="44"/>
        <v>44561</v>
      </c>
      <c r="I637" s="75"/>
      <c r="J637" s="62" t="s">
        <v>2834</v>
      </c>
      <c r="K637" s="62" t="s">
        <v>423</v>
      </c>
      <c r="L637" s="63" t="s">
        <v>35</v>
      </c>
      <c r="M637" s="64" t="s">
        <v>424</v>
      </c>
      <c r="N637" s="80" t="s">
        <v>2835</v>
      </c>
      <c r="O637" s="66" t="s">
        <v>2836</v>
      </c>
      <c r="P637" s="37"/>
      <c r="Q637" s="38"/>
      <c r="R637" s="22"/>
      <c r="S637" s="38"/>
      <c r="T637" s="38"/>
      <c r="U637" s="38"/>
      <c r="V637" s="59"/>
      <c r="W637" s="38"/>
      <c r="X637" s="38"/>
      <c r="Y637" s="36" t="str">
        <f t="shared" si="47"/>
        <v>renew</v>
      </c>
      <c r="Z637" s="75"/>
      <c r="AA637" s="75"/>
    </row>
    <row r="638">
      <c r="A638" s="87" t="s">
        <v>842</v>
      </c>
      <c r="B638" s="87" t="s">
        <v>2837</v>
      </c>
      <c r="C638" s="75">
        <v>732.0</v>
      </c>
      <c r="D638" s="22" t="str">
        <f t="shared" si="1"/>
        <v>General</v>
      </c>
      <c r="E638" s="23" t="str">
        <f t="shared" si="2"/>
        <v>Lapsed</v>
      </c>
      <c r="F638" s="24">
        <v>1.0</v>
      </c>
      <c r="G638" s="155">
        <v>44375.0</v>
      </c>
      <c r="H638" s="26">
        <f t="shared" si="44"/>
        <v>44561</v>
      </c>
      <c r="I638" s="75"/>
      <c r="J638" s="62" t="s">
        <v>2838</v>
      </c>
      <c r="K638" s="62" t="s">
        <v>56</v>
      </c>
      <c r="L638" s="63" t="s">
        <v>57</v>
      </c>
      <c r="M638" s="64" t="s">
        <v>63</v>
      </c>
      <c r="N638" s="80" t="s">
        <v>2839</v>
      </c>
      <c r="O638" s="66" t="s">
        <v>2840</v>
      </c>
      <c r="P638" s="37"/>
      <c r="Q638" s="38"/>
      <c r="R638" s="22"/>
      <c r="S638" s="38"/>
      <c r="T638" s="38"/>
      <c r="U638" s="38"/>
      <c r="V638" s="59"/>
      <c r="W638" s="38"/>
      <c r="X638" s="38"/>
      <c r="Y638" s="36" t="str">
        <f t="shared" si="47"/>
        <v>renew</v>
      </c>
      <c r="Z638" s="75"/>
      <c r="AA638" s="75"/>
    </row>
    <row r="639">
      <c r="A639" s="87" t="s">
        <v>2643</v>
      </c>
      <c r="B639" s="87" t="s">
        <v>2841</v>
      </c>
      <c r="C639" s="75">
        <v>731.0</v>
      </c>
      <c r="D639" s="22" t="str">
        <f t="shared" si="1"/>
        <v>General</v>
      </c>
      <c r="E639" s="23" t="str">
        <f t="shared" si="2"/>
        <v>Lapsed</v>
      </c>
      <c r="F639" s="24">
        <v>1.0</v>
      </c>
      <c r="G639" s="155">
        <v>44274.0</v>
      </c>
      <c r="H639" s="26">
        <f t="shared" si="44"/>
        <v>44561</v>
      </c>
      <c r="I639" s="75"/>
      <c r="J639" s="62" t="s">
        <v>2842</v>
      </c>
      <c r="K639" s="62" t="s">
        <v>82</v>
      </c>
      <c r="L639" s="63" t="s">
        <v>57</v>
      </c>
      <c r="M639" s="64" t="s">
        <v>83</v>
      </c>
      <c r="N639" s="80" t="s">
        <v>2843</v>
      </c>
      <c r="O639" s="66" t="s">
        <v>2844</v>
      </c>
      <c r="P639" s="37"/>
      <c r="Q639" s="38"/>
      <c r="R639" s="22"/>
      <c r="S639" s="38"/>
      <c r="T639" s="38"/>
      <c r="U639" s="38"/>
      <c r="V639" s="59"/>
      <c r="W639" s="38"/>
      <c r="X639" s="38"/>
      <c r="Y639" s="36" t="str">
        <f t="shared" si="47"/>
        <v>renew</v>
      </c>
      <c r="Z639" s="75"/>
      <c r="AA639" s="75"/>
    </row>
    <row r="640">
      <c r="A640" s="87" t="s">
        <v>2845</v>
      </c>
      <c r="B640" s="87" t="s">
        <v>2846</v>
      </c>
      <c r="C640" s="75">
        <v>730.0</v>
      </c>
      <c r="D640" s="22" t="str">
        <f t="shared" si="1"/>
        <v>General</v>
      </c>
      <c r="E640" s="23" t="str">
        <f t="shared" si="2"/>
        <v>Lapsed</v>
      </c>
      <c r="F640" s="24">
        <v>1.0</v>
      </c>
      <c r="G640" s="155">
        <v>43893.0</v>
      </c>
      <c r="H640" s="26">
        <f t="shared" si="44"/>
        <v>44196</v>
      </c>
      <c r="I640" s="75"/>
      <c r="J640" s="62" t="s">
        <v>2847</v>
      </c>
      <c r="K640" s="62" t="s">
        <v>1167</v>
      </c>
      <c r="L640" s="63" t="s">
        <v>35</v>
      </c>
      <c r="M640" s="64" t="s">
        <v>2848</v>
      </c>
      <c r="N640" s="80" t="s">
        <v>2849</v>
      </c>
      <c r="O640" s="66" t="s">
        <v>2850</v>
      </c>
      <c r="P640" s="37"/>
      <c r="Q640" s="38"/>
      <c r="R640" s="22"/>
      <c r="S640" s="38"/>
      <c r="T640" s="38"/>
      <c r="U640" s="38"/>
      <c r="V640" s="59"/>
      <c r="W640" s="38"/>
      <c r="X640" s="38"/>
      <c r="Y640" s="36" t="str">
        <f t="shared" si="47"/>
        <v>renew</v>
      </c>
      <c r="Z640" s="142"/>
      <c r="AA640" s="142"/>
    </row>
    <row r="641">
      <c r="A641" s="87" t="s">
        <v>2851</v>
      </c>
      <c r="B641" s="87" t="s">
        <v>2852</v>
      </c>
      <c r="C641" s="75">
        <v>729.0</v>
      </c>
      <c r="D641" s="22" t="str">
        <f t="shared" si="1"/>
        <v>General</v>
      </c>
      <c r="E641" s="23" t="str">
        <f t="shared" si="2"/>
        <v>Lapsed</v>
      </c>
      <c r="F641" s="24">
        <v>1.0</v>
      </c>
      <c r="G641" s="155">
        <v>44246.0</v>
      </c>
      <c r="H641" s="26">
        <f t="shared" si="44"/>
        <v>44561</v>
      </c>
      <c r="I641" s="75"/>
      <c r="J641" s="62" t="s">
        <v>2853</v>
      </c>
      <c r="K641" s="62" t="s">
        <v>1915</v>
      </c>
      <c r="L641" s="63" t="s">
        <v>35</v>
      </c>
      <c r="M641" s="64" t="s">
        <v>2854</v>
      </c>
      <c r="N641" s="80" t="s">
        <v>2855</v>
      </c>
      <c r="O641" s="66" t="s">
        <v>2856</v>
      </c>
      <c r="P641" s="37"/>
      <c r="Q641" s="38"/>
      <c r="R641" s="22"/>
      <c r="S641" s="38"/>
      <c r="T641" s="38"/>
      <c r="U641" s="38"/>
      <c r="V641" s="59"/>
      <c r="W641" s="38"/>
      <c r="X641" s="38"/>
      <c r="Y641" s="36" t="str">
        <f t="shared" si="47"/>
        <v>renew</v>
      </c>
      <c r="Z641" s="75"/>
      <c r="AA641" s="75"/>
    </row>
    <row r="642">
      <c r="A642" s="87" t="s">
        <v>284</v>
      </c>
      <c r="B642" s="87" t="s">
        <v>1100</v>
      </c>
      <c r="C642" s="75">
        <v>728.0</v>
      </c>
      <c r="D642" s="22" t="str">
        <f t="shared" si="1"/>
        <v>General</v>
      </c>
      <c r="E642" s="23" t="str">
        <f t="shared" si="2"/>
        <v>Lapsed</v>
      </c>
      <c r="F642" s="24">
        <v>1.0</v>
      </c>
      <c r="G642" s="155">
        <v>44239.0</v>
      </c>
      <c r="H642" s="26">
        <f t="shared" si="44"/>
        <v>44561</v>
      </c>
      <c r="I642" s="75"/>
      <c r="J642" s="62" t="s">
        <v>2857</v>
      </c>
      <c r="K642" s="62" t="s">
        <v>2858</v>
      </c>
      <c r="L642" s="63" t="s">
        <v>2859</v>
      </c>
      <c r="M642" s="64" t="s">
        <v>2860</v>
      </c>
      <c r="N642" s="80" t="s">
        <v>2861</v>
      </c>
      <c r="O642" s="66" t="s">
        <v>2862</v>
      </c>
      <c r="P642" s="37"/>
      <c r="Q642" s="38"/>
      <c r="R642" s="22"/>
      <c r="S642" s="38"/>
      <c r="T642" s="38"/>
      <c r="U642" s="38"/>
      <c r="V642" s="59"/>
      <c r="W642" s="38"/>
      <c r="X642" s="38"/>
      <c r="Y642" s="36" t="str">
        <f t="shared" si="47"/>
        <v>renew</v>
      </c>
      <c r="Z642" s="75"/>
      <c r="AA642" s="75"/>
    </row>
    <row r="643">
      <c r="A643" s="87" t="s">
        <v>2863</v>
      </c>
      <c r="B643" s="87" t="s">
        <v>2864</v>
      </c>
      <c r="C643" s="75">
        <v>727.0</v>
      </c>
      <c r="D643" s="22" t="str">
        <f t="shared" si="1"/>
        <v>General</v>
      </c>
      <c r="E643" s="23" t="str">
        <f t="shared" si="2"/>
        <v>Lapsed</v>
      </c>
      <c r="F643" s="24">
        <v>1.0</v>
      </c>
      <c r="G643" s="155">
        <v>43875.0</v>
      </c>
      <c r="H643" s="26">
        <f t="shared" si="44"/>
        <v>44196</v>
      </c>
      <c r="I643" s="75"/>
      <c r="J643" s="62" t="s">
        <v>2865</v>
      </c>
      <c r="K643" s="62" t="s">
        <v>190</v>
      </c>
      <c r="L643" s="63" t="s">
        <v>35</v>
      </c>
      <c r="M643" s="64" t="s">
        <v>191</v>
      </c>
      <c r="N643" s="80" t="s">
        <v>2866</v>
      </c>
      <c r="O643" s="66" t="s">
        <v>2867</v>
      </c>
      <c r="P643" s="37"/>
      <c r="Q643" s="38"/>
      <c r="R643" s="22"/>
      <c r="S643" s="38"/>
      <c r="T643" s="38"/>
      <c r="U643" s="38"/>
      <c r="V643" s="59"/>
      <c r="W643" s="38"/>
      <c r="X643" s="38"/>
      <c r="Y643" s="36" t="str">
        <f t="shared" si="47"/>
        <v>renew</v>
      </c>
      <c r="Z643" s="75"/>
      <c r="AA643" s="75"/>
    </row>
    <row r="644">
      <c r="A644" s="87" t="s">
        <v>2868</v>
      </c>
      <c r="B644" s="87" t="s">
        <v>2389</v>
      </c>
      <c r="C644" s="75">
        <v>726.0</v>
      </c>
      <c r="D644" s="22" t="str">
        <f t="shared" si="1"/>
        <v>General</v>
      </c>
      <c r="E644" s="23" t="str">
        <f t="shared" si="2"/>
        <v>Lapsed</v>
      </c>
      <c r="F644" s="24">
        <v>1.0</v>
      </c>
      <c r="G644" s="25">
        <v>44955.0</v>
      </c>
      <c r="H644" s="26">
        <f t="shared" si="44"/>
        <v>45291</v>
      </c>
      <c r="I644" s="75"/>
      <c r="J644" s="62" t="s">
        <v>2869</v>
      </c>
      <c r="K644" s="62" t="s">
        <v>56</v>
      </c>
      <c r="L644" s="63" t="s">
        <v>57</v>
      </c>
      <c r="M644" s="64" t="s">
        <v>63</v>
      </c>
      <c r="N644" s="80" t="s">
        <v>2391</v>
      </c>
      <c r="O644" s="66" t="s">
        <v>2870</v>
      </c>
      <c r="P644" s="37"/>
      <c r="Q644" s="38"/>
      <c r="R644" s="118"/>
      <c r="S644" s="22"/>
      <c r="T644" s="22"/>
      <c r="U644" s="22">
        <v>1.0</v>
      </c>
      <c r="V644" s="106">
        <v>44955.0</v>
      </c>
      <c r="W644" s="22" t="s">
        <v>800</v>
      </c>
      <c r="X644" s="22" t="s">
        <v>800</v>
      </c>
      <c r="Y644" s="36" t="str">
        <f t="shared" si="47"/>
        <v>renew</v>
      </c>
      <c r="Z644" s="75"/>
      <c r="AA644" s="75"/>
    </row>
    <row r="645">
      <c r="A645" s="87" t="s">
        <v>2871</v>
      </c>
      <c r="B645" s="87" t="s">
        <v>2872</v>
      </c>
      <c r="C645" s="75">
        <v>725.0</v>
      </c>
      <c r="D645" s="22" t="str">
        <f t="shared" si="1"/>
        <v>General</v>
      </c>
      <c r="E645" s="23" t="str">
        <f t="shared" si="2"/>
        <v>Lapsed</v>
      </c>
      <c r="F645" s="24">
        <v>1.0</v>
      </c>
      <c r="G645" s="155">
        <v>43844.0</v>
      </c>
      <c r="H645" s="26">
        <f t="shared" si="44"/>
        <v>44196</v>
      </c>
      <c r="I645" s="75"/>
      <c r="J645" s="62" t="s">
        <v>2873</v>
      </c>
      <c r="K645" s="62" t="s">
        <v>42</v>
      </c>
      <c r="L645" s="63" t="s">
        <v>35</v>
      </c>
      <c r="M645" s="64" t="s">
        <v>239</v>
      </c>
      <c r="N645" s="80" t="s">
        <v>2874</v>
      </c>
      <c r="O645" s="66" t="s">
        <v>2875</v>
      </c>
      <c r="P645" s="37"/>
      <c r="Q645" s="38"/>
      <c r="R645" s="22"/>
      <c r="S645" s="38"/>
      <c r="T645" s="38"/>
      <c r="U645" s="38"/>
      <c r="V645" s="59"/>
      <c r="W645" s="38"/>
      <c r="X645" s="38"/>
      <c r="Y645" s="36" t="str">
        <f t="shared" si="47"/>
        <v>renew</v>
      </c>
      <c r="Z645" s="75"/>
      <c r="AA645" s="75"/>
    </row>
    <row r="646">
      <c r="A646" s="87" t="s">
        <v>2876</v>
      </c>
      <c r="B646" s="87" t="s">
        <v>485</v>
      </c>
      <c r="C646" s="75">
        <v>724.0</v>
      </c>
      <c r="D646" s="22" t="str">
        <f t="shared" si="1"/>
        <v>General</v>
      </c>
      <c r="E646" s="23" t="str">
        <f t="shared" si="2"/>
        <v>Lapsed</v>
      </c>
      <c r="F646" s="24">
        <v>1.0</v>
      </c>
      <c r="G646" s="25">
        <v>44236.0</v>
      </c>
      <c r="H646" s="26">
        <f t="shared" si="44"/>
        <v>44561</v>
      </c>
      <c r="I646" s="75"/>
      <c r="J646" s="62" t="s">
        <v>2877</v>
      </c>
      <c r="K646" s="62" t="s">
        <v>2761</v>
      </c>
      <c r="L646" s="63" t="s">
        <v>35</v>
      </c>
      <c r="M646" s="64" t="s">
        <v>2878</v>
      </c>
      <c r="N646" s="80" t="s">
        <v>2879</v>
      </c>
      <c r="O646" s="66" t="s">
        <v>2880</v>
      </c>
      <c r="P646" s="37"/>
      <c r="Q646" s="38"/>
      <c r="R646" s="22"/>
      <c r="S646" s="38"/>
      <c r="T646" s="38"/>
      <c r="U646" s="38"/>
      <c r="V646" s="59"/>
      <c r="W646" s="38"/>
      <c r="X646" s="38"/>
      <c r="Y646" s="36" t="str">
        <f t="shared" si="47"/>
        <v>renew</v>
      </c>
      <c r="Z646" s="75"/>
      <c r="AA646" s="75"/>
    </row>
    <row r="647">
      <c r="A647" s="87" t="s">
        <v>450</v>
      </c>
      <c r="B647" s="87" t="s">
        <v>2881</v>
      </c>
      <c r="C647" s="75">
        <v>723.0</v>
      </c>
      <c r="D647" s="22" t="str">
        <f t="shared" si="1"/>
        <v>General</v>
      </c>
      <c r="E647" s="23" t="str">
        <f t="shared" si="2"/>
        <v>Lapsed</v>
      </c>
      <c r="F647" s="24">
        <v>1.0</v>
      </c>
      <c r="G647" s="155">
        <v>43799.0</v>
      </c>
      <c r="H647" s="26">
        <f t="shared" si="44"/>
        <v>43830</v>
      </c>
      <c r="I647" s="75"/>
      <c r="J647" s="62" t="s">
        <v>2882</v>
      </c>
      <c r="K647" s="29" t="s">
        <v>473</v>
      </c>
      <c r="L647" s="63" t="s">
        <v>35</v>
      </c>
      <c r="M647" s="64" t="s">
        <v>2883</v>
      </c>
      <c r="N647" s="80" t="s">
        <v>2884</v>
      </c>
      <c r="O647" s="66" t="s">
        <v>2885</v>
      </c>
      <c r="P647" s="37"/>
      <c r="Q647" s="38"/>
      <c r="R647" s="22"/>
      <c r="S647" s="38"/>
      <c r="T647" s="38"/>
      <c r="U647" s="38"/>
      <c r="V647" s="59"/>
      <c r="W647" s="38"/>
      <c r="X647" s="38"/>
      <c r="Y647" s="36" t="str">
        <f t="shared" si="47"/>
        <v>renew</v>
      </c>
      <c r="Z647" s="75"/>
      <c r="AA647" s="75"/>
    </row>
    <row r="648">
      <c r="A648" s="87" t="s">
        <v>2886</v>
      </c>
      <c r="B648" s="87" t="s">
        <v>2887</v>
      </c>
      <c r="C648" s="75">
        <v>722.0</v>
      </c>
      <c r="D648" s="22" t="str">
        <f t="shared" si="1"/>
        <v>General</v>
      </c>
      <c r="E648" s="23" t="str">
        <f t="shared" si="2"/>
        <v>Lapsed</v>
      </c>
      <c r="F648" s="24">
        <v>1.0</v>
      </c>
      <c r="G648" s="155">
        <v>44463.0</v>
      </c>
      <c r="H648" s="26">
        <f t="shared" si="44"/>
        <v>44561</v>
      </c>
      <c r="I648" s="75"/>
      <c r="J648" s="62" t="s">
        <v>2888</v>
      </c>
      <c r="K648" s="62" t="s">
        <v>866</v>
      </c>
      <c r="L648" s="63" t="s">
        <v>35</v>
      </c>
      <c r="M648" s="64">
        <v>80610.0</v>
      </c>
      <c r="N648" s="80" t="s">
        <v>2889</v>
      </c>
      <c r="O648" s="66" t="s">
        <v>2890</v>
      </c>
      <c r="P648" s="37"/>
      <c r="Q648" s="38"/>
      <c r="R648" s="22"/>
      <c r="S648" s="38"/>
      <c r="T648" s="38"/>
      <c r="U648" s="38"/>
      <c r="V648" s="59"/>
      <c r="W648" s="38"/>
      <c r="X648" s="38"/>
      <c r="Y648" s="36" t="str">
        <f t="shared" si="47"/>
        <v>renew</v>
      </c>
      <c r="Z648" s="75"/>
      <c r="AA648" s="75"/>
    </row>
    <row r="649">
      <c r="A649" s="87" t="s">
        <v>943</v>
      </c>
      <c r="B649" s="87" t="s">
        <v>433</v>
      </c>
      <c r="C649" s="75">
        <v>721.0</v>
      </c>
      <c r="D649" s="22" t="str">
        <f t="shared" si="1"/>
        <v>General</v>
      </c>
      <c r="E649" s="23" t="str">
        <f t="shared" si="2"/>
        <v>Lapsed</v>
      </c>
      <c r="F649" s="24">
        <v>1.0</v>
      </c>
      <c r="G649" s="25">
        <v>45771.0</v>
      </c>
      <c r="H649" s="26">
        <f t="shared" si="44"/>
        <v>46022</v>
      </c>
      <c r="I649" s="21"/>
      <c r="J649" s="62" t="s">
        <v>2891</v>
      </c>
      <c r="K649" s="62" t="s">
        <v>190</v>
      </c>
      <c r="L649" s="63" t="s">
        <v>35</v>
      </c>
      <c r="M649" s="64" t="s">
        <v>311</v>
      </c>
      <c r="N649" s="80" t="s">
        <v>2892</v>
      </c>
      <c r="O649" s="66" t="s">
        <v>2893</v>
      </c>
      <c r="P649" s="37"/>
      <c r="Q649" s="38"/>
      <c r="R649" s="22"/>
      <c r="S649" s="22">
        <v>1.0</v>
      </c>
      <c r="T649" s="22">
        <v>1.0</v>
      </c>
      <c r="U649" s="22"/>
      <c r="V649" s="59"/>
      <c r="W649" s="22" t="s">
        <v>800</v>
      </c>
      <c r="X649" s="38"/>
      <c r="Y649" s="36" t="str">
        <f t="shared" si="47"/>
        <v>renew</v>
      </c>
      <c r="Z649" s="21" t="s">
        <v>27</v>
      </c>
      <c r="AA649" s="75"/>
    </row>
    <row r="650">
      <c r="A650" s="87" t="s">
        <v>2894</v>
      </c>
      <c r="B650" s="87" t="s">
        <v>2895</v>
      </c>
      <c r="C650" s="75">
        <v>720.0</v>
      </c>
      <c r="D650" s="22" t="str">
        <f t="shared" si="1"/>
        <v>General</v>
      </c>
      <c r="E650" s="23" t="str">
        <f t="shared" si="2"/>
        <v>Lapsed</v>
      </c>
      <c r="F650" s="24">
        <v>1.0</v>
      </c>
      <c r="G650" s="155">
        <v>44463.0</v>
      </c>
      <c r="H650" s="26">
        <f t="shared" si="44"/>
        <v>44561</v>
      </c>
      <c r="I650" s="75"/>
      <c r="J650" s="62" t="s">
        <v>2896</v>
      </c>
      <c r="K650" s="62" t="s">
        <v>2897</v>
      </c>
      <c r="L650" s="63" t="s">
        <v>35</v>
      </c>
      <c r="M650" s="64" t="s">
        <v>2898</v>
      </c>
      <c r="N650" s="80" t="s">
        <v>2899</v>
      </c>
      <c r="O650" s="66" t="s">
        <v>2900</v>
      </c>
      <c r="P650" s="37"/>
      <c r="Q650" s="38"/>
      <c r="R650" s="22"/>
      <c r="S650" s="38"/>
      <c r="T650" s="38"/>
      <c r="U650" s="38"/>
      <c r="V650" s="59"/>
      <c r="W650" s="38"/>
      <c r="X650" s="38"/>
      <c r="Y650" s="36" t="str">
        <f t="shared" si="47"/>
        <v>renew</v>
      </c>
      <c r="Z650" s="75"/>
      <c r="AA650" s="75"/>
    </row>
    <row r="651">
      <c r="A651" s="87" t="s">
        <v>2901</v>
      </c>
      <c r="B651" s="87" t="s">
        <v>2902</v>
      </c>
      <c r="C651" s="75">
        <v>719.0</v>
      </c>
      <c r="D651" s="22" t="str">
        <f t="shared" si="1"/>
        <v>General</v>
      </c>
      <c r="E651" s="23" t="str">
        <f t="shared" si="2"/>
        <v>Lapsed</v>
      </c>
      <c r="F651" s="24">
        <v>1.0</v>
      </c>
      <c r="G651" s="155">
        <v>43799.0</v>
      </c>
      <c r="H651" s="26">
        <f t="shared" si="44"/>
        <v>43830</v>
      </c>
      <c r="I651" s="75"/>
      <c r="J651" s="62" t="s">
        <v>2903</v>
      </c>
      <c r="K651" s="62" t="s">
        <v>322</v>
      </c>
      <c r="L651" s="63" t="s">
        <v>35</v>
      </c>
      <c r="M651" s="64" t="s">
        <v>323</v>
      </c>
      <c r="N651" s="80" t="s">
        <v>2904</v>
      </c>
      <c r="O651" s="66" t="s">
        <v>2905</v>
      </c>
      <c r="P651" s="37"/>
      <c r="Q651" s="38"/>
      <c r="R651" s="22"/>
      <c r="S651" s="38"/>
      <c r="T651" s="38"/>
      <c r="U651" s="38"/>
      <c r="V651" s="59"/>
      <c r="W651" s="38"/>
      <c r="X651" s="38"/>
      <c r="Y651" s="36" t="str">
        <f t="shared" si="47"/>
        <v>renew</v>
      </c>
      <c r="Z651" s="75"/>
      <c r="AA651" s="75"/>
    </row>
    <row r="652">
      <c r="A652" s="87" t="s">
        <v>2724</v>
      </c>
      <c r="B652" s="87" t="s">
        <v>2906</v>
      </c>
      <c r="C652" s="75">
        <v>718.0</v>
      </c>
      <c r="D652" s="22" t="str">
        <f t="shared" si="1"/>
        <v>General</v>
      </c>
      <c r="E652" s="23" t="str">
        <f t="shared" si="2"/>
        <v>Lapsed</v>
      </c>
      <c r="F652" s="24">
        <v>1.0</v>
      </c>
      <c r="G652" s="25">
        <v>45771.0</v>
      </c>
      <c r="H652" s="26">
        <f t="shared" si="44"/>
        <v>46022</v>
      </c>
      <c r="I652" s="21"/>
      <c r="J652" s="62" t="s">
        <v>2907</v>
      </c>
      <c r="K652" s="62" t="s">
        <v>89</v>
      </c>
      <c r="L652" s="63" t="s">
        <v>35</v>
      </c>
      <c r="M652" s="64" t="s">
        <v>90</v>
      </c>
      <c r="N652" s="80" t="s">
        <v>2908</v>
      </c>
      <c r="O652" s="66" t="s">
        <v>2909</v>
      </c>
      <c r="P652" s="37"/>
      <c r="Q652" s="38"/>
      <c r="R652" s="22"/>
      <c r="S652" s="22">
        <v>1.0</v>
      </c>
      <c r="T652" s="22"/>
      <c r="U652" s="22">
        <v>2.0</v>
      </c>
      <c r="V652" s="106">
        <v>45063.0</v>
      </c>
      <c r="W652" s="38"/>
      <c r="X652" s="22" t="s">
        <v>800</v>
      </c>
      <c r="Y652" s="36" t="str">
        <f t="shared" si="47"/>
        <v>renew</v>
      </c>
      <c r="Z652" s="21" t="s">
        <v>27</v>
      </c>
      <c r="AA652" s="75"/>
    </row>
    <row r="653">
      <c r="A653" s="87" t="s">
        <v>797</v>
      </c>
      <c r="B653" s="87" t="s">
        <v>2910</v>
      </c>
      <c r="C653" s="75">
        <v>717.0</v>
      </c>
      <c r="D653" s="22" t="str">
        <f t="shared" si="1"/>
        <v>General</v>
      </c>
      <c r="E653" s="23" t="str">
        <f t="shared" si="2"/>
        <v>Lapsed</v>
      </c>
      <c r="F653" s="24">
        <v>1.0</v>
      </c>
      <c r="G653" s="25">
        <v>45771.0</v>
      </c>
      <c r="H653" s="26">
        <f t="shared" si="44"/>
        <v>46022</v>
      </c>
      <c r="I653" s="21"/>
      <c r="J653" s="62" t="s">
        <v>2911</v>
      </c>
      <c r="K653" s="62" t="s">
        <v>2761</v>
      </c>
      <c r="L653" s="63" t="s">
        <v>35</v>
      </c>
      <c r="M653" s="64" t="s">
        <v>2762</v>
      </c>
      <c r="N653" s="80" t="s">
        <v>2912</v>
      </c>
      <c r="O653" s="66" t="s">
        <v>2913</v>
      </c>
      <c r="P653" s="37"/>
      <c r="Q653" s="38"/>
      <c r="R653" s="22"/>
      <c r="S653" s="22">
        <v>1.0</v>
      </c>
      <c r="T653" s="38"/>
      <c r="U653" s="38"/>
      <c r="V653" s="59"/>
      <c r="W653" s="38"/>
      <c r="X653" s="38"/>
      <c r="Y653" s="36" t="str">
        <f t="shared" si="47"/>
        <v>renew</v>
      </c>
      <c r="Z653" s="21" t="s">
        <v>27</v>
      </c>
      <c r="AA653" s="75"/>
    </row>
    <row r="654">
      <c r="A654" s="87" t="s">
        <v>2110</v>
      </c>
      <c r="B654" s="87" t="s">
        <v>2914</v>
      </c>
      <c r="C654" s="75">
        <v>716.0</v>
      </c>
      <c r="D654" s="22" t="str">
        <f t="shared" si="1"/>
        <v>General</v>
      </c>
      <c r="E654" s="23" t="str">
        <f t="shared" si="2"/>
        <v>Lapsed</v>
      </c>
      <c r="F654" s="24">
        <v>1.0</v>
      </c>
      <c r="G654" s="155"/>
      <c r="H654" s="26"/>
      <c r="I654" s="75"/>
      <c r="J654" s="62" t="s">
        <v>2915</v>
      </c>
      <c r="K654" s="62" t="s">
        <v>2916</v>
      </c>
      <c r="L654" s="63" t="s">
        <v>892</v>
      </c>
      <c r="M654" s="64" t="s">
        <v>2917</v>
      </c>
      <c r="N654" s="80" t="s">
        <v>2918</v>
      </c>
      <c r="O654" s="66" t="s">
        <v>2919</v>
      </c>
      <c r="P654" s="37"/>
      <c r="Q654" s="38"/>
      <c r="R654" s="22"/>
      <c r="S654" s="38"/>
      <c r="T654" s="38"/>
      <c r="U654" s="38"/>
      <c r="V654" s="159"/>
      <c r="W654" s="38"/>
      <c r="X654" s="38"/>
      <c r="Y654" s="36" t="str">
        <f t="shared" si="47"/>
        <v>renew</v>
      </c>
      <c r="Z654" s="75"/>
      <c r="AA654" s="75"/>
    </row>
    <row r="655">
      <c r="A655" s="87" t="s">
        <v>2194</v>
      </c>
      <c r="B655" s="87" t="s">
        <v>2920</v>
      </c>
      <c r="C655" s="75">
        <v>715.0</v>
      </c>
      <c r="D655" s="22" t="str">
        <f t="shared" si="1"/>
        <v>General</v>
      </c>
      <c r="E655" s="23" t="str">
        <f t="shared" si="2"/>
        <v>Lapsed</v>
      </c>
      <c r="F655" s="24">
        <v>1.0</v>
      </c>
      <c r="G655" s="155">
        <v>43774.0</v>
      </c>
      <c r="H655" s="26">
        <f>DATE(YEAR(G655)+F655-1, 12, 31)</f>
        <v>43830</v>
      </c>
      <c r="I655" s="75"/>
      <c r="J655" s="62" t="s">
        <v>2921</v>
      </c>
      <c r="K655" s="62" t="s">
        <v>89</v>
      </c>
      <c r="L655" s="63" t="s">
        <v>35</v>
      </c>
      <c r="M655" s="64" t="s">
        <v>90</v>
      </c>
      <c r="N655" s="80" t="s">
        <v>2922</v>
      </c>
      <c r="O655" s="66" t="s">
        <v>2923</v>
      </c>
      <c r="P655" s="37"/>
      <c r="Q655" s="38"/>
      <c r="R655" s="22"/>
      <c r="S655" s="38"/>
      <c r="T655" s="38"/>
      <c r="U655" s="38"/>
      <c r="V655" s="59"/>
      <c r="W655" s="38"/>
      <c r="X655" s="38"/>
      <c r="Y655" s="36" t="str">
        <f t="shared" si="47"/>
        <v>renew</v>
      </c>
      <c r="Z655" s="75"/>
      <c r="AA655" s="75"/>
    </row>
    <row r="656">
      <c r="A656" s="87" t="s">
        <v>1450</v>
      </c>
      <c r="B656" s="87" t="s">
        <v>47</v>
      </c>
      <c r="C656" s="75">
        <v>713.0</v>
      </c>
      <c r="D656" s="22" t="str">
        <f t="shared" si="1"/>
        <v>General</v>
      </c>
      <c r="E656" s="23" t="str">
        <f t="shared" si="2"/>
        <v>Lapsed</v>
      </c>
      <c r="F656" s="24">
        <v>1.0</v>
      </c>
      <c r="G656" s="155"/>
      <c r="H656" s="26"/>
      <c r="I656" s="75"/>
      <c r="J656" s="62" t="s">
        <v>2924</v>
      </c>
      <c r="K656" s="62" t="s">
        <v>231</v>
      </c>
      <c r="L656" s="63" t="s">
        <v>35</v>
      </c>
      <c r="M656" s="64" t="s">
        <v>2925</v>
      </c>
      <c r="N656" s="80" t="s">
        <v>2926</v>
      </c>
      <c r="O656" s="66" t="s">
        <v>2927</v>
      </c>
      <c r="P656" s="37"/>
      <c r="Q656" s="38"/>
      <c r="R656" s="22"/>
      <c r="S656" s="38"/>
      <c r="T656" s="38"/>
      <c r="U656" s="38"/>
      <c r="V656" s="159"/>
      <c r="W656" s="38"/>
      <c r="X656" s="38"/>
      <c r="Y656" s="36" t="str">
        <f t="shared" si="47"/>
        <v>renew</v>
      </c>
      <c r="Z656" s="75"/>
      <c r="AA656" s="75"/>
    </row>
    <row r="657">
      <c r="A657" s="87" t="s">
        <v>2928</v>
      </c>
      <c r="B657" s="87" t="s">
        <v>2929</v>
      </c>
      <c r="C657" s="75">
        <v>712.0</v>
      </c>
      <c r="D657" s="22" t="str">
        <f t="shared" si="1"/>
        <v>General</v>
      </c>
      <c r="E657" s="23" t="str">
        <f t="shared" si="2"/>
        <v>Lapsed</v>
      </c>
      <c r="F657" s="24">
        <v>1.0</v>
      </c>
      <c r="G657" s="155"/>
      <c r="H657" s="26"/>
      <c r="I657" s="75"/>
      <c r="J657" s="62" t="s">
        <v>2930</v>
      </c>
      <c r="K657" s="62" t="s">
        <v>42</v>
      </c>
      <c r="L657" s="63" t="s">
        <v>35</v>
      </c>
      <c r="M657" s="64" t="s">
        <v>239</v>
      </c>
      <c r="N657" s="80" t="s">
        <v>1560</v>
      </c>
      <c r="O657" s="66" t="s">
        <v>1561</v>
      </c>
      <c r="P657" s="37"/>
      <c r="Q657" s="38"/>
      <c r="R657" s="22"/>
      <c r="S657" s="38"/>
      <c r="T657" s="38"/>
      <c r="U657" s="38"/>
      <c r="V657" s="159"/>
      <c r="W657" s="38"/>
      <c r="X657" s="38"/>
      <c r="Y657" s="36" t="str">
        <f t="shared" si="47"/>
        <v>renew</v>
      </c>
      <c r="Z657" s="75"/>
      <c r="AA657" s="75"/>
    </row>
    <row r="658">
      <c r="A658" s="87" t="s">
        <v>2931</v>
      </c>
      <c r="B658" s="87" t="s">
        <v>562</v>
      </c>
      <c r="C658" s="75">
        <v>711.0</v>
      </c>
      <c r="D658" s="22" t="str">
        <f t="shared" si="1"/>
        <v>General</v>
      </c>
      <c r="E658" s="23" t="str">
        <f t="shared" si="2"/>
        <v>Lapsed</v>
      </c>
      <c r="F658" s="108">
        <v>3.0</v>
      </c>
      <c r="G658" s="25">
        <v>45042.0</v>
      </c>
      <c r="H658" s="26">
        <f t="shared" ref="H658:H663" si="48">DATE(YEAR(G658)+F658-1, 12, 31)</f>
        <v>46022</v>
      </c>
      <c r="I658" s="27"/>
      <c r="J658" s="62" t="s">
        <v>2932</v>
      </c>
      <c r="K658" s="62" t="s">
        <v>647</v>
      </c>
      <c r="L658" s="63" t="s">
        <v>35</v>
      </c>
      <c r="M658" s="64" t="s">
        <v>1062</v>
      </c>
      <c r="N658" s="80" t="s">
        <v>2933</v>
      </c>
      <c r="O658" s="66" t="s">
        <v>2934</v>
      </c>
      <c r="P658" s="37"/>
      <c r="Q658" s="38"/>
      <c r="R658" s="22"/>
      <c r="S658" s="22">
        <v>1.0</v>
      </c>
      <c r="T658" s="22">
        <v>1.0</v>
      </c>
      <c r="U658" s="22">
        <v>1.0</v>
      </c>
      <c r="V658" s="169">
        <v>45042.0</v>
      </c>
      <c r="W658" s="38"/>
      <c r="X658" s="22" t="s">
        <v>800</v>
      </c>
      <c r="Y658" s="36" t="str">
        <f t="shared" si="47"/>
        <v>renew</v>
      </c>
      <c r="Z658" s="21" t="s">
        <v>27</v>
      </c>
      <c r="AA658" s="75"/>
    </row>
    <row r="659">
      <c r="A659" s="87" t="s">
        <v>2160</v>
      </c>
      <c r="B659" s="87" t="s">
        <v>2935</v>
      </c>
      <c r="C659" s="75">
        <v>710.0</v>
      </c>
      <c r="D659" s="22" t="str">
        <f t="shared" si="1"/>
        <v>General</v>
      </c>
      <c r="E659" s="23" t="str">
        <f t="shared" si="2"/>
        <v>Lapsed</v>
      </c>
      <c r="F659" s="24">
        <v>1.0</v>
      </c>
      <c r="G659" s="155">
        <v>43682.0</v>
      </c>
      <c r="H659" s="26">
        <f t="shared" si="48"/>
        <v>43830</v>
      </c>
      <c r="I659" s="75"/>
      <c r="J659" s="62" t="s">
        <v>2936</v>
      </c>
      <c r="K659" s="62" t="s">
        <v>157</v>
      </c>
      <c r="L659" s="63" t="s">
        <v>35</v>
      </c>
      <c r="M659" s="64" t="s">
        <v>158</v>
      </c>
      <c r="N659" s="80" t="s">
        <v>2937</v>
      </c>
      <c r="O659" s="66"/>
      <c r="P659" s="38"/>
      <c r="Q659" s="38"/>
      <c r="R659" s="22"/>
      <c r="S659" s="38"/>
      <c r="T659" s="38"/>
      <c r="U659" s="38"/>
      <c r="V659" s="59"/>
      <c r="W659" s="38"/>
      <c r="X659" s="38"/>
      <c r="Y659" s="36" t="str">
        <f t="shared" si="47"/>
        <v>renew</v>
      </c>
      <c r="Z659" s="75"/>
      <c r="AA659" s="75"/>
    </row>
    <row r="660">
      <c r="A660" s="87" t="s">
        <v>2938</v>
      </c>
      <c r="B660" s="87" t="s">
        <v>2939</v>
      </c>
      <c r="C660" s="75">
        <v>708.0</v>
      </c>
      <c r="D660" s="22" t="str">
        <f t="shared" si="1"/>
        <v>General</v>
      </c>
      <c r="E660" s="23" t="str">
        <f t="shared" si="2"/>
        <v>Lapsed</v>
      </c>
      <c r="F660" s="24">
        <v>1.0</v>
      </c>
      <c r="G660" s="25">
        <v>45817.0</v>
      </c>
      <c r="H660" s="26">
        <f t="shared" si="48"/>
        <v>46022</v>
      </c>
      <c r="I660" s="75"/>
      <c r="J660" s="62" t="s">
        <v>2940</v>
      </c>
      <c r="K660" s="62" t="s">
        <v>761</v>
      </c>
      <c r="L660" s="63" t="s">
        <v>35</v>
      </c>
      <c r="M660" s="64">
        <v>80401.0</v>
      </c>
      <c r="N660" s="80" t="s">
        <v>2941</v>
      </c>
      <c r="O660" s="66" t="s">
        <v>2942</v>
      </c>
      <c r="P660" s="37"/>
      <c r="Q660" s="38"/>
      <c r="R660" s="22"/>
      <c r="S660" s="22">
        <v>2.0</v>
      </c>
      <c r="T660" s="38"/>
      <c r="U660" s="38"/>
      <c r="V660" s="59"/>
      <c r="W660" s="38"/>
      <c r="X660" s="38"/>
      <c r="Y660" s="36" t="str">
        <f t="shared" si="47"/>
        <v>renew</v>
      </c>
      <c r="Z660" s="75"/>
      <c r="AA660" s="75"/>
    </row>
    <row r="661">
      <c r="A661" s="87" t="s">
        <v>2943</v>
      </c>
      <c r="B661" s="87" t="s">
        <v>1482</v>
      </c>
      <c r="C661" s="75">
        <v>705.0</v>
      </c>
      <c r="D661" s="22" t="str">
        <f t="shared" si="1"/>
        <v>General</v>
      </c>
      <c r="E661" s="23" t="str">
        <f t="shared" si="2"/>
        <v>Lapsed</v>
      </c>
      <c r="F661" s="108">
        <v>3.0</v>
      </c>
      <c r="G661" s="25">
        <v>45065.0</v>
      </c>
      <c r="H661" s="26">
        <f t="shared" si="48"/>
        <v>46022</v>
      </c>
      <c r="I661" s="21"/>
      <c r="J661" s="62" t="s">
        <v>2944</v>
      </c>
      <c r="K661" s="62" t="s">
        <v>2945</v>
      </c>
      <c r="L661" s="63" t="s">
        <v>35</v>
      </c>
      <c r="M661" s="64">
        <v>81631.0</v>
      </c>
      <c r="N661" s="80" t="s">
        <v>2946</v>
      </c>
      <c r="O661" s="66" t="s">
        <v>2947</v>
      </c>
      <c r="P661" s="37"/>
      <c r="Q661" s="38"/>
      <c r="R661" s="22"/>
      <c r="S661" s="22">
        <v>1.0</v>
      </c>
      <c r="T661" s="22">
        <v>1.0</v>
      </c>
      <c r="U661" s="22">
        <v>2.0</v>
      </c>
      <c r="V661" s="116">
        <v>45065.0</v>
      </c>
      <c r="W661" s="38"/>
      <c r="X661" s="22" t="s">
        <v>800</v>
      </c>
      <c r="Y661" s="36" t="str">
        <f t="shared" si="47"/>
        <v>renew</v>
      </c>
      <c r="Z661" s="21" t="s">
        <v>27</v>
      </c>
      <c r="AA661" s="75"/>
    </row>
    <row r="662">
      <c r="A662" s="87" t="s">
        <v>1570</v>
      </c>
      <c r="B662" s="87" t="s">
        <v>2948</v>
      </c>
      <c r="C662" s="75">
        <v>704.0</v>
      </c>
      <c r="D662" s="22" t="str">
        <f t="shared" si="1"/>
        <v>General</v>
      </c>
      <c r="E662" s="23" t="str">
        <f t="shared" si="2"/>
        <v>Lapsed</v>
      </c>
      <c r="F662" s="24">
        <v>1.0</v>
      </c>
      <c r="G662" s="155">
        <v>43732.0</v>
      </c>
      <c r="H662" s="26">
        <f t="shared" si="48"/>
        <v>43830</v>
      </c>
      <c r="I662" s="75"/>
      <c r="J662" s="62" t="s">
        <v>380</v>
      </c>
      <c r="K662" s="62" t="s">
        <v>380</v>
      </c>
      <c r="L662" s="63" t="s">
        <v>380</v>
      </c>
      <c r="M662" s="64" t="s">
        <v>380</v>
      </c>
      <c r="N662" s="80" t="s">
        <v>2949</v>
      </c>
      <c r="O662" s="66"/>
      <c r="P662" s="37"/>
      <c r="Q662" s="38"/>
      <c r="R662" s="22"/>
      <c r="S662" s="38"/>
      <c r="T662" s="38"/>
      <c r="U662" s="38"/>
      <c r="V662" s="59"/>
      <c r="W662" s="38"/>
      <c r="X662" s="38"/>
      <c r="Y662" s="36" t="str">
        <f t="shared" si="47"/>
        <v>renew</v>
      </c>
      <c r="Z662" s="75"/>
      <c r="AA662" s="75"/>
    </row>
    <row r="663">
      <c r="A663" s="87" t="s">
        <v>2950</v>
      </c>
      <c r="B663" s="87" t="s">
        <v>2951</v>
      </c>
      <c r="C663" s="75">
        <v>703.0</v>
      </c>
      <c r="D663" s="22" t="str">
        <f t="shared" si="1"/>
        <v>General</v>
      </c>
      <c r="E663" s="23" t="str">
        <f t="shared" si="2"/>
        <v>Lapsed</v>
      </c>
      <c r="F663" s="24">
        <v>1.0</v>
      </c>
      <c r="G663" s="25">
        <v>44427.0</v>
      </c>
      <c r="H663" s="26">
        <f t="shared" si="48"/>
        <v>44561</v>
      </c>
      <c r="I663" s="75"/>
      <c r="J663" s="62" t="s">
        <v>2952</v>
      </c>
      <c r="K663" s="62" t="s">
        <v>429</v>
      </c>
      <c r="L663" s="63" t="s">
        <v>35</v>
      </c>
      <c r="M663" s="64" t="s">
        <v>430</v>
      </c>
      <c r="N663" s="80" t="s">
        <v>2953</v>
      </c>
      <c r="O663" s="66" t="s">
        <v>2954</v>
      </c>
      <c r="P663" s="37"/>
      <c r="Q663" s="38"/>
      <c r="R663" s="22"/>
      <c r="S663" s="38"/>
      <c r="T663" s="38"/>
      <c r="U663" s="38"/>
      <c r="V663" s="59"/>
      <c r="W663" s="38"/>
      <c r="X663" s="38"/>
      <c r="Y663" s="36" t="str">
        <f t="shared" si="47"/>
        <v>renew</v>
      </c>
      <c r="Z663" s="75"/>
      <c r="AA663" s="75"/>
    </row>
    <row r="664">
      <c r="A664" s="87" t="s">
        <v>1425</v>
      </c>
      <c r="B664" s="87" t="s">
        <v>2955</v>
      </c>
      <c r="C664" s="75">
        <v>702.0</v>
      </c>
      <c r="D664" s="22" t="str">
        <f t="shared" si="1"/>
        <v>General</v>
      </c>
      <c r="E664" s="23" t="str">
        <f t="shared" si="2"/>
        <v>Lapsed</v>
      </c>
      <c r="F664" s="24">
        <v>1.0</v>
      </c>
      <c r="G664" s="155"/>
      <c r="H664" s="26"/>
      <c r="I664" s="75"/>
      <c r="J664" s="62" t="s">
        <v>2956</v>
      </c>
      <c r="K664" s="62" t="s">
        <v>190</v>
      </c>
      <c r="L664" s="63" t="s">
        <v>35</v>
      </c>
      <c r="M664" s="64" t="s">
        <v>311</v>
      </c>
      <c r="N664" s="80" t="s">
        <v>2957</v>
      </c>
      <c r="O664" s="66" t="s">
        <v>2958</v>
      </c>
      <c r="P664" s="37"/>
      <c r="Q664" s="38"/>
      <c r="R664" s="22"/>
      <c r="S664" s="38"/>
      <c r="T664" s="38"/>
      <c r="U664" s="38"/>
      <c r="V664" s="159"/>
      <c r="W664" s="38"/>
      <c r="X664" s="38"/>
      <c r="Y664" s="36" t="str">
        <f t="shared" si="47"/>
        <v>renew</v>
      </c>
      <c r="Z664" s="75"/>
      <c r="AA664" s="75"/>
    </row>
    <row r="665">
      <c r="A665" s="87" t="s">
        <v>2959</v>
      </c>
      <c r="B665" s="87" t="s">
        <v>2960</v>
      </c>
      <c r="C665" s="75">
        <v>701.0</v>
      </c>
      <c r="D665" s="22" t="str">
        <f t="shared" si="1"/>
        <v>General</v>
      </c>
      <c r="E665" s="23" t="str">
        <f t="shared" si="2"/>
        <v>Lapsed</v>
      </c>
      <c r="F665" s="24">
        <v>1.0</v>
      </c>
      <c r="G665" s="155">
        <v>44047.0</v>
      </c>
      <c r="H665" s="26">
        <f t="shared" ref="H665:H666" si="49">DATE(YEAR(G665)+F665-1, 12, 31)</f>
        <v>44196</v>
      </c>
      <c r="I665" s="75"/>
      <c r="J665" s="62" t="s">
        <v>2961</v>
      </c>
      <c r="K665" s="62" t="s">
        <v>42</v>
      </c>
      <c r="L665" s="63" t="s">
        <v>35</v>
      </c>
      <c r="M665" s="64" t="s">
        <v>99</v>
      </c>
      <c r="N665" s="80" t="s">
        <v>2962</v>
      </c>
      <c r="O665" s="66" t="s">
        <v>2963</v>
      </c>
      <c r="P665" s="37"/>
      <c r="Q665" s="38"/>
      <c r="R665" s="22"/>
      <c r="S665" s="38"/>
      <c r="T665" s="38"/>
      <c r="U665" s="38"/>
      <c r="V665" s="59"/>
      <c r="W665" s="38"/>
      <c r="X665" s="38"/>
      <c r="Y665" s="36" t="str">
        <f t="shared" si="47"/>
        <v>renew</v>
      </c>
      <c r="Z665" s="75"/>
      <c r="AA665" s="75"/>
    </row>
    <row r="666">
      <c r="A666" s="87" t="s">
        <v>358</v>
      </c>
      <c r="B666" s="87" t="s">
        <v>2964</v>
      </c>
      <c r="C666" s="75">
        <v>654.0</v>
      </c>
      <c r="D666" s="22" t="str">
        <f t="shared" si="1"/>
        <v>General</v>
      </c>
      <c r="E666" s="23" t="str">
        <f t="shared" si="2"/>
        <v>Lapsed</v>
      </c>
      <c r="F666" s="24">
        <v>1.0</v>
      </c>
      <c r="G666" s="25">
        <v>45044.0</v>
      </c>
      <c r="H666" s="26">
        <f t="shared" si="49"/>
        <v>45291</v>
      </c>
      <c r="I666" s="75"/>
      <c r="J666" s="62" t="s">
        <v>2965</v>
      </c>
      <c r="K666" s="62" t="s">
        <v>1558</v>
      </c>
      <c r="L666" s="63" t="s">
        <v>35</v>
      </c>
      <c r="M666" s="64" t="s">
        <v>1559</v>
      </c>
      <c r="N666" s="156" t="s">
        <v>2966</v>
      </c>
      <c r="O666" s="66" t="s">
        <v>2967</v>
      </c>
      <c r="P666" s="37"/>
      <c r="Q666" s="38"/>
      <c r="R666" s="22"/>
      <c r="S666" s="22"/>
      <c r="T666" s="22"/>
      <c r="U666" s="22">
        <v>1.0</v>
      </c>
      <c r="V666" s="170">
        <v>45044.0</v>
      </c>
      <c r="W666" s="22" t="s">
        <v>800</v>
      </c>
      <c r="X666" s="22" t="s">
        <v>800</v>
      </c>
      <c r="Y666" s="36" t="str">
        <f t="shared" si="47"/>
        <v>renew</v>
      </c>
      <c r="Z666" s="75"/>
      <c r="AA666" s="75"/>
    </row>
    <row r="667">
      <c r="A667" s="87" t="s">
        <v>2968</v>
      </c>
      <c r="B667" s="87" t="s">
        <v>2969</v>
      </c>
      <c r="C667" s="75">
        <v>652.0</v>
      </c>
      <c r="D667" s="22" t="str">
        <f t="shared" si="1"/>
        <v>General</v>
      </c>
      <c r="E667" s="23" t="str">
        <f t="shared" si="2"/>
        <v>Lapsed</v>
      </c>
      <c r="F667" s="24">
        <v>1.0</v>
      </c>
      <c r="G667" s="155"/>
      <c r="H667" s="26"/>
      <c r="I667" s="75"/>
      <c r="J667" s="62" t="s">
        <v>2970</v>
      </c>
      <c r="K667" s="62" t="s">
        <v>42</v>
      </c>
      <c r="L667" s="63" t="s">
        <v>35</v>
      </c>
      <c r="M667" s="64" t="s">
        <v>239</v>
      </c>
      <c r="N667" s="80" t="s">
        <v>2971</v>
      </c>
      <c r="O667" s="66" t="s">
        <v>2972</v>
      </c>
      <c r="P667" s="37"/>
      <c r="Q667" s="38"/>
      <c r="R667" s="22"/>
      <c r="S667" s="38"/>
      <c r="T667" s="38"/>
      <c r="U667" s="38"/>
      <c r="V667" s="159"/>
      <c r="W667" s="38"/>
      <c r="X667" s="38"/>
      <c r="Y667" s="36" t="str">
        <f t="shared" si="47"/>
        <v>renew</v>
      </c>
      <c r="Z667" s="75"/>
      <c r="AA667" s="75"/>
    </row>
    <row r="668">
      <c r="A668" s="87" t="s">
        <v>2973</v>
      </c>
      <c r="B668" s="87" t="s">
        <v>2974</v>
      </c>
      <c r="C668" s="75">
        <v>651.0</v>
      </c>
      <c r="D668" s="22" t="str">
        <f t="shared" si="1"/>
        <v>General</v>
      </c>
      <c r="E668" s="23" t="str">
        <f t="shared" si="2"/>
        <v>Lapsed</v>
      </c>
      <c r="F668" s="24">
        <v>1.0</v>
      </c>
      <c r="G668" s="155">
        <v>44157.0</v>
      </c>
      <c r="H668" s="26">
        <f t="shared" ref="H668:H669" si="50">DATE(YEAR(G668)+F668-1, 12, 31)</f>
        <v>44196</v>
      </c>
      <c r="I668" s="75"/>
      <c r="J668" s="62" t="s">
        <v>2975</v>
      </c>
      <c r="K668" s="62" t="s">
        <v>898</v>
      </c>
      <c r="L668" s="63" t="s">
        <v>35</v>
      </c>
      <c r="M668" s="64" t="s">
        <v>899</v>
      </c>
      <c r="N668" s="80" t="s">
        <v>2976</v>
      </c>
      <c r="O668" s="66" t="s">
        <v>2977</v>
      </c>
      <c r="P668" s="37"/>
      <c r="Q668" s="38"/>
      <c r="R668" s="22"/>
      <c r="S668" s="38"/>
      <c r="T668" s="38"/>
      <c r="U668" s="38"/>
      <c r="V668" s="59"/>
      <c r="W668" s="38"/>
      <c r="X668" s="38"/>
      <c r="Y668" s="36" t="s">
        <v>45</v>
      </c>
      <c r="Z668" s="75"/>
      <c r="AA668" s="75"/>
    </row>
    <row r="669">
      <c r="A669" s="87" t="s">
        <v>2978</v>
      </c>
      <c r="B669" s="87" t="s">
        <v>1774</v>
      </c>
      <c r="C669" s="75">
        <v>651.0</v>
      </c>
      <c r="D669" s="22" t="str">
        <f t="shared" si="1"/>
        <v>General</v>
      </c>
      <c r="E669" s="23" t="str">
        <f t="shared" si="2"/>
        <v>Active</v>
      </c>
      <c r="F669" s="24">
        <v>3.0</v>
      </c>
      <c r="G669" s="25">
        <v>45733.0</v>
      </c>
      <c r="H669" s="26">
        <f t="shared" si="50"/>
        <v>46752</v>
      </c>
      <c r="I669" s="21" t="s">
        <v>8</v>
      </c>
      <c r="J669" s="29" t="s">
        <v>2979</v>
      </c>
      <c r="K669" s="29" t="s">
        <v>190</v>
      </c>
      <c r="L669" s="63" t="s">
        <v>35</v>
      </c>
      <c r="M669" s="42" t="s">
        <v>191</v>
      </c>
      <c r="N669" s="80" t="s">
        <v>444</v>
      </c>
      <c r="O669" s="66" t="s">
        <v>2980</v>
      </c>
      <c r="P669" s="37"/>
      <c r="Q669" s="38"/>
      <c r="R669" s="22"/>
      <c r="S669" s="22">
        <v>1.0</v>
      </c>
      <c r="T669" s="38"/>
      <c r="U669" s="38"/>
      <c r="V669" s="159"/>
      <c r="W669" s="38"/>
      <c r="X669" s="38"/>
      <c r="Y669" s="36" t="s">
        <v>38</v>
      </c>
      <c r="Z669" s="21" t="s">
        <v>8</v>
      </c>
      <c r="AA669" s="75"/>
    </row>
    <row r="670">
      <c r="A670" s="87" t="s">
        <v>2981</v>
      </c>
      <c r="B670" s="87" t="s">
        <v>2982</v>
      </c>
      <c r="C670" s="75">
        <v>650.0</v>
      </c>
      <c r="D670" s="22" t="str">
        <f t="shared" si="1"/>
        <v>General</v>
      </c>
      <c r="E670" s="23" t="str">
        <f t="shared" si="2"/>
        <v>Lapsed</v>
      </c>
      <c r="F670" s="24">
        <v>1.0</v>
      </c>
      <c r="G670" s="155"/>
      <c r="H670" s="26"/>
      <c r="I670" s="75"/>
      <c r="J670" s="62" t="s">
        <v>2983</v>
      </c>
      <c r="K670" s="62" t="s">
        <v>2984</v>
      </c>
      <c r="L670" s="63" t="s">
        <v>244</v>
      </c>
      <c r="M670" s="64" t="s">
        <v>2985</v>
      </c>
      <c r="N670" s="80" t="s">
        <v>2986</v>
      </c>
      <c r="O670" s="66" t="s">
        <v>2987</v>
      </c>
      <c r="P670" s="37"/>
      <c r="Q670" s="38"/>
      <c r="R670" s="22"/>
      <c r="S670" s="38"/>
      <c r="T670" s="38"/>
      <c r="U670" s="38"/>
      <c r="V670" s="159"/>
      <c r="W670" s="38"/>
      <c r="X670" s="38"/>
      <c r="Y670" s="36" t="str">
        <f t="shared" ref="Y670:Y724" si="51">if(E670="Active","send","renew")</f>
        <v>renew</v>
      </c>
      <c r="Z670" s="75"/>
      <c r="AA670" s="75"/>
    </row>
    <row r="671">
      <c r="A671" s="87" t="s">
        <v>2988</v>
      </c>
      <c r="B671" s="87" t="s">
        <v>2989</v>
      </c>
      <c r="C671" s="75">
        <v>648.0</v>
      </c>
      <c r="D671" s="22" t="str">
        <f t="shared" si="1"/>
        <v>General</v>
      </c>
      <c r="E671" s="23" t="str">
        <f t="shared" si="2"/>
        <v>Lapsed</v>
      </c>
      <c r="F671" s="24">
        <v>1.0</v>
      </c>
      <c r="G671" s="155">
        <v>43527.0</v>
      </c>
      <c r="H671" s="26">
        <f t="shared" ref="H671:H676" si="52">DATE(YEAR(G671)+F671-1, 12, 31)</f>
        <v>43830</v>
      </c>
      <c r="I671" s="75"/>
      <c r="J671" s="62" t="s">
        <v>2990</v>
      </c>
      <c r="K671" s="62" t="s">
        <v>2991</v>
      </c>
      <c r="L671" s="63" t="s">
        <v>57</v>
      </c>
      <c r="M671" s="64" t="s">
        <v>2992</v>
      </c>
      <c r="N671" s="80" t="s">
        <v>2993</v>
      </c>
      <c r="O671" s="66" t="s">
        <v>2994</v>
      </c>
      <c r="P671" s="38"/>
      <c r="Q671" s="38"/>
      <c r="R671" s="22"/>
      <c r="S671" s="38"/>
      <c r="T671" s="38"/>
      <c r="U671" s="38"/>
      <c r="V671" s="59"/>
      <c r="W671" s="38"/>
      <c r="X671" s="38"/>
      <c r="Y671" s="36" t="str">
        <f t="shared" si="51"/>
        <v>renew</v>
      </c>
      <c r="Z671" s="75"/>
      <c r="AA671" s="75"/>
    </row>
    <row r="672">
      <c r="A672" s="87" t="s">
        <v>2308</v>
      </c>
      <c r="B672" s="87" t="s">
        <v>2232</v>
      </c>
      <c r="C672" s="75">
        <v>647.0</v>
      </c>
      <c r="D672" s="22" t="str">
        <f t="shared" si="1"/>
        <v>General</v>
      </c>
      <c r="E672" s="23" t="str">
        <f t="shared" si="2"/>
        <v>Lapsed</v>
      </c>
      <c r="F672" s="24">
        <v>1.0</v>
      </c>
      <c r="G672" s="155">
        <v>44463.0</v>
      </c>
      <c r="H672" s="26">
        <f t="shared" si="52"/>
        <v>44561</v>
      </c>
      <c r="I672" s="75"/>
      <c r="J672" s="62" t="s">
        <v>2233</v>
      </c>
      <c r="K672" s="62" t="s">
        <v>56</v>
      </c>
      <c r="L672" s="63" t="s">
        <v>57</v>
      </c>
      <c r="M672" s="64" t="s">
        <v>63</v>
      </c>
      <c r="N672" s="80" t="s">
        <v>2995</v>
      </c>
      <c r="O672" s="66" t="s">
        <v>2996</v>
      </c>
      <c r="P672" s="37"/>
      <c r="Q672" s="38"/>
      <c r="R672" s="22"/>
      <c r="S672" s="38"/>
      <c r="T672" s="38"/>
      <c r="U672" s="38"/>
      <c r="V672" s="59"/>
      <c r="W672" s="38"/>
      <c r="X672" s="38"/>
      <c r="Y672" s="36" t="str">
        <f t="shared" si="51"/>
        <v>renew</v>
      </c>
      <c r="Z672" s="75"/>
      <c r="AA672" s="75"/>
    </row>
    <row r="673">
      <c r="A673" s="87" t="s">
        <v>2997</v>
      </c>
      <c r="B673" s="87" t="s">
        <v>2998</v>
      </c>
      <c r="C673" s="75">
        <v>646.0</v>
      </c>
      <c r="D673" s="22" t="str">
        <f t="shared" si="1"/>
        <v>General</v>
      </c>
      <c r="E673" s="23" t="str">
        <f t="shared" si="2"/>
        <v>Lapsed</v>
      </c>
      <c r="F673" s="24">
        <v>1.0</v>
      </c>
      <c r="G673" s="155">
        <v>43527.0</v>
      </c>
      <c r="H673" s="26">
        <f t="shared" si="52"/>
        <v>43830</v>
      </c>
      <c r="I673" s="75"/>
      <c r="J673" s="62" t="s">
        <v>2999</v>
      </c>
      <c r="K673" s="62" t="s">
        <v>56</v>
      </c>
      <c r="L673" s="63" t="s">
        <v>57</v>
      </c>
      <c r="M673" s="64" t="s">
        <v>63</v>
      </c>
      <c r="N673" s="80" t="s">
        <v>3000</v>
      </c>
      <c r="O673" s="66" t="s">
        <v>3001</v>
      </c>
      <c r="P673" s="38"/>
      <c r="Q673" s="38"/>
      <c r="R673" s="22"/>
      <c r="S673" s="38"/>
      <c r="T673" s="38"/>
      <c r="U673" s="38"/>
      <c r="V673" s="59"/>
      <c r="W673" s="38"/>
      <c r="X673" s="38"/>
      <c r="Y673" s="36" t="str">
        <f t="shared" si="51"/>
        <v>renew</v>
      </c>
      <c r="Z673" s="75"/>
      <c r="AA673" s="75"/>
    </row>
    <row r="674">
      <c r="A674" s="87" t="s">
        <v>3002</v>
      </c>
      <c r="B674" s="87" t="s">
        <v>3003</v>
      </c>
      <c r="C674" s="75">
        <v>645.0</v>
      </c>
      <c r="D674" s="22" t="str">
        <f t="shared" si="1"/>
        <v>General</v>
      </c>
      <c r="E674" s="23" t="str">
        <f t="shared" si="2"/>
        <v>Lapsed</v>
      </c>
      <c r="F674" s="24">
        <v>1.0</v>
      </c>
      <c r="G674" s="155">
        <v>43527.0</v>
      </c>
      <c r="H674" s="26">
        <f t="shared" si="52"/>
        <v>43830</v>
      </c>
      <c r="I674" s="75"/>
      <c r="J674" s="62" t="s">
        <v>3004</v>
      </c>
      <c r="K674" s="62" t="s">
        <v>82</v>
      </c>
      <c r="L674" s="63" t="s">
        <v>57</v>
      </c>
      <c r="M674" s="64" t="s">
        <v>83</v>
      </c>
      <c r="N674" s="148" t="s">
        <v>3005</v>
      </c>
      <c r="O674" s="66" t="s">
        <v>3006</v>
      </c>
      <c r="P674" s="38"/>
      <c r="Q674" s="38"/>
      <c r="R674" s="22"/>
      <c r="S674" s="38"/>
      <c r="T674" s="38"/>
      <c r="U674" s="38"/>
      <c r="V674" s="59"/>
      <c r="W674" s="38"/>
      <c r="X674" s="38"/>
      <c r="Y674" s="36" t="str">
        <f t="shared" si="51"/>
        <v>renew</v>
      </c>
      <c r="Z674" s="75"/>
      <c r="AA674" s="75"/>
    </row>
    <row r="675">
      <c r="A675" s="87" t="s">
        <v>3007</v>
      </c>
      <c r="B675" s="87" t="s">
        <v>2009</v>
      </c>
      <c r="C675" s="75">
        <v>644.0</v>
      </c>
      <c r="D675" s="22" t="str">
        <f t="shared" si="1"/>
        <v>General</v>
      </c>
      <c r="E675" s="23" t="str">
        <f t="shared" si="2"/>
        <v>Lapsed</v>
      </c>
      <c r="F675" s="24">
        <v>1.0</v>
      </c>
      <c r="G675" s="25">
        <v>45451.0</v>
      </c>
      <c r="H675" s="26">
        <f t="shared" si="52"/>
        <v>45657</v>
      </c>
      <c r="I675" s="21"/>
      <c r="J675" s="62" t="s">
        <v>3008</v>
      </c>
      <c r="K675" s="62" t="s">
        <v>898</v>
      </c>
      <c r="L675" s="63" t="s">
        <v>35</v>
      </c>
      <c r="M675" s="64" t="s">
        <v>1179</v>
      </c>
      <c r="N675" s="80" t="s">
        <v>3009</v>
      </c>
      <c r="O675" s="66" t="s">
        <v>3010</v>
      </c>
      <c r="P675" s="37"/>
      <c r="Q675" s="38"/>
      <c r="R675" s="22"/>
      <c r="S675" s="22"/>
      <c r="T675" s="22">
        <v>1.0</v>
      </c>
      <c r="U675" s="38"/>
      <c r="V675" s="59"/>
      <c r="W675" s="38"/>
      <c r="X675" s="38"/>
      <c r="Y675" s="36" t="str">
        <f t="shared" si="51"/>
        <v>renew</v>
      </c>
      <c r="Z675" s="21"/>
      <c r="AA675" s="75"/>
    </row>
    <row r="676">
      <c r="A676" s="87" t="s">
        <v>578</v>
      </c>
      <c r="B676" s="87" t="s">
        <v>320</v>
      </c>
      <c r="C676" s="75">
        <v>643.0</v>
      </c>
      <c r="D676" s="22" t="str">
        <f t="shared" si="1"/>
        <v>General</v>
      </c>
      <c r="E676" s="23" t="str">
        <f t="shared" si="2"/>
        <v>Lapsed</v>
      </c>
      <c r="F676" s="24">
        <v>1.0</v>
      </c>
      <c r="G676" s="25">
        <v>45771.0</v>
      </c>
      <c r="H676" s="26">
        <f t="shared" si="52"/>
        <v>46022</v>
      </c>
      <c r="I676" s="21"/>
      <c r="J676" s="62" t="s">
        <v>321</v>
      </c>
      <c r="K676" s="62" t="s">
        <v>322</v>
      </c>
      <c r="L676" s="63" t="s">
        <v>35</v>
      </c>
      <c r="M676" s="64" t="s">
        <v>323</v>
      </c>
      <c r="N676" s="80" t="s">
        <v>3011</v>
      </c>
      <c r="O676" s="66" t="s">
        <v>3012</v>
      </c>
      <c r="P676" s="37"/>
      <c r="Q676" s="38"/>
      <c r="R676" s="22"/>
      <c r="S676" s="22">
        <v>1.0</v>
      </c>
      <c r="T676" s="22">
        <v>1.0</v>
      </c>
      <c r="U676" s="38"/>
      <c r="V676" s="59"/>
      <c r="W676" s="38"/>
      <c r="X676" s="38"/>
      <c r="Y676" s="36" t="str">
        <f t="shared" si="51"/>
        <v>renew</v>
      </c>
      <c r="Z676" s="21" t="s">
        <v>27</v>
      </c>
      <c r="AA676" s="75"/>
    </row>
    <row r="677">
      <c r="A677" s="87" t="s">
        <v>3013</v>
      </c>
      <c r="B677" s="87" t="s">
        <v>3014</v>
      </c>
      <c r="C677" s="75">
        <v>642.0</v>
      </c>
      <c r="D677" s="22" t="str">
        <f t="shared" si="1"/>
        <v>General</v>
      </c>
      <c r="E677" s="23" t="str">
        <f t="shared" si="2"/>
        <v>Lapsed</v>
      </c>
      <c r="F677" s="24">
        <v>1.0</v>
      </c>
      <c r="G677" s="155"/>
      <c r="H677" s="26"/>
      <c r="I677" s="75"/>
      <c r="J677" s="62" t="s">
        <v>3015</v>
      </c>
      <c r="K677" s="62" t="s">
        <v>3016</v>
      </c>
      <c r="L677" s="63" t="s">
        <v>35</v>
      </c>
      <c r="M677" s="64" t="s">
        <v>3017</v>
      </c>
      <c r="N677" s="80" t="s">
        <v>3018</v>
      </c>
      <c r="O677" s="66" t="s">
        <v>3019</v>
      </c>
      <c r="P677" s="37"/>
      <c r="Q677" s="38"/>
      <c r="R677" s="22"/>
      <c r="S677" s="38"/>
      <c r="T677" s="38"/>
      <c r="U677" s="38"/>
      <c r="V677" s="159"/>
      <c r="W677" s="38"/>
      <c r="X677" s="38"/>
      <c r="Y677" s="36" t="str">
        <f t="shared" si="51"/>
        <v>renew</v>
      </c>
      <c r="Z677" s="75"/>
      <c r="AA677" s="75"/>
    </row>
    <row r="678">
      <c r="A678" s="87" t="s">
        <v>728</v>
      </c>
      <c r="B678" s="87" t="s">
        <v>3020</v>
      </c>
      <c r="C678" s="75">
        <v>641.0</v>
      </c>
      <c r="D678" s="22" t="str">
        <f t="shared" si="1"/>
        <v>General</v>
      </c>
      <c r="E678" s="23" t="str">
        <f t="shared" si="2"/>
        <v>Lapsed</v>
      </c>
      <c r="F678" s="24">
        <v>1.0</v>
      </c>
      <c r="G678" s="25">
        <v>44722.0</v>
      </c>
      <c r="H678" s="26">
        <f t="shared" ref="H678:H688" si="53">DATE(YEAR(G678)+F678-1, 12, 31)</f>
        <v>44926</v>
      </c>
      <c r="I678" s="75"/>
      <c r="J678" s="62" t="s">
        <v>3021</v>
      </c>
      <c r="K678" s="62" t="s">
        <v>423</v>
      </c>
      <c r="L678" s="63" t="s">
        <v>35</v>
      </c>
      <c r="M678" s="64">
        <v>80107.0</v>
      </c>
      <c r="N678" s="80" t="s">
        <v>3022</v>
      </c>
      <c r="O678" s="66" t="s">
        <v>3023</v>
      </c>
      <c r="P678" s="37"/>
      <c r="Q678" s="38"/>
      <c r="R678" s="22"/>
      <c r="S678" s="22"/>
      <c r="T678" s="22"/>
      <c r="U678" s="22"/>
      <c r="V678" s="59"/>
      <c r="W678" s="22" t="s">
        <v>800</v>
      </c>
      <c r="X678" s="38"/>
      <c r="Y678" s="36" t="str">
        <f t="shared" si="51"/>
        <v>renew</v>
      </c>
      <c r="Z678" s="75"/>
      <c r="AA678" s="75"/>
    </row>
    <row r="679">
      <c r="A679" s="87" t="s">
        <v>728</v>
      </c>
      <c r="B679" s="87" t="s">
        <v>128</v>
      </c>
      <c r="C679" s="75">
        <v>640.0</v>
      </c>
      <c r="D679" s="22" t="str">
        <f t="shared" si="1"/>
        <v>General</v>
      </c>
      <c r="E679" s="23" t="str">
        <f t="shared" si="2"/>
        <v>Lapsed</v>
      </c>
      <c r="F679" s="24">
        <v>1.0</v>
      </c>
      <c r="G679" s="25">
        <v>44703.0</v>
      </c>
      <c r="H679" s="26">
        <f t="shared" si="53"/>
        <v>44926</v>
      </c>
      <c r="I679" s="75"/>
      <c r="J679" s="62" t="s">
        <v>3024</v>
      </c>
      <c r="K679" s="62" t="s">
        <v>2060</v>
      </c>
      <c r="L679" s="63" t="s">
        <v>35</v>
      </c>
      <c r="M679" s="64" t="s">
        <v>2425</v>
      </c>
      <c r="N679" s="80" t="s">
        <v>3025</v>
      </c>
      <c r="O679" s="66" t="s">
        <v>3026</v>
      </c>
      <c r="P679" s="37"/>
      <c r="Q679" s="38"/>
      <c r="R679" s="22"/>
      <c r="S679" s="22"/>
      <c r="T679" s="22"/>
      <c r="U679" s="22"/>
      <c r="V679" s="59"/>
      <c r="W679" s="22" t="s">
        <v>800</v>
      </c>
      <c r="X679" s="38"/>
      <c r="Y679" s="36" t="str">
        <f t="shared" si="51"/>
        <v>renew</v>
      </c>
      <c r="Z679" s="75"/>
      <c r="AA679" s="75"/>
    </row>
    <row r="680">
      <c r="A680" s="87" t="s">
        <v>2539</v>
      </c>
      <c r="B680" s="87" t="s">
        <v>433</v>
      </c>
      <c r="C680" s="75">
        <v>639.0</v>
      </c>
      <c r="D680" s="22" t="str">
        <f t="shared" si="1"/>
        <v>General</v>
      </c>
      <c r="E680" s="23" t="str">
        <f t="shared" si="2"/>
        <v>Lapsed</v>
      </c>
      <c r="F680" s="24">
        <v>1.0</v>
      </c>
      <c r="G680" s="155">
        <v>43503.0</v>
      </c>
      <c r="H680" s="26">
        <f t="shared" si="53"/>
        <v>43830</v>
      </c>
      <c r="I680" s="75"/>
      <c r="J680" s="62" t="s">
        <v>3027</v>
      </c>
      <c r="K680" s="62" t="s">
        <v>429</v>
      </c>
      <c r="L680" s="63" t="s">
        <v>35</v>
      </c>
      <c r="M680" s="64" t="s">
        <v>430</v>
      </c>
      <c r="N680" s="80" t="s">
        <v>3028</v>
      </c>
      <c r="O680" s="66" t="s">
        <v>3029</v>
      </c>
      <c r="P680" s="38"/>
      <c r="Q680" s="38"/>
      <c r="R680" s="22"/>
      <c r="S680" s="38"/>
      <c r="T680" s="38"/>
      <c r="U680" s="38"/>
      <c r="V680" s="59"/>
      <c r="W680" s="38"/>
      <c r="X680" s="38"/>
      <c r="Y680" s="36" t="str">
        <f t="shared" si="51"/>
        <v>renew</v>
      </c>
      <c r="Z680" s="75"/>
      <c r="AA680" s="75"/>
    </row>
    <row r="681">
      <c r="A681" s="87" t="s">
        <v>3030</v>
      </c>
      <c r="B681" s="87" t="s">
        <v>3031</v>
      </c>
      <c r="C681" s="75">
        <v>638.0</v>
      </c>
      <c r="D681" s="22" t="str">
        <f t="shared" si="1"/>
        <v>General</v>
      </c>
      <c r="E681" s="23" t="str">
        <f t="shared" si="2"/>
        <v>Lapsed</v>
      </c>
      <c r="F681" s="24">
        <v>1.0</v>
      </c>
      <c r="G681" s="155">
        <v>43466.0</v>
      </c>
      <c r="H681" s="26">
        <f t="shared" si="53"/>
        <v>43830</v>
      </c>
      <c r="I681" s="75"/>
      <c r="J681" s="62" t="s">
        <v>3032</v>
      </c>
      <c r="K681" s="62" t="s">
        <v>190</v>
      </c>
      <c r="L681" s="63" t="s">
        <v>35</v>
      </c>
      <c r="M681" s="64" t="s">
        <v>191</v>
      </c>
      <c r="N681" s="80" t="s">
        <v>3033</v>
      </c>
      <c r="O681" s="66" t="s">
        <v>3034</v>
      </c>
      <c r="P681" s="38"/>
      <c r="Q681" s="38"/>
      <c r="R681" s="22"/>
      <c r="S681" s="38"/>
      <c r="T681" s="38"/>
      <c r="U681" s="38"/>
      <c r="V681" s="59"/>
      <c r="W681" s="38"/>
      <c r="X681" s="38"/>
      <c r="Y681" s="36" t="str">
        <f t="shared" si="51"/>
        <v>renew</v>
      </c>
      <c r="Z681" s="75"/>
      <c r="AA681" s="75"/>
    </row>
    <row r="682">
      <c r="A682" s="87" t="s">
        <v>1450</v>
      </c>
      <c r="B682" s="87" t="s">
        <v>3035</v>
      </c>
      <c r="C682" s="75">
        <v>637.0</v>
      </c>
      <c r="D682" s="22" t="str">
        <f t="shared" si="1"/>
        <v>General</v>
      </c>
      <c r="E682" s="23" t="str">
        <f t="shared" si="2"/>
        <v>Lapsed</v>
      </c>
      <c r="F682" s="24">
        <v>1.0</v>
      </c>
      <c r="G682" s="155">
        <v>43603.0</v>
      </c>
      <c r="H682" s="26">
        <f t="shared" si="53"/>
        <v>43830</v>
      </c>
      <c r="I682" s="75"/>
      <c r="J682" s="62" t="s">
        <v>3036</v>
      </c>
      <c r="K682" s="62" t="s">
        <v>647</v>
      </c>
      <c r="L682" s="63" t="s">
        <v>35</v>
      </c>
      <c r="M682" s="64" t="s">
        <v>137</v>
      </c>
      <c r="N682" s="80" t="s">
        <v>3037</v>
      </c>
      <c r="O682" s="66" t="s">
        <v>3038</v>
      </c>
      <c r="P682" s="38"/>
      <c r="Q682" s="38"/>
      <c r="R682" s="22"/>
      <c r="S682" s="38"/>
      <c r="T682" s="38"/>
      <c r="U682" s="38"/>
      <c r="V682" s="59"/>
      <c r="W682" s="38"/>
      <c r="X682" s="38"/>
      <c r="Y682" s="36" t="str">
        <f t="shared" si="51"/>
        <v>renew</v>
      </c>
      <c r="Z682" s="75"/>
      <c r="AA682" s="75"/>
    </row>
    <row r="683">
      <c r="A683" s="87" t="s">
        <v>3039</v>
      </c>
      <c r="B683" s="87" t="s">
        <v>2982</v>
      </c>
      <c r="C683" s="75">
        <v>636.0</v>
      </c>
      <c r="D683" s="22" t="str">
        <f t="shared" si="1"/>
        <v>General</v>
      </c>
      <c r="E683" s="23" t="str">
        <f t="shared" si="2"/>
        <v>Lapsed</v>
      </c>
      <c r="F683" s="24">
        <v>1.0</v>
      </c>
      <c r="G683" s="155">
        <v>43603.0</v>
      </c>
      <c r="H683" s="26">
        <f t="shared" si="53"/>
        <v>43830</v>
      </c>
      <c r="I683" s="75"/>
      <c r="J683" s="62" t="s">
        <v>2983</v>
      </c>
      <c r="K683" s="62" t="s">
        <v>2984</v>
      </c>
      <c r="L683" s="63" t="s">
        <v>244</v>
      </c>
      <c r="M683" s="64" t="s">
        <v>2985</v>
      </c>
      <c r="N683" s="80" t="s">
        <v>3040</v>
      </c>
      <c r="O683" s="66" t="s">
        <v>3041</v>
      </c>
      <c r="P683" s="38"/>
      <c r="Q683" s="38"/>
      <c r="R683" s="22"/>
      <c r="S683" s="38"/>
      <c r="T683" s="38"/>
      <c r="U683" s="38"/>
      <c r="V683" s="59"/>
      <c r="W683" s="38"/>
      <c r="X683" s="38"/>
      <c r="Y683" s="36" t="str">
        <f t="shared" si="51"/>
        <v>renew</v>
      </c>
      <c r="Z683" s="75"/>
      <c r="AA683" s="75"/>
    </row>
    <row r="684">
      <c r="A684" s="87" t="s">
        <v>2602</v>
      </c>
      <c r="B684" s="87" t="s">
        <v>3042</v>
      </c>
      <c r="C684" s="75">
        <v>635.0</v>
      </c>
      <c r="D684" s="22" t="str">
        <f t="shared" si="1"/>
        <v>General</v>
      </c>
      <c r="E684" s="23" t="str">
        <f t="shared" si="2"/>
        <v>Lapsed</v>
      </c>
      <c r="F684" s="24">
        <v>1.0</v>
      </c>
      <c r="G684" s="155">
        <v>43466.0</v>
      </c>
      <c r="H684" s="26">
        <f t="shared" si="53"/>
        <v>43830</v>
      </c>
      <c r="I684" s="75"/>
      <c r="J684" s="62" t="s">
        <v>3043</v>
      </c>
      <c r="K684" s="62" t="s">
        <v>761</v>
      </c>
      <c r="L684" s="63" t="s">
        <v>35</v>
      </c>
      <c r="M684" s="64" t="s">
        <v>3044</v>
      </c>
      <c r="N684" s="80" t="s">
        <v>3045</v>
      </c>
      <c r="O684" s="66" t="s">
        <v>3046</v>
      </c>
      <c r="P684" s="38"/>
      <c r="Q684" s="38"/>
      <c r="R684" s="22"/>
      <c r="S684" s="38"/>
      <c r="T684" s="38"/>
      <c r="U684" s="38"/>
      <c r="V684" s="59"/>
      <c r="W684" s="38"/>
      <c r="X684" s="38"/>
      <c r="Y684" s="36" t="str">
        <f t="shared" si="51"/>
        <v>renew</v>
      </c>
      <c r="Z684" s="75"/>
      <c r="AA684" s="75"/>
    </row>
    <row r="685">
      <c r="A685" s="87" t="s">
        <v>3047</v>
      </c>
      <c r="B685" s="87" t="s">
        <v>902</v>
      </c>
      <c r="C685" s="75">
        <v>634.0</v>
      </c>
      <c r="D685" s="22" t="str">
        <f t="shared" si="1"/>
        <v>General</v>
      </c>
      <c r="E685" s="23" t="str">
        <f t="shared" si="2"/>
        <v>Lapsed</v>
      </c>
      <c r="F685" s="24">
        <v>1.0</v>
      </c>
      <c r="G685" s="25">
        <v>45500.0</v>
      </c>
      <c r="H685" s="26">
        <f t="shared" si="53"/>
        <v>45657</v>
      </c>
      <c r="I685" s="21"/>
      <c r="J685" s="62" t="s">
        <v>903</v>
      </c>
      <c r="K685" s="62" t="s">
        <v>859</v>
      </c>
      <c r="L685" s="63" t="s">
        <v>35</v>
      </c>
      <c r="M685" s="64" t="s">
        <v>860</v>
      </c>
      <c r="N685" s="80" t="s">
        <v>3048</v>
      </c>
      <c r="O685" s="66" t="s">
        <v>3049</v>
      </c>
      <c r="P685" s="37"/>
      <c r="Q685" s="38"/>
      <c r="R685" s="22"/>
      <c r="S685" s="22"/>
      <c r="T685" s="22">
        <v>1.0</v>
      </c>
      <c r="U685" s="38"/>
      <c r="V685" s="159"/>
      <c r="W685" s="38"/>
      <c r="X685" s="38"/>
      <c r="Y685" s="36" t="str">
        <f t="shared" si="51"/>
        <v>renew</v>
      </c>
      <c r="Z685" s="21"/>
      <c r="AA685" s="75"/>
    </row>
    <row r="686">
      <c r="A686" s="87" t="s">
        <v>680</v>
      </c>
      <c r="B686" s="87" t="s">
        <v>3050</v>
      </c>
      <c r="C686" s="75">
        <v>631.0</v>
      </c>
      <c r="D686" s="22" t="str">
        <f t="shared" si="1"/>
        <v>General</v>
      </c>
      <c r="E686" s="23" t="str">
        <f t="shared" si="2"/>
        <v>Lapsed</v>
      </c>
      <c r="F686" s="24">
        <v>1.0</v>
      </c>
      <c r="G686" s="25">
        <v>44820.0</v>
      </c>
      <c r="H686" s="26">
        <f t="shared" si="53"/>
        <v>44926</v>
      </c>
      <c r="I686" s="75"/>
      <c r="J686" s="62" t="s">
        <v>3051</v>
      </c>
      <c r="K686" s="62" t="s">
        <v>1595</v>
      </c>
      <c r="L686" s="63" t="s">
        <v>35</v>
      </c>
      <c r="M686" s="64" t="s">
        <v>1596</v>
      </c>
      <c r="N686" s="80" t="s">
        <v>3052</v>
      </c>
      <c r="O686" s="66" t="s">
        <v>3053</v>
      </c>
      <c r="P686" s="37"/>
      <c r="Q686" s="38"/>
      <c r="R686" s="22"/>
      <c r="S686" s="38"/>
      <c r="T686" s="38"/>
      <c r="U686" s="38"/>
      <c r="V686" s="59"/>
      <c r="W686" s="22" t="s">
        <v>800</v>
      </c>
      <c r="X686" s="38"/>
      <c r="Y686" s="36" t="str">
        <f t="shared" si="51"/>
        <v>renew</v>
      </c>
      <c r="Z686" s="75"/>
      <c r="AA686" s="75"/>
    </row>
    <row r="687">
      <c r="A687" s="87" t="s">
        <v>1171</v>
      </c>
      <c r="B687" s="87" t="s">
        <v>3054</v>
      </c>
      <c r="C687" s="75">
        <v>630.0</v>
      </c>
      <c r="D687" s="22" t="str">
        <f t="shared" si="1"/>
        <v>General</v>
      </c>
      <c r="E687" s="23" t="str">
        <f t="shared" si="2"/>
        <v>Lapsed</v>
      </c>
      <c r="F687" s="24">
        <v>1.0</v>
      </c>
      <c r="G687" s="25">
        <v>44820.0</v>
      </c>
      <c r="H687" s="26">
        <f t="shared" si="53"/>
        <v>44926</v>
      </c>
      <c r="I687" s="75"/>
      <c r="J687" s="62" t="s">
        <v>3051</v>
      </c>
      <c r="K687" s="62" t="s">
        <v>1595</v>
      </c>
      <c r="L687" s="63" t="s">
        <v>35</v>
      </c>
      <c r="M687" s="64" t="s">
        <v>1596</v>
      </c>
      <c r="N687" s="80" t="s">
        <v>3055</v>
      </c>
      <c r="O687" s="66" t="s">
        <v>3056</v>
      </c>
      <c r="P687" s="37"/>
      <c r="Q687" s="38"/>
      <c r="R687" s="22"/>
      <c r="S687" s="38"/>
      <c r="T687" s="38"/>
      <c r="U687" s="38"/>
      <c r="V687" s="59"/>
      <c r="W687" s="22" t="s">
        <v>800</v>
      </c>
      <c r="X687" s="38"/>
      <c r="Y687" s="36" t="str">
        <f t="shared" si="51"/>
        <v>renew</v>
      </c>
      <c r="Z687" s="75"/>
      <c r="AA687" s="75"/>
    </row>
    <row r="688">
      <c r="A688" s="87" t="s">
        <v>1240</v>
      </c>
      <c r="B688" s="87" t="s">
        <v>2902</v>
      </c>
      <c r="C688" s="75">
        <v>621.0</v>
      </c>
      <c r="D688" s="22" t="str">
        <f t="shared" si="1"/>
        <v>General</v>
      </c>
      <c r="E688" s="23" t="str">
        <f t="shared" si="2"/>
        <v>Lapsed</v>
      </c>
      <c r="F688" s="24">
        <v>1.0</v>
      </c>
      <c r="G688" s="155">
        <v>43629.0</v>
      </c>
      <c r="H688" s="26">
        <f t="shared" si="53"/>
        <v>43830</v>
      </c>
      <c r="I688" s="75"/>
      <c r="J688" s="62" t="s">
        <v>3057</v>
      </c>
      <c r="K688" s="62" t="s">
        <v>322</v>
      </c>
      <c r="L688" s="63" t="s">
        <v>35</v>
      </c>
      <c r="M688" s="64" t="s">
        <v>323</v>
      </c>
      <c r="N688" s="80" t="s">
        <v>3058</v>
      </c>
      <c r="O688" s="66" t="s">
        <v>3059</v>
      </c>
      <c r="P688" s="38"/>
      <c r="Q688" s="38"/>
      <c r="R688" s="22"/>
      <c r="S688" s="38"/>
      <c r="T688" s="38"/>
      <c r="U688" s="38"/>
      <c r="V688" s="59"/>
      <c r="W688" s="38"/>
      <c r="X688" s="38"/>
      <c r="Y688" s="36" t="str">
        <f t="shared" si="51"/>
        <v>renew</v>
      </c>
      <c r="Z688" s="75"/>
      <c r="AA688" s="75"/>
    </row>
    <row r="689">
      <c r="A689" s="87" t="s">
        <v>1013</v>
      </c>
      <c r="B689" s="87" t="s">
        <v>3060</v>
      </c>
      <c r="C689" s="75">
        <v>621.0</v>
      </c>
      <c r="D689" s="22" t="str">
        <f t="shared" si="1"/>
        <v>General</v>
      </c>
      <c r="E689" s="23" t="str">
        <f t="shared" si="2"/>
        <v>Lapsed</v>
      </c>
      <c r="F689" s="24">
        <v>1.0</v>
      </c>
      <c r="G689" s="155"/>
      <c r="H689" s="26"/>
      <c r="I689" s="75"/>
      <c r="J689" s="62" t="s">
        <v>3061</v>
      </c>
      <c r="K689" s="62" t="s">
        <v>42</v>
      </c>
      <c r="L689" s="63" t="s">
        <v>35</v>
      </c>
      <c r="M689" s="64" t="s">
        <v>131</v>
      </c>
      <c r="N689" s="80" t="s">
        <v>3062</v>
      </c>
      <c r="O689" s="66" t="s">
        <v>3063</v>
      </c>
      <c r="P689" s="37"/>
      <c r="Q689" s="38"/>
      <c r="R689" s="22"/>
      <c r="S689" s="38"/>
      <c r="T689" s="38"/>
      <c r="U689" s="38"/>
      <c r="V689" s="159"/>
      <c r="W689" s="38"/>
      <c r="X689" s="38"/>
      <c r="Y689" s="36" t="str">
        <f t="shared" si="51"/>
        <v>renew</v>
      </c>
      <c r="Z689" s="75"/>
      <c r="AA689" s="75"/>
    </row>
    <row r="690">
      <c r="A690" s="87" t="s">
        <v>3064</v>
      </c>
      <c r="B690" s="87" t="s">
        <v>3065</v>
      </c>
      <c r="C690" s="75">
        <v>620.0</v>
      </c>
      <c r="D690" s="22" t="str">
        <f t="shared" si="1"/>
        <v>General</v>
      </c>
      <c r="E690" s="23" t="str">
        <f t="shared" si="2"/>
        <v>Lapsed</v>
      </c>
      <c r="F690" s="24">
        <v>1.0</v>
      </c>
      <c r="G690" s="155"/>
      <c r="H690" s="26"/>
      <c r="I690" s="75"/>
      <c r="J690" s="62" t="s">
        <v>3066</v>
      </c>
      <c r="K690" s="62" t="s">
        <v>42</v>
      </c>
      <c r="L690" s="63" t="s">
        <v>35</v>
      </c>
      <c r="M690" s="64" t="s">
        <v>239</v>
      </c>
      <c r="N690" s="80" t="s">
        <v>3067</v>
      </c>
      <c r="O690" s="66" t="s">
        <v>3068</v>
      </c>
      <c r="P690" s="37"/>
      <c r="Q690" s="38"/>
      <c r="R690" s="22"/>
      <c r="S690" s="38"/>
      <c r="T690" s="38"/>
      <c r="U690" s="38"/>
      <c r="V690" s="159"/>
      <c r="W690" s="38"/>
      <c r="X690" s="38"/>
      <c r="Y690" s="36" t="str">
        <f t="shared" si="51"/>
        <v>renew</v>
      </c>
      <c r="Z690" s="75"/>
      <c r="AA690" s="75"/>
    </row>
    <row r="691">
      <c r="A691" s="87" t="s">
        <v>1230</v>
      </c>
      <c r="B691" s="87" t="s">
        <v>3069</v>
      </c>
      <c r="C691" s="75">
        <v>616.0</v>
      </c>
      <c r="D691" s="22" t="str">
        <f t="shared" si="1"/>
        <v>General</v>
      </c>
      <c r="E691" s="23" t="str">
        <f t="shared" si="2"/>
        <v>Lapsed</v>
      </c>
      <c r="F691" s="24">
        <v>1.0</v>
      </c>
      <c r="G691" s="155">
        <v>44235.0</v>
      </c>
      <c r="H691" s="26">
        <f t="shared" ref="H691:H693" si="54">DATE(YEAR(G691)+F691-1, 12, 31)</f>
        <v>44561</v>
      </c>
      <c r="I691" s="75"/>
      <c r="J691" s="62" t="s">
        <v>3070</v>
      </c>
      <c r="K691" s="62" t="s">
        <v>190</v>
      </c>
      <c r="L691" s="63" t="s">
        <v>35</v>
      </c>
      <c r="M691" s="64">
        <v>80537.0</v>
      </c>
      <c r="N691" s="80" t="s">
        <v>3071</v>
      </c>
      <c r="O691" s="66" t="s">
        <v>3072</v>
      </c>
      <c r="P691" s="37"/>
      <c r="Q691" s="38"/>
      <c r="R691" s="22"/>
      <c r="S691" s="38"/>
      <c r="T691" s="38"/>
      <c r="U691" s="38"/>
      <c r="V691" s="59"/>
      <c r="W691" s="38"/>
      <c r="X691" s="38"/>
      <c r="Y691" s="36" t="str">
        <f t="shared" si="51"/>
        <v>renew</v>
      </c>
      <c r="Z691" s="75"/>
      <c r="AA691" s="75"/>
    </row>
    <row r="692">
      <c r="A692" s="87" t="s">
        <v>3073</v>
      </c>
      <c r="B692" s="87" t="s">
        <v>3074</v>
      </c>
      <c r="C692" s="75">
        <v>609.0</v>
      </c>
      <c r="D692" s="22" t="str">
        <f t="shared" si="1"/>
        <v>General</v>
      </c>
      <c r="E692" s="23" t="str">
        <f t="shared" si="2"/>
        <v>Lapsed</v>
      </c>
      <c r="F692" s="24">
        <v>1.0</v>
      </c>
      <c r="G692" s="25">
        <v>45933.0</v>
      </c>
      <c r="H692" s="26">
        <f t="shared" si="54"/>
        <v>46022</v>
      </c>
      <c r="I692" s="75"/>
      <c r="J692" s="62" t="s">
        <v>3075</v>
      </c>
      <c r="K692" s="62" t="s">
        <v>322</v>
      </c>
      <c r="L692" s="63" t="s">
        <v>35</v>
      </c>
      <c r="M692" s="64" t="s">
        <v>323</v>
      </c>
      <c r="N692" s="80" t="s">
        <v>3076</v>
      </c>
      <c r="O692" s="66" t="s">
        <v>3077</v>
      </c>
      <c r="P692" s="144">
        <v>38447.0</v>
      </c>
      <c r="Q692" s="22">
        <f>datedif(P692,today(),"Y")</f>
        <v>21</v>
      </c>
      <c r="R692" s="22"/>
      <c r="S692" s="22">
        <v>5.0</v>
      </c>
      <c r="T692" s="22"/>
      <c r="U692" s="22">
        <v>3.0</v>
      </c>
      <c r="V692" s="116">
        <v>45205.0</v>
      </c>
      <c r="W692" s="22" t="s">
        <v>800</v>
      </c>
      <c r="X692" s="22" t="s">
        <v>800</v>
      </c>
      <c r="Y692" s="36" t="str">
        <f t="shared" si="51"/>
        <v>renew</v>
      </c>
      <c r="Z692" s="75"/>
      <c r="AA692" s="75"/>
    </row>
    <row r="693">
      <c r="A693" s="87" t="s">
        <v>1027</v>
      </c>
      <c r="B693" s="87" t="s">
        <v>3078</v>
      </c>
      <c r="C693" s="75">
        <v>608.0</v>
      </c>
      <c r="D693" s="22" t="str">
        <f t="shared" si="1"/>
        <v>General</v>
      </c>
      <c r="E693" s="23" t="str">
        <f t="shared" si="2"/>
        <v>Lapsed</v>
      </c>
      <c r="F693" s="24">
        <v>1.0</v>
      </c>
      <c r="G693" s="25">
        <v>45057.0</v>
      </c>
      <c r="H693" s="26">
        <f t="shared" si="54"/>
        <v>45291</v>
      </c>
      <c r="I693" s="75"/>
      <c r="J693" s="62" t="s">
        <v>3079</v>
      </c>
      <c r="K693" s="62" t="s">
        <v>2423</v>
      </c>
      <c r="L693" s="63" t="s">
        <v>35</v>
      </c>
      <c r="M693" s="64" t="s">
        <v>3080</v>
      </c>
      <c r="N693" s="80" t="s">
        <v>3081</v>
      </c>
      <c r="O693" s="66" t="s">
        <v>3082</v>
      </c>
      <c r="P693" s="37"/>
      <c r="Q693" s="38"/>
      <c r="R693" s="22"/>
      <c r="S693" s="22"/>
      <c r="T693" s="22"/>
      <c r="U693" s="22">
        <v>2.0</v>
      </c>
      <c r="V693" s="106">
        <v>45057.0</v>
      </c>
      <c r="W693" s="38"/>
      <c r="X693" s="22" t="s">
        <v>800</v>
      </c>
      <c r="Y693" s="36" t="str">
        <f t="shared" si="51"/>
        <v>renew</v>
      </c>
      <c r="Z693" s="75"/>
      <c r="AA693" s="75"/>
    </row>
    <row r="694">
      <c r="A694" s="87" t="s">
        <v>3083</v>
      </c>
      <c r="B694" s="87" t="s">
        <v>237</v>
      </c>
      <c r="C694" s="75">
        <v>607.0</v>
      </c>
      <c r="D694" s="22" t="str">
        <f t="shared" si="1"/>
        <v>General</v>
      </c>
      <c r="E694" s="23" t="str">
        <f t="shared" si="2"/>
        <v>Lapsed</v>
      </c>
      <c r="F694" s="24">
        <v>1.0</v>
      </c>
      <c r="G694" s="155"/>
      <c r="H694" s="26"/>
      <c r="I694" s="75"/>
      <c r="J694" s="62" t="s">
        <v>3084</v>
      </c>
      <c r="K694" s="62" t="s">
        <v>512</v>
      </c>
      <c r="L694" s="63" t="s">
        <v>35</v>
      </c>
      <c r="M694" s="64" t="s">
        <v>513</v>
      </c>
      <c r="N694" s="80" t="s">
        <v>3085</v>
      </c>
      <c r="O694" s="66" t="s">
        <v>3086</v>
      </c>
      <c r="P694" s="37"/>
      <c r="Q694" s="38"/>
      <c r="R694" s="22"/>
      <c r="S694" s="38"/>
      <c r="T694" s="38"/>
      <c r="U694" s="38"/>
      <c r="V694" s="159"/>
      <c r="W694" s="38"/>
      <c r="X694" s="38"/>
      <c r="Y694" s="36" t="str">
        <f t="shared" si="51"/>
        <v>renew</v>
      </c>
      <c r="Z694" s="75"/>
      <c r="AA694" s="75"/>
    </row>
    <row r="695">
      <c r="A695" s="87" t="s">
        <v>3087</v>
      </c>
      <c r="B695" s="87" t="s">
        <v>3088</v>
      </c>
      <c r="C695" s="75">
        <v>606.0</v>
      </c>
      <c r="D695" s="22" t="str">
        <f t="shared" si="1"/>
        <v>General</v>
      </c>
      <c r="E695" s="23" t="str">
        <f t="shared" si="2"/>
        <v>Lapsed</v>
      </c>
      <c r="F695" s="24">
        <v>1.0</v>
      </c>
      <c r="G695" s="155"/>
      <c r="H695" s="26"/>
      <c r="I695" s="75"/>
      <c r="J695" s="62" t="s">
        <v>3089</v>
      </c>
      <c r="K695" s="62" t="s">
        <v>56</v>
      </c>
      <c r="L695" s="63" t="s">
        <v>57</v>
      </c>
      <c r="M695" s="64" t="s">
        <v>63</v>
      </c>
      <c r="N695" s="80" t="s">
        <v>3090</v>
      </c>
      <c r="O695" s="66" t="s">
        <v>3091</v>
      </c>
      <c r="P695" s="37"/>
      <c r="Q695" s="38"/>
      <c r="R695" s="22"/>
      <c r="S695" s="38"/>
      <c r="T695" s="38"/>
      <c r="U695" s="38"/>
      <c r="V695" s="159"/>
      <c r="W695" s="38"/>
      <c r="X695" s="38"/>
      <c r="Y695" s="36" t="str">
        <f t="shared" si="51"/>
        <v>renew</v>
      </c>
      <c r="Z695" s="75"/>
      <c r="AA695" s="75"/>
    </row>
    <row r="696">
      <c r="A696" s="87" t="s">
        <v>3092</v>
      </c>
      <c r="B696" s="87" t="s">
        <v>2675</v>
      </c>
      <c r="C696" s="75">
        <v>605.0</v>
      </c>
      <c r="D696" s="22" t="str">
        <f t="shared" si="1"/>
        <v>General</v>
      </c>
      <c r="E696" s="23" t="str">
        <f t="shared" si="2"/>
        <v>Lapsed</v>
      </c>
      <c r="F696" s="24">
        <v>1.0</v>
      </c>
      <c r="G696" s="155"/>
      <c r="H696" s="26"/>
      <c r="I696" s="75"/>
      <c r="J696" s="62" t="s">
        <v>3093</v>
      </c>
      <c r="K696" s="62" t="s">
        <v>42</v>
      </c>
      <c r="L696" s="63" t="s">
        <v>35</v>
      </c>
      <c r="M696" s="64" t="s">
        <v>239</v>
      </c>
      <c r="N696" s="80" t="s">
        <v>3094</v>
      </c>
      <c r="O696" s="66" t="s">
        <v>3095</v>
      </c>
      <c r="P696" s="37"/>
      <c r="Q696" s="38"/>
      <c r="R696" s="22"/>
      <c r="S696" s="38"/>
      <c r="T696" s="38"/>
      <c r="U696" s="38"/>
      <c r="V696" s="159"/>
      <c r="W696" s="38"/>
      <c r="X696" s="38"/>
      <c r="Y696" s="36" t="str">
        <f t="shared" si="51"/>
        <v>renew</v>
      </c>
      <c r="Z696" s="75"/>
      <c r="AA696" s="75"/>
    </row>
    <row r="697">
      <c r="A697" s="20" t="s">
        <v>3096</v>
      </c>
      <c r="B697" s="87" t="s">
        <v>3097</v>
      </c>
      <c r="C697" s="75">
        <v>604.0</v>
      </c>
      <c r="D697" s="22" t="str">
        <f t="shared" si="1"/>
        <v>General</v>
      </c>
      <c r="E697" s="23" t="str">
        <f t="shared" si="2"/>
        <v>Lapsed</v>
      </c>
      <c r="F697" s="24">
        <v>1.0</v>
      </c>
      <c r="G697" s="25">
        <v>45069.0</v>
      </c>
      <c r="H697" s="26">
        <f t="shared" ref="H697:H699" si="55">DATE(YEAR(G697)+F697-1, 12, 31)</f>
        <v>45291</v>
      </c>
      <c r="I697" s="75"/>
      <c r="J697" s="62" t="s">
        <v>3098</v>
      </c>
      <c r="K697" s="62" t="s">
        <v>322</v>
      </c>
      <c r="L697" s="63" t="s">
        <v>35</v>
      </c>
      <c r="M697" s="64" t="s">
        <v>402</v>
      </c>
      <c r="N697" s="80" t="s">
        <v>3099</v>
      </c>
      <c r="O697" s="66" t="s">
        <v>3100</v>
      </c>
      <c r="P697" s="33">
        <v>38152.0</v>
      </c>
      <c r="Q697" s="22">
        <f>datedif(P697,today(),"Y")</f>
        <v>21</v>
      </c>
      <c r="R697" s="22"/>
      <c r="S697" s="22"/>
      <c r="T697" s="22"/>
      <c r="U697" s="22">
        <v>2.0</v>
      </c>
      <c r="V697" s="35">
        <v>45069.0</v>
      </c>
      <c r="W697" s="22" t="s">
        <v>800</v>
      </c>
      <c r="X697" s="22" t="s">
        <v>800</v>
      </c>
      <c r="Y697" s="36" t="str">
        <f t="shared" si="51"/>
        <v>renew</v>
      </c>
      <c r="Z697" s="75"/>
      <c r="AA697" s="75"/>
    </row>
    <row r="698">
      <c r="A698" s="87" t="s">
        <v>3101</v>
      </c>
      <c r="B698" s="87" t="s">
        <v>3102</v>
      </c>
      <c r="C698" s="75">
        <v>603.0</v>
      </c>
      <c r="D698" s="22" t="str">
        <f t="shared" si="1"/>
        <v>General</v>
      </c>
      <c r="E698" s="23" t="str">
        <f t="shared" si="2"/>
        <v>Lapsed</v>
      </c>
      <c r="F698" s="24">
        <v>1.0</v>
      </c>
      <c r="G698" s="25">
        <v>44339.0</v>
      </c>
      <c r="H698" s="26">
        <f t="shared" si="55"/>
        <v>44561</v>
      </c>
      <c r="I698" s="75"/>
      <c r="J698" s="62" t="s">
        <v>3103</v>
      </c>
      <c r="K698" s="62" t="s">
        <v>3104</v>
      </c>
      <c r="L698" s="63" t="s">
        <v>35</v>
      </c>
      <c r="M698" s="64" t="s">
        <v>2854</v>
      </c>
      <c r="N698" s="80" t="s">
        <v>3105</v>
      </c>
      <c r="O698" s="66" t="s">
        <v>3106</v>
      </c>
      <c r="P698" s="37"/>
      <c r="Q698" s="38"/>
      <c r="R698" s="22"/>
      <c r="S698" s="38"/>
      <c r="T698" s="38"/>
      <c r="U698" s="38"/>
      <c r="V698" s="59"/>
      <c r="W698" s="38"/>
      <c r="X698" s="38"/>
      <c r="Y698" s="36" t="str">
        <f t="shared" si="51"/>
        <v>renew</v>
      </c>
      <c r="Z698" s="75"/>
      <c r="AA698" s="75"/>
    </row>
    <row r="699">
      <c r="A699" s="87" t="s">
        <v>936</v>
      </c>
      <c r="B699" s="87" t="s">
        <v>3107</v>
      </c>
      <c r="C699" s="75">
        <v>602.0</v>
      </c>
      <c r="D699" s="22" t="str">
        <f t="shared" si="1"/>
        <v>General</v>
      </c>
      <c r="E699" s="23" t="str">
        <f t="shared" si="2"/>
        <v>Lapsed</v>
      </c>
      <c r="F699" s="24">
        <v>1.0</v>
      </c>
      <c r="G699" s="155">
        <v>44153.0</v>
      </c>
      <c r="H699" s="26">
        <f t="shared" si="55"/>
        <v>44196</v>
      </c>
      <c r="I699" s="75"/>
      <c r="J699" s="62" t="s">
        <v>3108</v>
      </c>
      <c r="K699" s="62" t="s">
        <v>42</v>
      </c>
      <c r="L699" s="63" t="s">
        <v>35</v>
      </c>
      <c r="M699" s="64" t="s">
        <v>239</v>
      </c>
      <c r="N699" s="80" t="s">
        <v>3109</v>
      </c>
      <c r="O699" s="66" t="s">
        <v>3110</v>
      </c>
      <c r="P699" s="37"/>
      <c r="Q699" s="38"/>
      <c r="R699" s="22"/>
      <c r="S699" s="38"/>
      <c r="T699" s="38"/>
      <c r="U699" s="38"/>
      <c r="V699" s="59"/>
      <c r="W699" s="38"/>
      <c r="X699" s="38"/>
      <c r="Y699" s="36" t="str">
        <f t="shared" si="51"/>
        <v>renew</v>
      </c>
      <c r="Z699" s="75"/>
      <c r="AA699" s="75"/>
    </row>
    <row r="700">
      <c r="A700" s="87" t="s">
        <v>3111</v>
      </c>
      <c r="B700" s="87" t="s">
        <v>690</v>
      </c>
      <c r="C700" s="75">
        <v>600.0</v>
      </c>
      <c r="D700" s="22" t="str">
        <f t="shared" si="1"/>
        <v>General</v>
      </c>
      <c r="E700" s="23" t="str">
        <f t="shared" si="2"/>
        <v>Lapsed</v>
      </c>
      <c r="F700" s="24">
        <v>1.0</v>
      </c>
      <c r="G700" s="155"/>
      <c r="H700" s="26"/>
      <c r="I700" s="75"/>
      <c r="J700" s="62" t="s">
        <v>3112</v>
      </c>
      <c r="K700" s="62" t="s">
        <v>992</v>
      </c>
      <c r="L700" s="63" t="s">
        <v>57</v>
      </c>
      <c r="M700" s="64" t="s">
        <v>3113</v>
      </c>
      <c r="N700" s="80" t="s">
        <v>3114</v>
      </c>
      <c r="O700" s="66" t="s">
        <v>3115</v>
      </c>
      <c r="P700" s="37"/>
      <c r="Q700" s="38"/>
      <c r="R700" s="22"/>
      <c r="S700" s="38"/>
      <c r="T700" s="38"/>
      <c r="U700" s="38"/>
      <c r="V700" s="159"/>
      <c r="W700" s="38"/>
      <c r="X700" s="38"/>
      <c r="Y700" s="36" t="str">
        <f t="shared" si="51"/>
        <v>renew</v>
      </c>
      <c r="Z700" s="75"/>
      <c r="AA700" s="75"/>
    </row>
    <row r="701">
      <c r="A701" s="87" t="s">
        <v>3116</v>
      </c>
      <c r="B701" s="87" t="s">
        <v>638</v>
      </c>
      <c r="C701" s="75">
        <v>591.0</v>
      </c>
      <c r="D701" s="22" t="str">
        <f t="shared" si="1"/>
        <v>General</v>
      </c>
      <c r="E701" s="23" t="str">
        <f t="shared" si="2"/>
        <v>Lapsed</v>
      </c>
      <c r="F701" s="24">
        <v>1.0</v>
      </c>
      <c r="G701" s="155">
        <v>43771.0</v>
      </c>
      <c r="H701" s="26">
        <f t="shared" ref="H701:H704" si="56">DATE(YEAR(G701)+F701-1, 12, 31)</f>
        <v>43830</v>
      </c>
      <c r="I701" s="75"/>
      <c r="J701" s="62" t="s">
        <v>639</v>
      </c>
      <c r="K701" s="62" t="s">
        <v>640</v>
      </c>
      <c r="L701" s="63" t="s">
        <v>35</v>
      </c>
      <c r="M701" s="64" t="s">
        <v>641</v>
      </c>
      <c r="N701" s="65" t="s">
        <v>642</v>
      </c>
      <c r="O701" s="66" t="s">
        <v>643</v>
      </c>
      <c r="P701" s="37"/>
      <c r="Q701" s="38"/>
      <c r="R701" s="22"/>
      <c r="S701" s="38"/>
      <c r="T701" s="38"/>
      <c r="U701" s="38"/>
      <c r="V701" s="59"/>
      <c r="W701" s="38"/>
      <c r="X701" s="38"/>
      <c r="Y701" s="36" t="str">
        <f t="shared" si="51"/>
        <v>renew</v>
      </c>
      <c r="Z701" s="75"/>
      <c r="AA701" s="75"/>
    </row>
    <row r="702">
      <c r="A702" s="87" t="s">
        <v>3117</v>
      </c>
      <c r="B702" s="87" t="s">
        <v>3118</v>
      </c>
      <c r="C702" s="75">
        <v>590.0</v>
      </c>
      <c r="D702" s="22" t="str">
        <f t="shared" si="1"/>
        <v>General</v>
      </c>
      <c r="E702" s="23" t="str">
        <f t="shared" si="2"/>
        <v>Lapsed</v>
      </c>
      <c r="F702" s="24">
        <v>1.0</v>
      </c>
      <c r="G702" s="155">
        <v>44463.0</v>
      </c>
      <c r="H702" s="26">
        <f t="shared" si="56"/>
        <v>44561</v>
      </c>
      <c r="I702" s="75"/>
      <c r="J702" s="62" t="s">
        <v>3119</v>
      </c>
      <c r="K702" s="62" t="s">
        <v>68</v>
      </c>
      <c r="L702" s="63" t="s">
        <v>35</v>
      </c>
      <c r="M702" s="64">
        <v>80550.0</v>
      </c>
      <c r="N702" s="80" t="s">
        <v>3120</v>
      </c>
      <c r="O702" s="66" t="s">
        <v>3121</v>
      </c>
      <c r="P702" s="37"/>
      <c r="Q702" s="38"/>
      <c r="R702" s="22"/>
      <c r="S702" s="38"/>
      <c r="T702" s="38"/>
      <c r="U702" s="38"/>
      <c r="V702" s="59"/>
      <c r="W702" s="38"/>
      <c r="X702" s="38"/>
      <c r="Y702" s="36" t="str">
        <f t="shared" si="51"/>
        <v>renew</v>
      </c>
      <c r="Z702" s="75"/>
      <c r="AA702" s="75"/>
    </row>
    <row r="703">
      <c r="A703" s="87" t="s">
        <v>3122</v>
      </c>
      <c r="B703" s="87" t="s">
        <v>2279</v>
      </c>
      <c r="C703" s="75">
        <v>589.0</v>
      </c>
      <c r="D703" s="22" t="str">
        <f t="shared" si="1"/>
        <v>General</v>
      </c>
      <c r="E703" s="23" t="str">
        <f t="shared" si="2"/>
        <v>Lapsed</v>
      </c>
      <c r="F703" s="24">
        <v>1.0</v>
      </c>
      <c r="G703" s="25">
        <v>45849.0</v>
      </c>
      <c r="H703" s="26">
        <f t="shared" si="56"/>
        <v>46022</v>
      </c>
      <c r="I703" s="21"/>
      <c r="J703" s="62" t="s">
        <v>3123</v>
      </c>
      <c r="K703" s="62" t="s">
        <v>89</v>
      </c>
      <c r="L703" s="63" t="s">
        <v>35</v>
      </c>
      <c r="M703" s="64" t="s">
        <v>90</v>
      </c>
      <c r="N703" s="80" t="s">
        <v>3124</v>
      </c>
      <c r="O703" s="66" t="s">
        <v>3125</v>
      </c>
      <c r="P703" s="37"/>
      <c r="Q703" s="38"/>
      <c r="R703" s="22"/>
      <c r="S703" s="22">
        <v>4.0</v>
      </c>
      <c r="T703" s="22">
        <v>1.0</v>
      </c>
      <c r="U703" s="38"/>
      <c r="V703" s="59"/>
      <c r="W703" s="22" t="s">
        <v>800</v>
      </c>
      <c r="X703" s="38"/>
      <c r="Y703" s="36" t="str">
        <f t="shared" si="51"/>
        <v>renew</v>
      </c>
      <c r="Z703" s="21" t="s">
        <v>27</v>
      </c>
      <c r="AA703" s="75"/>
    </row>
    <row r="704">
      <c r="A704" s="87" t="s">
        <v>1749</v>
      </c>
      <c r="B704" s="87" t="s">
        <v>3126</v>
      </c>
      <c r="C704" s="75">
        <v>588.0</v>
      </c>
      <c r="D704" s="22" t="str">
        <f t="shared" si="1"/>
        <v>General</v>
      </c>
      <c r="E704" s="23" t="str">
        <f t="shared" si="2"/>
        <v>Lapsed</v>
      </c>
      <c r="F704" s="24">
        <v>1.0</v>
      </c>
      <c r="G704" s="155">
        <v>43749.0</v>
      </c>
      <c r="H704" s="26">
        <f t="shared" si="56"/>
        <v>43830</v>
      </c>
      <c r="I704" s="75"/>
      <c r="J704" s="62" t="s">
        <v>380</v>
      </c>
      <c r="K704" s="62" t="s">
        <v>3127</v>
      </c>
      <c r="L704" s="63" t="s">
        <v>57</v>
      </c>
      <c r="M704" s="64" t="s">
        <v>380</v>
      </c>
      <c r="N704" s="80" t="s">
        <v>3128</v>
      </c>
      <c r="O704" s="66" t="s">
        <v>3129</v>
      </c>
      <c r="P704" s="37"/>
      <c r="Q704" s="38"/>
      <c r="R704" s="22"/>
      <c r="S704" s="38"/>
      <c r="T704" s="38"/>
      <c r="U704" s="38"/>
      <c r="V704" s="59"/>
      <c r="W704" s="38"/>
      <c r="X704" s="38"/>
      <c r="Y704" s="36" t="str">
        <f t="shared" si="51"/>
        <v>renew</v>
      </c>
      <c r="Z704" s="75"/>
      <c r="AA704" s="75"/>
    </row>
    <row r="705">
      <c r="A705" s="87" t="s">
        <v>1181</v>
      </c>
      <c r="B705" s="87" t="s">
        <v>3130</v>
      </c>
      <c r="C705" s="75">
        <v>580.0</v>
      </c>
      <c r="D705" s="22" t="str">
        <f t="shared" si="1"/>
        <v>General</v>
      </c>
      <c r="E705" s="23" t="str">
        <f t="shared" si="2"/>
        <v>Lapsed</v>
      </c>
      <c r="F705" s="24">
        <v>1.0</v>
      </c>
      <c r="G705" s="155"/>
      <c r="H705" s="26"/>
      <c r="I705" s="75"/>
      <c r="J705" s="62" t="s">
        <v>3131</v>
      </c>
      <c r="K705" s="62" t="s">
        <v>3132</v>
      </c>
      <c r="L705" s="63" t="s">
        <v>35</v>
      </c>
      <c r="M705" s="64" t="s">
        <v>3133</v>
      </c>
      <c r="N705" s="80" t="s">
        <v>3134</v>
      </c>
      <c r="O705" s="66" t="s">
        <v>3135</v>
      </c>
      <c r="P705" s="37"/>
      <c r="Q705" s="38"/>
      <c r="R705" s="22"/>
      <c r="S705" s="38"/>
      <c r="T705" s="38"/>
      <c r="U705" s="38"/>
      <c r="V705" s="159"/>
      <c r="W705" s="38"/>
      <c r="X705" s="38"/>
      <c r="Y705" s="36" t="str">
        <f t="shared" si="51"/>
        <v>renew</v>
      </c>
      <c r="Z705" s="75"/>
      <c r="AA705" s="75"/>
    </row>
    <row r="706">
      <c r="A706" s="87" t="s">
        <v>3136</v>
      </c>
      <c r="B706" s="87" t="s">
        <v>1749</v>
      </c>
      <c r="C706" s="75">
        <v>576.0</v>
      </c>
      <c r="D706" s="22" t="str">
        <f t="shared" si="1"/>
        <v>General</v>
      </c>
      <c r="E706" s="23" t="str">
        <f t="shared" si="2"/>
        <v>Lapsed</v>
      </c>
      <c r="F706" s="24">
        <v>1.0</v>
      </c>
      <c r="G706" s="155"/>
      <c r="H706" s="26"/>
      <c r="I706" s="75"/>
      <c r="J706" s="62" t="s">
        <v>3137</v>
      </c>
      <c r="K706" s="62" t="s">
        <v>473</v>
      </c>
      <c r="L706" s="63" t="s">
        <v>35</v>
      </c>
      <c r="M706" s="64" t="s">
        <v>3138</v>
      </c>
      <c r="N706" s="80" t="s">
        <v>3139</v>
      </c>
      <c r="O706" s="66" t="s">
        <v>3140</v>
      </c>
      <c r="P706" s="37"/>
      <c r="Q706" s="38"/>
      <c r="R706" s="22"/>
      <c r="S706" s="38"/>
      <c r="T706" s="38"/>
      <c r="U706" s="38"/>
      <c r="V706" s="159"/>
      <c r="W706" s="38"/>
      <c r="X706" s="38"/>
      <c r="Y706" s="36" t="str">
        <f t="shared" si="51"/>
        <v>renew</v>
      </c>
      <c r="Z706" s="75"/>
      <c r="AA706" s="75"/>
    </row>
    <row r="707">
      <c r="A707" s="87" t="s">
        <v>2288</v>
      </c>
      <c r="B707" s="87" t="s">
        <v>3141</v>
      </c>
      <c r="C707" s="75">
        <v>573.0</v>
      </c>
      <c r="D707" s="22" t="str">
        <f t="shared" si="1"/>
        <v>General</v>
      </c>
      <c r="E707" s="23" t="str">
        <f t="shared" si="2"/>
        <v>Lapsed</v>
      </c>
      <c r="F707" s="24">
        <v>1.0</v>
      </c>
      <c r="G707" s="25">
        <v>44721.0</v>
      </c>
      <c r="H707" s="26">
        <f t="shared" ref="H707:H708" si="57">DATE(YEAR(G707)+F707-1, 12, 31)</f>
        <v>44926</v>
      </c>
      <c r="I707" s="75"/>
      <c r="J707" s="62" t="s">
        <v>3142</v>
      </c>
      <c r="K707" s="62" t="s">
        <v>1366</v>
      </c>
      <c r="L707" s="63" t="s">
        <v>35</v>
      </c>
      <c r="M707" s="64" t="s">
        <v>1367</v>
      </c>
      <c r="N707" s="80" t="s">
        <v>3143</v>
      </c>
      <c r="O707" s="66" t="s">
        <v>3144</v>
      </c>
      <c r="P707" s="37"/>
      <c r="Q707" s="38"/>
      <c r="R707" s="22"/>
      <c r="S707" s="22"/>
      <c r="T707" s="22"/>
      <c r="U707" s="22"/>
      <c r="V707" s="59"/>
      <c r="W707" s="22" t="s">
        <v>800</v>
      </c>
      <c r="X707" s="38"/>
      <c r="Y707" s="36" t="str">
        <f t="shared" si="51"/>
        <v>renew</v>
      </c>
      <c r="Z707" s="75"/>
      <c r="AA707" s="75"/>
    </row>
    <row r="708">
      <c r="A708" s="87" t="s">
        <v>186</v>
      </c>
      <c r="B708" s="87" t="s">
        <v>1301</v>
      </c>
      <c r="C708" s="75">
        <v>568.0</v>
      </c>
      <c r="D708" s="22" t="str">
        <f t="shared" si="1"/>
        <v>General</v>
      </c>
      <c r="E708" s="23" t="str">
        <f t="shared" si="2"/>
        <v>Lapsed</v>
      </c>
      <c r="F708" s="24">
        <v>1.0</v>
      </c>
      <c r="G708" s="25">
        <v>45068.0</v>
      </c>
      <c r="H708" s="26">
        <f t="shared" si="57"/>
        <v>45291</v>
      </c>
      <c r="I708" s="75"/>
      <c r="J708" s="62" t="s">
        <v>2793</v>
      </c>
      <c r="K708" s="62" t="s">
        <v>2608</v>
      </c>
      <c r="L708" s="63" t="s">
        <v>35</v>
      </c>
      <c r="M708" s="64" t="s">
        <v>3145</v>
      </c>
      <c r="N708" s="80" t="s">
        <v>3146</v>
      </c>
      <c r="O708" s="66" t="s">
        <v>3147</v>
      </c>
      <c r="P708" s="37"/>
      <c r="Q708" s="38"/>
      <c r="R708" s="22"/>
      <c r="S708" s="22"/>
      <c r="T708" s="22"/>
      <c r="U708" s="22">
        <v>2.0</v>
      </c>
      <c r="V708" s="35">
        <v>45068.0</v>
      </c>
      <c r="W708" s="22" t="s">
        <v>800</v>
      </c>
      <c r="X708" s="22" t="s">
        <v>800</v>
      </c>
      <c r="Y708" s="36" t="str">
        <f t="shared" si="51"/>
        <v>renew</v>
      </c>
      <c r="Z708" s="75"/>
      <c r="AA708" s="75"/>
    </row>
    <row r="709">
      <c r="A709" s="87" t="s">
        <v>3148</v>
      </c>
      <c r="B709" s="87" t="s">
        <v>1562</v>
      </c>
      <c r="C709" s="75">
        <v>565.0</v>
      </c>
      <c r="D709" s="22" t="str">
        <f t="shared" si="1"/>
        <v>General</v>
      </c>
      <c r="E709" s="23" t="str">
        <f t="shared" si="2"/>
        <v>Lapsed</v>
      </c>
      <c r="F709" s="24">
        <v>1.0</v>
      </c>
      <c r="G709" s="155"/>
      <c r="H709" s="26"/>
      <c r="I709" s="75"/>
      <c r="J709" s="62" t="s">
        <v>3149</v>
      </c>
      <c r="K709" s="29" t="s">
        <v>473</v>
      </c>
      <c r="L709" s="63" t="s">
        <v>35</v>
      </c>
      <c r="M709" s="64" t="s">
        <v>402</v>
      </c>
      <c r="N709" s="80" t="s">
        <v>3150</v>
      </c>
      <c r="O709" s="66" t="s">
        <v>3151</v>
      </c>
      <c r="P709" s="37"/>
      <c r="Q709" s="38"/>
      <c r="R709" s="22"/>
      <c r="S709" s="38"/>
      <c r="T709" s="38"/>
      <c r="U709" s="38"/>
      <c r="V709" s="159"/>
      <c r="W709" s="38"/>
      <c r="X709" s="38"/>
      <c r="Y709" s="36" t="str">
        <f t="shared" si="51"/>
        <v>renew</v>
      </c>
      <c r="Z709" s="75"/>
      <c r="AA709" s="75"/>
    </row>
    <row r="710">
      <c r="A710" s="87" t="s">
        <v>3152</v>
      </c>
      <c r="B710" s="87" t="s">
        <v>554</v>
      </c>
      <c r="C710" s="75">
        <v>564.0</v>
      </c>
      <c r="D710" s="22" t="str">
        <f t="shared" si="1"/>
        <v>General</v>
      </c>
      <c r="E710" s="23" t="str">
        <f t="shared" si="2"/>
        <v>Lapsed</v>
      </c>
      <c r="F710" s="24">
        <v>1.0</v>
      </c>
      <c r="G710" s="25">
        <v>45878.0</v>
      </c>
      <c r="H710" s="26">
        <f t="shared" ref="H710:H712" si="58">DATE(YEAR(G710)+F710-1, 12, 31)</f>
        <v>46022</v>
      </c>
      <c r="I710" s="75"/>
      <c r="J710" s="62" t="s">
        <v>3153</v>
      </c>
      <c r="K710" s="62" t="s">
        <v>157</v>
      </c>
      <c r="L710" s="63" t="s">
        <v>35</v>
      </c>
      <c r="M710" s="64" t="s">
        <v>158</v>
      </c>
      <c r="N710" s="80" t="s">
        <v>3154</v>
      </c>
      <c r="O710" s="54">
        <v>9.708181831E9</v>
      </c>
      <c r="P710" s="37"/>
      <c r="Q710" s="38"/>
      <c r="R710" s="22"/>
      <c r="S710" s="22">
        <v>4.0</v>
      </c>
      <c r="T710" s="22"/>
      <c r="U710" s="22"/>
      <c r="V710" s="59"/>
      <c r="W710" s="22" t="s">
        <v>800</v>
      </c>
      <c r="X710" s="38"/>
      <c r="Y710" s="36" t="str">
        <f t="shared" si="51"/>
        <v>renew</v>
      </c>
      <c r="Z710" s="75"/>
      <c r="AA710" s="75"/>
    </row>
    <row r="711">
      <c r="A711" s="87" t="s">
        <v>1783</v>
      </c>
      <c r="B711" s="87" t="s">
        <v>3155</v>
      </c>
      <c r="C711" s="75">
        <v>559.0</v>
      </c>
      <c r="D711" s="22" t="str">
        <f t="shared" si="1"/>
        <v>General</v>
      </c>
      <c r="E711" s="23" t="str">
        <f t="shared" si="2"/>
        <v>Lapsed</v>
      </c>
      <c r="F711" s="24">
        <v>1.0</v>
      </c>
      <c r="G711" s="155">
        <v>44348.0</v>
      </c>
      <c r="H711" s="26">
        <f t="shared" si="58"/>
        <v>44561</v>
      </c>
      <c r="I711" s="75"/>
      <c r="J711" s="62" t="s">
        <v>3156</v>
      </c>
      <c r="K711" s="62" t="s">
        <v>3157</v>
      </c>
      <c r="L711" s="63" t="s">
        <v>35</v>
      </c>
      <c r="M711" s="64" t="s">
        <v>113</v>
      </c>
      <c r="N711" s="80" t="s">
        <v>3158</v>
      </c>
      <c r="O711" s="66" t="s">
        <v>3159</v>
      </c>
      <c r="P711" s="37"/>
      <c r="Q711" s="38"/>
      <c r="R711" s="22"/>
      <c r="S711" s="38"/>
      <c r="T711" s="38"/>
      <c r="U711" s="38"/>
      <c r="V711" s="59"/>
      <c r="W711" s="38"/>
      <c r="X711" s="38"/>
      <c r="Y711" s="36" t="str">
        <f t="shared" si="51"/>
        <v>renew</v>
      </c>
      <c r="Z711" s="75"/>
      <c r="AA711" s="75"/>
    </row>
    <row r="712">
      <c r="A712" s="87" t="s">
        <v>284</v>
      </c>
      <c r="B712" s="87" t="s">
        <v>3160</v>
      </c>
      <c r="C712" s="21">
        <v>554.0</v>
      </c>
      <c r="D712" s="22" t="str">
        <f t="shared" si="1"/>
        <v>General</v>
      </c>
      <c r="E712" s="23" t="str">
        <f t="shared" si="2"/>
        <v>Lapsed</v>
      </c>
      <c r="F712" s="24">
        <v>1.0</v>
      </c>
      <c r="G712" s="25">
        <v>45771.0</v>
      </c>
      <c r="H712" s="26">
        <f t="shared" si="58"/>
        <v>46022</v>
      </c>
      <c r="I712" s="21"/>
      <c r="J712" s="62" t="s">
        <v>3161</v>
      </c>
      <c r="K712" s="62" t="s">
        <v>2575</v>
      </c>
      <c r="L712" s="63" t="s">
        <v>35</v>
      </c>
      <c r="M712" s="64" t="s">
        <v>3162</v>
      </c>
      <c r="N712" s="53" t="s">
        <v>3163</v>
      </c>
      <c r="O712" s="66" t="s">
        <v>3164</v>
      </c>
      <c r="P712" s="37"/>
      <c r="Q712" s="38"/>
      <c r="R712" s="22"/>
      <c r="S712" s="22">
        <v>1.0</v>
      </c>
      <c r="T712" s="38"/>
      <c r="U712" s="38"/>
      <c r="V712" s="59"/>
      <c r="W712" s="38"/>
      <c r="X712" s="38"/>
      <c r="Y712" s="36" t="str">
        <f t="shared" si="51"/>
        <v>renew</v>
      </c>
      <c r="Z712" s="21" t="s">
        <v>27</v>
      </c>
      <c r="AA712" s="75"/>
    </row>
    <row r="713">
      <c r="A713" s="87" t="s">
        <v>3165</v>
      </c>
      <c r="B713" s="87" t="s">
        <v>3166</v>
      </c>
      <c r="C713" s="75">
        <v>553.0</v>
      </c>
      <c r="D713" s="22" t="str">
        <f t="shared" si="1"/>
        <v>General</v>
      </c>
      <c r="E713" s="23" t="str">
        <f t="shared" si="2"/>
        <v>Lapsed</v>
      </c>
      <c r="F713" s="24">
        <v>1.0</v>
      </c>
      <c r="G713" s="155"/>
      <c r="H713" s="26"/>
      <c r="I713" s="75"/>
      <c r="J713" s="62" t="s">
        <v>3167</v>
      </c>
      <c r="K713" s="62" t="s">
        <v>164</v>
      </c>
      <c r="L713" s="63" t="s">
        <v>35</v>
      </c>
      <c r="M713" s="64" t="s">
        <v>165</v>
      </c>
      <c r="N713" s="80" t="s">
        <v>3168</v>
      </c>
      <c r="O713" s="66" t="s">
        <v>3169</v>
      </c>
      <c r="P713" s="37"/>
      <c r="Q713" s="38"/>
      <c r="R713" s="22"/>
      <c r="S713" s="38"/>
      <c r="T713" s="38"/>
      <c r="U713" s="38"/>
      <c r="V713" s="159"/>
      <c r="W713" s="38"/>
      <c r="X713" s="38"/>
      <c r="Y713" s="36" t="str">
        <f t="shared" si="51"/>
        <v>renew</v>
      </c>
      <c r="Z713" s="75"/>
      <c r="AA713" s="75"/>
    </row>
    <row r="714">
      <c r="A714" s="87" t="s">
        <v>1315</v>
      </c>
      <c r="B714" s="87" t="s">
        <v>3170</v>
      </c>
      <c r="C714" s="75">
        <v>550.0</v>
      </c>
      <c r="D714" s="22" t="str">
        <f t="shared" si="1"/>
        <v>General</v>
      </c>
      <c r="E714" s="23" t="str">
        <f t="shared" si="2"/>
        <v>Lapsed</v>
      </c>
      <c r="F714" s="24">
        <v>1.0</v>
      </c>
      <c r="G714" s="25">
        <v>44786.0</v>
      </c>
      <c r="H714" s="26">
        <f t="shared" ref="H714:H715" si="59">DATE(YEAR(G714)+F714-1, 12, 31)</f>
        <v>44926</v>
      </c>
      <c r="I714" s="75"/>
      <c r="J714" s="62" t="s">
        <v>3171</v>
      </c>
      <c r="K714" s="62" t="s">
        <v>56</v>
      </c>
      <c r="L714" s="63" t="s">
        <v>57</v>
      </c>
      <c r="M714" s="64" t="s">
        <v>63</v>
      </c>
      <c r="N714" s="80" t="s">
        <v>3172</v>
      </c>
      <c r="O714" s="66" t="s">
        <v>3173</v>
      </c>
      <c r="P714" s="37"/>
      <c r="Q714" s="38"/>
      <c r="R714" s="22"/>
      <c r="S714" s="38"/>
      <c r="T714" s="38"/>
      <c r="U714" s="38"/>
      <c r="V714" s="59"/>
      <c r="W714" s="22" t="s">
        <v>800</v>
      </c>
      <c r="X714" s="38"/>
      <c r="Y714" s="36" t="str">
        <f t="shared" si="51"/>
        <v>renew</v>
      </c>
      <c r="Z714" s="75"/>
      <c r="AA714" s="75"/>
    </row>
    <row r="715">
      <c r="A715" s="87" t="s">
        <v>3174</v>
      </c>
      <c r="B715" s="87" t="s">
        <v>3175</v>
      </c>
      <c r="C715" s="75">
        <v>546.0</v>
      </c>
      <c r="D715" s="22" t="str">
        <f t="shared" si="1"/>
        <v>General</v>
      </c>
      <c r="E715" s="23" t="str">
        <f t="shared" si="2"/>
        <v>Lapsed</v>
      </c>
      <c r="F715" s="24">
        <v>1.0</v>
      </c>
      <c r="G715" s="155">
        <v>43199.0</v>
      </c>
      <c r="H715" s="26">
        <f t="shared" si="59"/>
        <v>43465</v>
      </c>
      <c r="I715" s="75"/>
      <c r="J715" s="62" t="s">
        <v>3176</v>
      </c>
      <c r="K715" s="62" t="s">
        <v>3177</v>
      </c>
      <c r="L715" s="63" t="s">
        <v>244</v>
      </c>
      <c r="M715" s="64" t="s">
        <v>3178</v>
      </c>
      <c r="N715" s="80" t="s">
        <v>3179</v>
      </c>
      <c r="O715" s="66" t="s">
        <v>3180</v>
      </c>
      <c r="P715" s="38"/>
      <c r="Q715" s="38"/>
      <c r="R715" s="22"/>
      <c r="S715" s="38"/>
      <c r="T715" s="38"/>
      <c r="U715" s="38"/>
      <c r="V715" s="59"/>
      <c r="W715" s="38"/>
      <c r="X715" s="38"/>
      <c r="Y715" s="36" t="str">
        <f t="shared" si="51"/>
        <v>renew</v>
      </c>
      <c r="Z715" s="75"/>
      <c r="AA715" s="75"/>
    </row>
    <row r="716">
      <c r="A716" s="87" t="s">
        <v>2602</v>
      </c>
      <c r="B716" s="87" t="s">
        <v>614</v>
      </c>
      <c r="C716" s="75">
        <v>544.0</v>
      </c>
      <c r="D716" s="22" t="str">
        <f t="shared" si="1"/>
        <v>General</v>
      </c>
      <c r="E716" s="23" t="str">
        <f t="shared" si="2"/>
        <v>Lapsed</v>
      </c>
      <c r="F716" s="24">
        <v>1.0</v>
      </c>
      <c r="G716" s="155"/>
      <c r="H716" s="26"/>
      <c r="I716" s="75"/>
      <c r="J716" s="62" t="s">
        <v>3181</v>
      </c>
      <c r="K716" s="62" t="s">
        <v>3182</v>
      </c>
      <c r="L716" s="63" t="s">
        <v>57</v>
      </c>
      <c r="M716" s="64">
        <v>82331.0</v>
      </c>
      <c r="N716" s="80" t="s">
        <v>3183</v>
      </c>
      <c r="O716" s="66" t="s">
        <v>3184</v>
      </c>
      <c r="P716" s="37"/>
      <c r="Q716" s="38"/>
      <c r="R716" s="22"/>
      <c r="S716" s="38"/>
      <c r="T716" s="38"/>
      <c r="U716" s="38"/>
      <c r="V716" s="159"/>
      <c r="W716" s="38"/>
      <c r="X716" s="38"/>
      <c r="Y716" s="36" t="str">
        <f t="shared" si="51"/>
        <v>renew</v>
      </c>
      <c r="Z716" s="75"/>
      <c r="AA716" s="75"/>
    </row>
    <row r="717">
      <c r="A717" s="87" t="s">
        <v>1200</v>
      </c>
      <c r="B717" s="87" t="s">
        <v>3185</v>
      </c>
      <c r="C717" s="75">
        <v>543.0</v>
      </c>
      <c r="D717" s="22" t="str">
        <f t="shared" si="1"/>
        <v>General</v>
      </c>
      <c r="E717" s="23" t="str">
        <f t="shared" si="2"/>
        <v>Lapsed</v>
      </c>
      <c r="F717" s="24">
        <v>1.0</v>
      </c>
      <c r="G717" s="155">
        <v>44295.0</v>
      </c>
      <c r="H717" s="26">
        <f t="shared" ref="H717:H727" si="60">DATE(YEAR(G717)+F717-1, 12, 31)</f>
        <v>44561</v>
      </c>
      <c r="I717" s="75"/>
      <c r="J717" s="62" t="s">
        <v>3186</v>
      </c>
      <c r="K717" s="62" t="s">
        <v>2570</v>
      </c>
      <c r="L717" s="63" t="s">
        <v>57</v>
      </c>
      <c r="M717" s="64" t="s">
        <v>3187</v>
      </c>
      <c r="N717" s="80" t="s">
        <v>3188</v>
      </c>
      <c r="O717" s="66" t="s">
        <v>3189</v>
      </c>
      <c r="P717" s="37"/>
      <c r="Q717" s="38"/>
      <c r="R717" s="22"/>
      <c r="S717" s="38"/>
      <c r="T717" s="38"/>
      <c r="U717" s="38"/>
      <c r="V717" s="59"/>
      <c r="W717" s="38"/>
      <c r="X717" s="38"/>
      <c r="Y717" s="36" t="str">
        <f t="shared" si="51"/>
        <v>renew</v>
      </c>
      <c r="Z717" s="75"/>
      <c r="AA717" s="75"/>
    </row>
    <row r="718">
      <c r="A718" s="87" t="s">
        <v>1876</v>
      </c>
      <c r="B718" s="87" t="s">
        <v>704</v>
      </c>
      <c r="C718" s="75">
        <v>542.0</v>
      </c>
      <c r="D718" s="22" t="str">
        <f t="shared" si="1"/>
        <v>General</v>
      </c>
      <c r="E718" s="23" t="str">
        <f t="shared" si="2"/>
        <v>Lapsed</v>
      </c>
      <c r="F718" s="24">
        <v>1.0</v>
      </c>
      <c r="G718" s="155">
        <v>43199.0</v>
      </c>
      <c r="H718" s="26">
        <f t="shared" si="60"/>
        <v>43465</v>
      </c>
      <c r="I718" s="75"/>
      <c r="J718" s="62" t="s">
        <v>3190</v>
      </c>
      <c r="K718" s="62" t="s">
        <v>2575</v>
      </c>
      <c r="L718" s="63" t="s">
        <v>35</v>
      </c>
      <c r="M718" s="64" t="s">
        <v>3162</v>
      </c>
      <c r="N718" s="80" t="s">
        <v>3191</v>
      </c>
      <c r="O718" s="66" t="s">
        <v>3192</v>
      </c>
      <c r="P718" s="38"/>
      <c r="Q718" s="38"/>
      <c r="R718" s="22"/>
      <c r="S718" s="38"/>
      <c r="T718" s="38"/>
      <c r="U718" s="38"/>
      <c r="V718" s="59"/>
      <c r="W718" s="38"/>
      <c r="X718" s="38"/>
      <c r="Y718" s="36" t="str">
        <f t="shared" si="51"/>
        <v>renew</v>
      </c>
      <c r="Z718" s="75"/>
      <c r="AA718" s="75"/>
    </row>
    <row r="719">
      <c r="A719" s="87" t="s">
        <v>3193</v>
      </c>
      <c r="B719" s="87" t="s">
        <v>3194</v>
      </c>
      <c r="C719" s="75">
        <v>534.0</v>
      </c>
      <c r="D719" s="22" t="str">
        <f t="shared" si="1"/>
        <v>General</v>
      </c>
      <c r="E719" s="23" t="str">
        <f t="shared" si="2"/>
        <v>Lapsed</v>
      </c>
      <c r="F719" s="24">
        <v>1.0</v>
      </c>
      <c r="G719" s="25">
        <v>45933.0</v>
      </c>
      <c r="H719" s="26">
        <f t="shared" si="60"/>
        <v>46022</v>
      </c>
      <c r="I719" s="75"/>
      <c r="J719" s="62" t="s">
        <v>3195</v>
      </c>
      <c r="K719" s="62" t="s">
        <v>657</v>
      </c>
      <c r="L719" s="63" t="s">
        <v>35</v>
      </c>
      <c r="M719" s="64" t="s">
        <v>658</v>
      </c>
      <c r="N719" s="80" t="s">
        <v>3196</v>
      </c>
      <c r="O719" s="66" t="s">
        <v>3197</v>
      </c>
      <c r="P719" s="38"/>
      <c r="Q719" s="38"/>
      <c r="R719" s="22"/>
      <c r="S719" s="22">
        <v>5.0</v>
      </c>
      <c r="T719" s="38"/>
      <c r="U719" s="38"/>
      <c r="V719" s="59"/>
      <c r="W719" s="38"/>
      <c r="X719" s="38"/>
      <c r="Y719" s="36" t="str">
        <f t="shared" si="51"/>
        <v>renew</v>
      </c>
      <c r="Z719" s="75"/>
      <c r="AA719" s="75"/>
    </row>
    <row r="720">
      <c r="A720" s="87" t="s">
        <v>3198</v>
      </c>
      <c r="B720" s="87" t="s">
        <v>3199</v>
      </c>
      <c r="C720" s="75">
        <v>531.0</v>
      </c>
      <c r="D720" s="22" t="str">
        <f t="shared" si="1"/>
        <v>General</v>
      </c>
      <c r="E720" s="23" t="str">
        <f t="shared" si="2"/>
        <v>Lapsed</v>
      </c>
      <c r="F720" s="24">
        <v>1.0</v>
      </c>
      <c r="G720" s="155">
        <v>43590.0</v>
      </c>
      <c r="H720" s="26">
        <f t="shared" si="60"/>
        <v>43830</v>
      </c>
      <c r="I720" s="75"/>
      <c r="J720" s="62" t="s">
        <v>3200</v>
      </c>
      <c r="K720" s="62" t="s">
        <v>56</v>
      </c>
      <c r="L720" s="63" t="s">
        <v>57</v>
      </c>
      <c r="M720" s="64" t="s">
        <v>804</v>
      </c>
      <c r="N720" s="80" t="s">
        <v>3201</v>
      </c>
      <c r="O720" s="66" t="s">
        <v>3202</v>
      </c>
      <c r="P720" s="38"/>
      <c r="Q720" s="38"/>
      <c r="R720" s="22"/>
      <c r="S720" s="38"/>
      <c r="T720" s="38"/>
      <c r="U720" s="38"/>
      <c r="V720" s="59"/>
      <c r="W720" s="38"/>
      <c r="X720" s="38"/>
      <c r="Y720" s="36" t="str">
        <f t="shared" si="51"/>
        <v>renew</v>
      </c>
      <c r="Z720" s="75"/>
      <c r="AA720" s="75"/>
    </row>
    <row r="721">
      <c r="A721" s="87" t="s">
        <v>3203</v>
      </c>
      <c r="B721" s="87" t="s">
        <v>3204</v>
      </c>
      <c r="C721" s="75">
        <v>530.0</v>
      </c>
      <c r="D721" s="22" t="str">
        <f t="shared" si="1"/>
        <v>General</v>
      </c>
      <c r="E721" s="23" t="str">
        <f t="shared" si="2"/>
        <v>Lapsed</v>
      </c>
      <c r="F721" s="24">
        <v>1.0</v>
      </c>
      <c r="G721" s="155">
        <v>43190.0</v>
      </c>
      <c r="H721" s="26">
        <f t="shared" si="60"/>
        <v>43465</v>
      </c>
      <c r="I721" s="75"/>
      <c r="J721" s="62" t="s">
        <v>3205</v>
      </c>
      <c r="K721" s="62" t="s">
        <v>56</v>
      </c>
      <c r="L721" s="81" t="s">
        <v>57</v>
      </c>
      <c r="M721" s="64" t="s">
        <v>804</v>
      </c>
      <c r="N721" s="145"/>
      <c r="O721" s="66" t="s">
        <v>3206</v>
      </c>
      <c r="P721" s="38"/>
      <c r="Q721" s="38"/>
      <c r="R721" s="22"/>
      <c r="S721" s="38"/>
      <c r="T721" s="38"/>
      <c r="U721" s="38"/>
      <c r="V721" s="59"/>
      <c r="W721" s="38"/>
      <c r="X721" s="38"/>
      <c r="Y721" s="36" t="str">
        <f t="shared" si="51"/>
        <v>renew</v>
      </c>
      <c r="Z721" s="75"/>
      <c r="AA721" s="75"/>
    </row>
    <row r="722">
      <c r="A722" s="87" t="s">
        <v>3207</v>
      </c>
      <c r="B722" s="87" t="s">
        <v>3208</v>
      </c>
      <c r="C722" s="75">
        <v>527.0</v>
      </c>
      <c r="D722" s="22" t="str">
        <f t="shared" si="1"/>
        <v>General</v>
      </c>
      <c r="E722" s="23" t="str">
        <f t="shared" si="2"/>
        <v>Lapsed</v>
      </c>
      <c r="F722" s="24">
        <v>1.0</v>
      </c>
      <c r="G722" s="155">
        <v>43190.0</v>
      </c>
      <c r="H722" s="26">
        <f t="shared" si="60"/>
        <v>43465</v>
      </c>
      <c r="I722" s="75"/>
      <c r="J722" s="62" t="s">
        <v>3209</v>
      </c>
      <c r="K722" s="62" t="s">
        <v>42</v>
      </c>
      <c r="L722" s="63" t="s">
        <v>35</v>
      </c>
      <c r="M722" s="64" t="s">
        <v>131</v>
      </c>
      <c r="N722" s="80" t="s">
        <v>3210</v>
      </c>
      <c r="O722" s="66" t="s">
        <v>3211</v>
      </c>
      <c r="P722" s="38"/>
      <c r="Q722" s="38"/>
      <c r="R722" s="22"/>
      <c r="S722" s="38"/>
      <c r="T722" s="38"/>
      <c r="U722" s="38"/>
      <c r="V722" s="59"/>
      <c r="W722" s="38"/>
      <c r="X722" s="38"/>
      <c r="Y722" s="36" t="str">
        <f t="shared" si="51"/>
        <v>renew</v>
      </c>
      <c r="Z722" s="75"/>
      <c r="AA722" s="75"/>
    </row>
    <row r="723">
      <c r="A723" s="87" t="s">
        <v>1858</v>
      </c>
      <c r="B723" s="87" t="s">
        <v>3212</v>
      </c>
      <c r="C723" s="75">
        <v>525.0</v>
      </c>
      <c r="D723" s="22" t="str">
        <f t="shared" si="1"/>
        <v>General</v>
      </c>
      <c r="E723" s="23" t="str">
        <f t="shared" si="2"/>
        <v>Lapsed</v>
      </c>
      <c r="F723" s="24">
        <v>1.0</v>
      </c>
      <c r="G723" s="155">
        <v>44463.0</v>
      </c>
      <c r="H723" s="26">
        <f t="shared" si="60"/>
        <v>44561</v>
      </c>
      <c r="I723" s="75"/>
      <c r="J723" s="62" t="s">
        <v>3213</v>
      </c>
      <c r="K723" s="62" t="s">
        <v>3214</v>
      </c>
      <c r="L723" s="63" t="s">
        <v>35</v>
      </c>
      <c r="M723" s="64" t="s">
        <v>3138</v>
      </c>
      <c r="N723" s="80" t="s">
        <v>3215</v>
      </c>
      <c r="O723" s="66" t="s">
        <v>3216</v>
      </c>
      <c r="P723" s="37"/>
      <c r="Q723" s="38"/>
      <c r="R723" s="22"/>
      <c r="S723" s="38"/>
      <c r="T723" s="38"/>
      <c r="U723" s="38"/>
      <c r="V723" s="59"/>
      <c r="W723" s="38"/>
      <c r="X723" s="38"/>
      <c r="Y723" s="36" t="str">
        <f t="shared" si="51"/>
        <v>renew</v>
      </c>
      <c r="Z723" s="75"/>
      <c r="AA723" s="75"/>
    </row>
    <row r="724">
      <c r="A724" s="87" t="s">
        <v>3217</v>
      </c>
      <c r="B724" s="87" t="s">
        <v>3218</v>
      </c>
      <c r="C724" s="75">
        <v>523.0</v>
      </c>
      <c r="D724" s="22" t="str">
        <f t="shared" si="1"/>
        <v>General</v>
      </c>
      <c r="E724" s="23" t="str">
        <f t="shared" si="2"/>
        <v>Lapsed</v>
      </c>
      <c r="F724" s="24">
        <v>1.0</v>
      </c>
      <c r="G724" s="25">
        <v>44344.0</v>
      </c>
      <c r="H724" s="26">
        <f t="shared" si="60"/>
        <v>44561</v>
      </c>
      <c r="I724" s="75"/>
      <c r="J724" s="62" t="s">
        <v>3219</v>
      </c>
      <c r="K724" s="62" t="s">
        <v>3220</v>
      </c>
      <c r="L724" s="63" t="s">
        <v>3221</v>
      </c>
      <c r="M724" s="64">
        <v>59714.0</v>
      </c>
      <c r="N724" s="80" t="s">
        <v>3222</v>
      </c>
      <c r="O724" s="66" t="s">
        <v>3223</v>
      </c>
      <c r="P724" s="37"/>
      <c r="Q724" s="38"/>
      <c r="R724" s="22"/>
      <c r="S724" s="38"/>
      <c r="T724" s="38"/>
      <c r="U724" s="38"/>
      <c r="V724" s="59"/>
      <c r="W724" s="38"/>
      <c r="X724" s="38"/>
      <c r="Y724" s="36" t="str">
        <f t="shared" si="51"/>
        <v>renew</v>
      </c>
      <c r="Z724" s="75"/>
      <c r="AA724" s="75"/>
    </row>
    <row r="725">
      <c r="A725" s="87" t="s">
        <v>2340</v>
      </c>
      <c r="B725" s="87" t="s">
        <v>3224</v>
      </c>
      <c r="C725" s="75">
        <v>522.0</v>
      </c>
      <c r="D725" s="22" t="str">
        <f t="shared" si="1"/>
        <v>General</v>
      </c>
      <c r="E725" s="23" t="str">
        <f t="shared" si="2"/>
        <v>Active</v>
      </c>
      <c r="F725" s="24">
        <v>3.0</v>
      </c>
      <c r="G725" s="25">
        <v>45705.0</v>
      </c>
      <c r="H725" s="26">
        <f t="shared" si="60"/>
        <v>46752</v>
      </c>
      <c r="I725" s="21" t="s">
        <v>8</v>
      </c>
      <c r="J725" s="62" t="s">
        <v>3225</v>
      </c>
      <c r="K725" s="62" t="s">
        <v>56</v>
      </c>
      <c r="L725" s="63" t="s">
        <v>57</v>
      </c>
      <c r="M725" s="64" t="s">
        <v>58</v>
      </c>
      <c r="N725" s="80" t="s">
        <v>3226</v>
      </c>
      <c r="O725" s="66" t="s">
        <v>3227</v>
      </c>
      <c r="P725" s="37"/>
      <c r="Q725" s="38"/>
      <c r="R725" s="22"/>
      <c r="S725" s="22">
        <v>1.0</v>
      </c>
      <c r="T725" s="22">
        <v>1.0</v>
      </c>
      <c r="U725" s="38"/>
      <c r="V725" s="59"/>
      <c r="W725" s="22" t="s">
        <v>800</v>
      </c>
      <c r="X725" s="38"/>
      <c r="Y725" s="36" t="s">
        <v>45</v>
      </c>
      <c r="Z725" s="21" t="s">
        <v>8</v>
      </c>
      <c r="AA725" s="75"/>
    </row>
    <row r="726">
      <c r="A726" s="87" t="s">
        <v>3228</v>
      </c>
      <c r="B726" s="87" t="s">
        <v>2419</v>
      </c>
      <c r="C726" s="75">
        <v>518.0</v>
      </c>
      <c r="D726" s="22" t="str">
        <f t="shared" si="1"/>
        <v>Youth</v>
      </c>
      <c r="E726" s="23" t="str">
        <f t="shared" si="2"/>
        <v>Lapsed</v>
      </c>
      <c r="F726" s="24">
        <v>1.0</v>
      </c>
      <c r="G726" s="25">
        <v>45515.0</v>
      </c>
      <c r="H726" s="26">
        <f t="shared" si="60"/>
        <v>45657</v>
      </c>
      <c r="I726" s="21"/>
      <c r="J726" s="62" t="s">
        <v>2420</v>
      </c>
      <c r="K726" s="62" t="s">
        <v>42</v>
      </c>
      <c r="L726" s="81" t="s">
        <v>35</v>
      </c>
      <c r="M726" s="64" t="s">
        <v>239</v>
      </c>
      <c r="N726" s="80" t="s">
        <v>2421</v>
      </c>
      <c r="O726" s="66" t="s">
        <v>2422</v>
      </c>
      <c r="P726" s="33">
        <v>39542.0</v>
      </c>
      <c r="Q726" s="22">
        <f>datedif(P726,today(),"Y")</f>
        <v>18</v>
      </c>
      <c r="R726" s="22"/>
      <c r="S726" s="22"/>
      <c r="T726" s="22">
        <v>1.0</v>
      </c>
      <c r="U726" s="22">
        <v>1.0</v>
      </c>
      <c r="V726" s="116">
        <v>45044.0</v>
      </c>
      <c r="W726" s="22" t="s">
        <v>800</v>
      </c>
      <c r="X726" s="22" t="s">
        <v>800</v>
      </c>
      <c r="Y726" s="36" t="str">
        <f t="shared" ref="Y726:Y731" si="61">if(E726="Active","send","renew")</f>
        <v>renew</v>
      </c>
      <c r="Z726" s="21"/>
      <c r="AA726" s="75"/>
    </row>
    <row r="727">
      <c r="A727" s="87" t="s">
        <v>3229</v>
      </c>
      <c r="B727" s="87" t="s">
        <v>3230</v>
      </c>
      <c r="C727" s="75">
        <v>517.0</v>
      </c>
      <c r="D727" s="22" t="str">
        <f t="shared" si="1"/>
        <v>General</v>
      </c>
      <c r="E727" s="23" t="str">
        <f t="shared" si="2"/>
        <v>Lapsed</v>
      </c>
      <c r="F727" s="24">
        <v>1.0</v>
      </c>
      <c r="G727" s="25">
        <v>45771.0</v>
      </c>
      <c r="H727" s="26">
        <f t="shared" si="60"/>
        <v>46022</v>
      </c>
      <c r="I727" s="21"/>
      <c r="J727" s="62" t="s">
        <v>3231</v>
      </c>
      <c r="K727" s="62" t="s">
        <v>3232</v>
      </c>
      <c r="L727" s="63" t="s">
        <v>35</v>
      </c>
      <c r="M727" s="64" t="s">
        <v>3233</v>
      </c>
      <c r="N727" s="80" t="s">
        <v>3234</v>
      </c>
      <c r="O727" s="66" t="s">
        <v>3235</v>
      </c>
      <c r="P727" s="37"/>
      <c r="Q727" s="38"/>
      <c r="R727" s="22"/>
      <c r="S727" s="22">
        <v>1.0</v>
      </c>
      <c r="T727" s="22"/>
      <c r="U727" s="22">
        <v>2.0</v>
      </c>
      <c r="V727" s="116">
        <v>45150.0</v>
      </c>
      <c r="W727" s="22" t="s">
        <v>800</v>
      </c>
      <c r="X727" s="22" t="s">
        <v>800</v>
      </c>
      <c r="Y727" s="36" t="str">
        <f t="shared" si="61"/>
        <v>renew</v>
      </c>
      <c r="Z727" s="21" t="s">
        <v>27</v>
      </c>
      <c r="AA727" s="75"/>
    </row>
    <row r="728">
      <c r="A728" s="87" t="s">
        <v>3236</v>
      </c>
      <c r="B728" s="87" t="s">
        <v>3237</v>
      </c>
      <c r="C728" s="75">
        <v>514.0</v>
      </c>
      <c r="D728" s="22" t="str">
        <f t="shared" si="1"/>
        <v>General</v>
      </c>
      <c r="E728" s="23" t="str">
        <f t="shared" si="2"/>
        <v>Lapsed</v>
      </c>
      <c r="F728" s="24">
        <v>1.0</v>
      </c>
      <c r="G728" s="155"/>
      <c r="H728" s="26"/>
      <c r="I728" s="75"/>
      <c r="J728" s="62" t="s">
        <v>3238</v>
      </c>
      <c r="K728" s="62" t="s">
        <v>3239</v>
      </c>
      <c r="L728" s="63" t="s">
        <v>244</v>
      </c>
      <c r="M728" s="64" t="s">
        <v>3240</v>
      </c>
      <c r="N728" s="80" t="s">
        <v>3241</v>
      </c>
      <c r="O728" s="66" t="s">
        <v>3242</v>
      </c>
      <c r="P728" s="37"/>
      <c r="Q728" s="38"/>
      <c r="R728" s="22"/>
      <c r="S728" s="38"/>
      <c r="T728" s="38"/>
      <c r="U728" s="38"/>
      <c r="V728" s="159"/>
      <c r="W728" s="38"/>
      <c r="X728" s="38"/>
      <c r="Y728" s="36" t="str">
        <f t="shared" si="61"/>
        <v>renew</v>
      </c>
      <c r="Z728" s="75"/>
      <c r="AA728" s="75"/>
    </row>
    <row r="729">
      <c r="A729" s="87" t="s">
        <v>3243</v>
      </c>
      <c r="B729" s="87" t="s">
        <v>3244</v>
      </c>
      <c r="C729" s="75">
        <v>508.0</v>
      </c>
      <c r="D729" s="22" t="str">
        <f t="shared" si="1"/>
        <v>General</v>
      </c>
      <c r="E729" s="23" t="str">
        <f t="shared" si="2"/>
        <v>Lapsed</v>
      </c>
      <c r="F729" s="24">
        <v>1.0</v>
      </c>
      <c r="G729" s="155">
        <v>44375.0</v>
      </c>
      <c r="H729" s="26">
        <f t="shared" ref="H729:H739" si="62">DATE(YEAR(G729)+F729-1, 12, 31)</f>
        <v>44561</v>
      </c>
      <c r="I729" s="75"/>
      <c r="J729" s="62" t="s">
        <v>3245</v>
      </c>
      <c r="K729" s="62" t="s">
        <v>2570</v>
      </c>
      <c r="L729" s="63" t="s">
        <v>57</v>
      </c>
      <c r="M729" s="64" t="s">
        <v>3187</v>
      </c>
      <c r="N729" s="80" t="s">
        <v>3246</v>
      </c>
      <c r="O729" s="66" t="s">
        <v>3247</v>
      </c>
      <c r="P729" s="37"/>
      <c r="Q729" s="38"/>
      <c r="R729" s="22"/>
      <c r="S729" s="38"/>
      <c r="T729" s="38"/>
      <c r="U729" s="38"/>
      <c r="V729" s="59"/>
      <c r="W729" s="38"/>
      <c r="X729" s="38"/>
      <c r="Y729" s="36" t="str">
        <f t="shared" si="61"/>
        <v>renew</v>
      </c>
      <c r="Z729" s="75"/>
      <c r="AA729" s="75"/>
    </row>
    <row r="730">
      <c r="A730" s="87" t="s">
        <v>3248</v>
      </c>
      <c r="B730" s="87" t="s">
        <v>3249</v>
      </c>
      <c r="C730" s="75">
        <v>507.0</v>
      </c>
      <c r="D730" s="22" t="str">
        <f t="shared" si="1"/>
        <v>General</v>
      </c>
      <c r="E730" s="23" t="str">
        <f t="shared" si="2"/>
        <v>Lapsed</v>
      </c>
      <c r="F730" s="24">
        <v>1.0</v>
      </c>
      <c r="G730" s="25">
        <v>45319.0</v>
      </c>
      <c r="H730" s="26">
        <f t="shared" si="62"/>
        <v>45657</v>
      </c>
      <c r="I730" s="21"/>
      <c r="J730" s="62" t="s">
        <v>3250</v>
      </c>
      <c r="K730" s="62" t="s">
        <v>2575</v>
      </c>
      <c r="L730" s="63" t="s">
        <v>35</v>
      </c>
      <c r="M730" s="64" t="s">
        <v>3162</v>
      </c>
      <c r="N730" s="80" t="s">
        <v>3251</v>
      </c>
      <c r="O730" s="66" t="s">
        <v>3252</v>
      </c>
      <c r="P730" s="37"/>
      <c r="Q730" s="38"/>
      <c r="R730" s="22"/>
      <c r="S730" s="22"/>
      <c r="T730" s="22">
        <v>1.0</v>
      </c>
      <c r="U730" s="22"/>
      <c r="V730" s="59"/>
      <c r="W730" s="22" t="s">
        <v>800</v>
      </c>
      <c r="X730" s="38"/>
      <c r="Y730" s="36" t="str">
        <f t="shared" si="61"/>
        <v>renew</v>
      </c>
      <c r="Z730" s="21"/>
      <c r="AA730" s="75"/>
    </row>
    <row r="731">
      <c r="A731" s="87" t="s">
        <v>3253</v>
      </c>
      <c r="B731" s="87" t="s">
        <v>3254</v>
      </c>
      <c r="C731" s="75">
        <v>505.0</v>
      </c>
      <c r="D731" s="22" t="str">
        <f t="shared" si="1"/>
        <v>General</v>
      </c>
      <c r="E731" s="23" t="str">
        <f t="shared" si="2"/>
        <v>Lapsed</v>
      </c>
      <c r="F731" s="24">
        <v>1.0</v>
      </c>
      <c r="G731" s="25">
        <v>44786.0</v>
      </c>
      <c r="H731" s="26">
        <f t="shared" si="62"/>
        <v>44926</v>
      </c>
      <c r="I731" s="75"/>
      <c r="J731" s="62" t="s">
        <v>3255</v>
      </c>
      <c r="K731" s="62" t="s">
        <v>56</v>
      </c>
      <c r="L731" s="81" t="s">
        <v>57</v>
      </c>
      <c r="M731" s="64" t="s">
        <v>63</v>
      </c>
      <c r="N731" s="171" t="s">
        <v>3256</v>
      </c>
      <c r="O731" s="66" t="s">
        <v>3257</v>
      </c>
      <c r="P731" s="37"/>
      <c r="Q731" s="38"/>
      <c r="R731" s="22"/>
      <c r="S731" s="38"/>
      <c r="T731" s="38"/>
      <c r="U731" s="38"/>
      <c r="V731" s="59"/>
      <c r="W731" s="22" t="s">
        <v>800</v>
      </c>
      <c r="X731" s="38"/>
      <c r="Y731" s="36" t="str">
        <f t="shared" si="61"/>
        <v>renew</v>
      </c>
      <c r="Z731" s="75"/>
      <c r="AA731" s="75"/>
    </row>
    <row r="732">
      <c r="A732" s="87" t="s">
        <v>2194</v>
      </c>
      <c r="B732" s="87" t="s">
        <v>3258</v>
      </c>
      <c r="C732" s="75">
        <v>497.0</v>
      </c>
      <c r="D732" s="22" t="str">
        <f t="shared" si="1"/>
        <v>General</v>
      </c>
      <c r="E732" s="23" t="str">
        <f t="shared" si="2"/>
        <v>Active</v>
      </c>
      <c r="F732" s="24">
        <v>6.0</v>
      </c>
      <c r="G732" s="44">
        <v>45393.0</v>
      </c>
      <c r="H732" s="26">
        <f t="shared" si="62"/>
        <v>47483</v>
      </c>
      <c r="I732" s="21" t="s">
        <v>8</v>
      </c>
      <c r="J732" s="62" t="s">
        <v>3259</v>
      </c>
      <c r="K732" s="62" t="s">
        <v>56</v>
      </c>
      <c r="L732" s="63" t="s">
        <v>57</v>
      </c>
      <c r="M732" s="64">
        <v>82009.0</v>
      </c>
      <c r="N732" s="80" t="s">
        <v>3260</v>
      </c>
      <c r="O732" s="66" t="s">
        <v>3261</v>
      </c>
      <c r="P732" s="37"/>
      <c r="Q732" s="38"/>
      <c r="R732" s="22"/>
      <c r="S732" s="22">
        <v>1.0</v>
      </c>
      <c r="T732" s="22">
        <v>1.0</v>
      </c>
      <c r="U732" s="22"/>
      <c r="V732" s="59"/>
      <c r="W732" s="22" t="s">
        <v>800</v>
      </c>
      <c r="X732" s="38"/>
      <c r="Y732" s="36" t="s">
        <v>45</v>
      </c>
      <c r="Z732" s="21" t="s">
        <v>8</v>
      </c>
      <c r="AA732" s="75"/>
    </row>
    <row r="733">
      <c r="A733" s="87" t="s">
        <v>1921</v>
      </c>
      <c r="B733" s="87" t="s">
        <v>3262</v>
      </c>
      <c r="C733" s="75">
        <v>496.0</v>
      </c>
      <c r="D733" s="22" t="str">
        <f t="shared" si="1"/>
        <v>General</v>
      </c>
      <c r="E733" s="23" t="str">
        <f t="shared" si="2"/>
        <v>Lapsed</v>
      </c>
      <c r="F733" s="24">
        <v>1.0</v>
      </c>
      <c r="G733" s="25">
        <v>45105.0</v>
      </c>
      <c r="H733" s="26">
        <f t="shared" si="62"/>
        <v>45291</v>
      </c>
      <c r="I733" s="75"/>
      <c r="J733" s="62" t="s">
        <v>3263</v>
      </c>
      <c r="K733" s="62" t="s">
        <v>1259</v>
      </c>
      <c r="L733" s="63" t="s">
        <v>35</v>
      </c>
      <c r="M733" s="64" t="s">
        <v>952</v>
      </c>
      <c r="N733" s="80" t="s">
        <v>3264</v>
      </c>
      <c r="O733" s="66" t="s">
        <v>3265</v>
      </c>
      <c r="P733" s="37"/>
      <c r="Q733" s="38"/>
      <c r="R733" s="22"/>
      <c r="S733" s="22"/>
      <c r="T733" s="22"/>
      <c r="U733" s="22">
        <v>2.0</v>
      </c>
      <c r="V733" s="35">
        <v>45105.0</v>
      </c>
      <c r="W733" s="38"/>
      <c r="X733" s="22" t="s">
        <v>800</v>
      </c>
      <c r="Y733" s="36" t="str">
        <f t="shared" ref="Y733:Y752" si="63">if(E733="Active","send","renew")</f>
        <v>renew</v>
      </c>
      <c r="Z733" s="75"/>
      <c r="AA733" s="75"/>
    </row>
    <row r="734">
      <c r="A734" s="87" t="s">
        <v>2471</v>
      </c>
      <c r="B734" s="87" t="s">
        <v>3266</v>
      </c>
      <c r="C734" s="75">
        <v>491.0</v>
      </c>
      <c r="D734" s="22" t="str">
        <f t="shared" si="1"/>
        <v>General</v>
      </c>
      <c r="E734" s="23" t="str">
        <f t="shared" si="2"/>
        <v>Lapsed</v>
      </c>
      <c r="F734" s="24">
        <v>1.0</v>
      </c>
      <c r="G734" s="155">
        <v>43795.0</v>
      </c>
      <c r="H734" s="26">
        <f t="shared" si="62"/>
        <v>43830</v>
      </c>
      <c r="I734" s="75"/>
      <c r="J734" s="62" t="s">
        <v>3267</v>
      </c>
      <c r="K734" s="62" t="s">
        <v>89</v>
      </c>
      <c r="L734" s="63" t="s">
        <v>35</v>
      </c>
      <c r="M734" s="64" t="s">
        <v>90</v>
      </c>
      <c r="N734" s="80" t="s">
        <v>3268</v>
      </c>
      <c r="O734" s="66" t="s">
        <v>3269</v>
      </c>
      <c r="P734" s="37"/>
      <c r="Q734" s="38"/>
      <c r="R734" s="22"/>
      <c r="S734" s="38"/>
      <c r="T734" s="38"/>
      <c r="U734" s="38"/>
      <c r="V734" s="59"/>
      <c r="W734" s="38"/>
      <c r="X734" s="38"/>
      <c r="Y734" s="36" t="str">
        <f t="shared" si="63"/>
        <v>renew</v>
      </c>
      <c r="Z734" s="75"/>
      <c r="AA734" s="75"/>
    </row>
    <row r="735">
      <c r="A735" s="87" t="s">
        <v>1574</v>
      </c>
      <c r="B735" s="87" t="s">
        <v>3270</v>
      </c>
      <c r="C735" s="75">
        <v>488.0</v>
      </c>
      <c r="D735" s="22" t="str">
        <f t="shared" si="1"/>
        <v>General</v>
      </c>
      <c r="E735" s="23" t="str">
        <f t="shared" si="2"/>
        <v>Lapsed</v>
      </c>
      <c r="F735" s="24">
        <v>1.0</v>
      </c>
      <c r="G735" s="155">
        <v>44160.0</v>
      </c>
      <c r="H735" s="26">
        <f t="shared" si="62"/>
        <v>44196</v>
      </c>
      <c r="I735" s="75"/>
      <c r="J735" s="62" t="s">
        <v>3271</v>
      </c>
      <c r="K735" s="62" t="s">
        <v>42</v>
      </c>
      <c r="L735" s="63" t="s">
        <v>35</v>
      </c>
      <c r="M735" s="64" t="s">
        <v>239</v>
      </c>
      <c r="N735" s="80" t="s">
        <v>3272</v>
      </c>
      <c r="O735" s="66" t="s">
        <v>3273</v>
      </c>
      <c r="P735" s="37"/>
      <c r="Q735" s="38"/>
      <c r="R735" s="22"/>
      <c r="S735" s="38"/>
      <c r="T735" s="38"/>
      <c r="U735" s="38"/>
      <c r="V735" s="59"/>
      <c r="W735" s="38"/>
      <c r="X735" s="38"/>
      <c r="Y735" s="36" t="str">
        <f t="shared" si="63"/>
        <v>renew</v>
      </c>
      <c r="Z735" s="75"/>
      <c r="AA735" s="75"/>
    </row>
    <row r="736">
      <c r="A736" s="87" t="s">
        <v>1213</v>
      </c>
      <c r="B736" s="87" t="s">
        <v>2110</v>
      </c>
      <c r="C736" s="75">
        <v>478.0</v>
      </c>
      <c r="D736" s="22" t="str">
        <f t="shared" si="1"/>
        <v>General</v>
      </c>
      <c r="E736" s="23" t="str">
        <f t="shared" si="2"/>
        <v>Lapsed</v>
      </c>
      <c r="F736" s="24">
        <v>1.0</v>
      </c>
      <c r="G736" s="25">
        <v>44235.0</v>
      </c>
      <c r="H736" s="26">
        <f t="shared" si="62"/>
        <v>44561</v>
      </c>
      <c r="I736" s="75"/>
      <c r="J736" s="62" t="s">
        <v>2399</v>
      </c>
      <c r="K736" s="62" t="s">
        <v>2400</v>
      </c>
      <c r="L736" s="63" t="s">
        <v>35</v>
      </c>
      <c r="M736" s="64" t="s">
        <v>3274</v>
      </c>
      <c r="N736" s="53" t="s">
        <v>2401</v>
      </c>
      <c r="O736" s="66" t="s">
        <v>3275</v>
      </c>
      <c r="P736" s="37"/>
      <c r="Q736" s="38"/>
      <c r="R736" s="22"/>
      <c r="S736" s="38"/>
      <c r="T736" s="38"/>
      <c r="U736" s="38"/>
      <c r="V736" s="59"/>
      <c r="W736" s="38"/>
      <c r="X736" s="38"/>
      <c r="Y736" s="36" t="str">
        <f t="shared" si="63"/>
        <v>renew</v>
      </c>
      <c r="Z736" s="75"/>
      <c r="AA736" s="75"/>
    </row>
    <row r="737">
      <c r="A737" s="20" t="s">
        <v>3276</v>
      </c>
      <c r="B737" s="20" t="s">
        <v>3277</v>
      </c>
      <c r="C737" s="21">
        <v>474.0</v>
      </c>
      <c r="D737" s="22" t="str">
        <f t="shared" si="1"/>
        <v>General</v>
      </c>
      <c r="E737" s="23" t="str">
        <f t="shared" si="2"/>
        <v>Lapsed</v>
      </c>
      <c r="F737" s="24">
        <v>1.0</v>
      </c>
      <c r="G737" s="25">
        <v>45480.0</v>
      </c>
      <c r="H737" s="26">
        <f t="shared" si="62"/>
        <v>45657</v>
      </c>
      <c r="I737" s="27"/>
      <c r="J737" s="28" t="s">
        <v>3278</v>
      </c>
      <c r="K737" s="29" t="s">
        <v>898</v>
      </c>
      <c r="L737" s="30" t="s">
        <v>35</v>
      </c>
      <c r="M737" s="31" t="s">
        <v>1179</v>
      </c>
      <c r="N737" s="28" t="s">
        <v>3279</v>
      </c>
      <c r="O737" s="32">
        <v>3.087647145E9</v>
      </c>
      <c r="P737" s="58"/>
      <c r="Q737" s="22"/>
      <c r="R737" s="22"/>
      <c r="S737" s="22"/>
      <c r="T737" s="22">
        <v>1.0</v>
      </c>
      <c r="U737" s="22">
        <v>2.0</v>
      </c>
      <c r="V737" s="35">
        <v>45123.0</v>
      </c>
      <c r="W737" s="22" t="s">
        <v>800</v>
      </c>
      <c r="X737" s="22" t="s">
        <v>800</v>
      </c>
      <c r="Y737" s="36" t="str">
        <f t="shared" si="63"/>
        <v>renew</v>
      </c>
      <c r="Z737" s="21"/>
      <c r="AA737" s="75"/>
    </row>
    <row r="738">
      <c r="A738" s="87" t="s">
        <v>3280</v>
      </c>
      <c r="B738" s="87" t="s">
        <v>433</v>
      </c>
      <c r="C738" s="75">
        <v>471.0</v>
      </c>
      <c r="D738" s="22" t="str">
        <f t="shared" si="1"/>
        <v>General</v>
      </c>
      <c r="E738" s="23" t="str">
        <f t="shared" si="2"/>
        <v>Lapsed</v>
      </c>
      <c r="F738" s="24">
        <v>1.0</v>
      </c>
      <c r="G738" s="25">
        <v>44692.0</v>
      </c>
      <c r="H738" s="26">
        <f t="shared" si="62"/>
        <v>44926</v>
      </c>
      <c r="I738" s="75"/>
      <c r="J738" s="62" t="s">
        <v>3281</v>
      </c>
      <c r="K738" s="62" t="s">
        <v>3016</v>
      </c>
      <c r="L738" s="63" t="s">
        <v>35</v>
      </c>
      <c r="M738" s="64" t="s">
        <v>3017</v>
      </c>
      <c r="N738" s="80" t="s">
        <v>3282</v>
      </c>
      <c r="O738" s="66" t="s">
        <v>3283</v>
      </c>
      <c r="P738" s="37"/>
      <c r="Q738" s="38"/>
      <c r="R738" s="22"/>
      <c r="S738" s="22"/>
      <c r="T738" s="22"/>
      <c r="U738" s="22"/>
      <c r="V738" s="59"/>
      <c r="W738" s="22" t="s">
        <v>800</v>
      </c>
      <c r="X738" s="38"/>
      <c r="Y738" s="36" t="str">
        <f t="shared" si="63"/>
        <v>renew</v>
      </c>
      <c r="Z738" s="75"/>
      <c r="AA738" s="75"/>
    </row>
    <row r="739">
      <c r="A739" s="87" t="s">
        <v>1200</v>
      </c>
      <c r="B739" s="87" t="s">
        <v>3284</v>
      </c>
      <c r="C739" s="75">
        <v>461.0</v>
      </c>
      <c r="D739" s="22" t="str">
        <f t="shared" si="1"/>
        <v>General</v>
      </c>
      <c r="E739" s="23" t="str">
        <f t="shared" si="2"/>
        <v>Lapsed</v>
      </c>
      <c r="F739" s="24">
        <v>1.0</v>
      </c>
      <c r="G739" s="25">
        <v>45801.0</v>
      </c>
      <c r="H739" s="26">
        <f t="shared" si="62"/>
        <v>46022</v>
      </c>
      <c r="I739" s="21"/>
      <c r="J739" s="29" t="s">
        <v>3285</v>
      </c>
      <c r="K739" s="62" t="s">
        <v>42</v>
      </c>
      <c r="L739" s="63" t="s">
        <v>35</v>
      </c>
      <c r="M739" s="64" t="s">
        <v>239</v>
      </c>
      <c r="N739" s="80" t="s">
        <v>3286</v>
      </c>
      <c r="O739" s="66" t="s">
        <v>3287</v>
      </c>
      <c r="P739" s="37"/>
      <c r="Q739" s="38"/>
      <c r="R739" s="22"/>
      <c r="S739" s="22">
        <v>1.0</v>
      </c>
      <c r="T739" s="22">
        <v>1.0</v>
      </c>
      <c r="U739" s="22">
        <v>1.0</v>
      </c>
      <c r="V739" s="107">
        <v>45055.0</v>
      </c>
      <c r="W739" s="22" t="s">
        <v>800</v>
      </c>
      <c r="X739" s="22" t="s">
        <v>800</v>
      </c>
      <c r="Y739" s="36" t="str">
        <f t="shared" si="63"/>
        <v>renew</v>
      </c>
      <c r="Z739" s="21" t="s">
        <v>27</v>
      </c>
      <c r="AA739" s="75"/>
    </row>
    <row r="740">
      <c r="A740" s="87" t="s">
        <v>2357</v>
      </c>
      <c r="B740" s="87" t="s">
        <v>3288</v>
      </c>
      <c r="C740" s="75">
        <v>458.0</v>
      </c>
      <c r="D740" s="22" t="str">
        <f t="shared" si="1"/>
        <v>General</v>
      </c>
      <c r="E740" s="23" t="str">
        <f t="shared" si="2"/>
        <v>Lapsed</v>
      </c>
      <c r="F740" s="24">
        <v>1.0</v>
      </c>
      <c r="G740" s="155"/>
      <c r="H740" s="26"/>
      <c r="I740" s="75"/>
      <c r="J740" s="62" t="s">
        <v>3289</v>
      </c>
      <c r="K740" s="62" t="s">
        <v>704</v>
      </c>
      <c r="L740" s="63" t="s">
        <v>244</v>
      </c>
      <c r="M740" s="64" t="s">
        <v>3290</v>
      </c>
      <c r="N740" s="80" t="s">
        <v>3291</v>
      </c>
      <c r="O740" s="66" t="s">
        <v>3292</v>
      </c>
      <c r="P740" s="37"/>
      <c r="Q740" s="38"/>
      <c r="R740" s="22"/>
      <c r="S740" s="38"/>
      <c r="T740" s="38"/>
      <c r="U740" s="38"/>
      <c r="V740" s="159"/>
      <c r="W740" s="38"/>
      <c r="X740" s="38"/>
      <c r="Y740" s="36" t="str">
        <f t="shared" si="63"/>
        <v>renew</v>
      </c>
      <c r="Z740" s="75"/>
      <c r="AA740" s="75"/>
    </row>
    <row r="741">
      <c r="A741" s="87" t="s">
        <v>3293</v>
      </c>
      <c r="B741" s="87" t="s">
        <v>3294</v>
      </c>
      <c r="C741" s="75">
        <v>447.0</v>
      </c>
      <c r="D741" s="22" t="str">
        <f t="shared" si="1"/>
        <v>General</v>
      </c>
      <c r="E741" s="23" t="str">
        <f t="shared" si="2"/>
        <v>Lapsed</v>
      </c>
      <c r="F741" s="24">
        <v>1.0</v>
      </c>
      <c r="G741" s="155">
        <v>44295.0</v>
      </c>
      <c r="H741" s="26">
        <f t="shared" ref="H741:H757" si="64">DATE(YEAR(G741)+F741-1, 12, 31)</f>
        <v>44561</v>
      </c>
      <c r="I741" s="75"/>
      <c r="J741" s="62" t="s">
        <v>3295</v>
      </c>
      <c r="K741" s="62" t="s">
        <v>56</v>
      </c>
      <c r="L741" s="63" t="s">
        <v>57</v>
      </c>
      <c r="M741" s="64" t="s">
        <v>63</v>
      </c>
      <c r="N741" s="80" t="s">
        <v>3296</v>
      </c>
      <c r="O741" s="66" t="s">
        <v>3297</v>
      </c>
      <c r="P741" s="37"/>
      <c r="Q741" s="38"/>
      <c r="R741" s="22"/>
      <c r="S741" s="38"/>
      <c r="T741" s="38"/>
      <c r="U741" s="38"/>
      <c r="V741" s="59"/>
      <c r="W741" s="38"/>
      <c r="X741" s="38"/>
      <c r="Y741" s="36" t="str">
        <f t="shared" si="63"/>
        <v>renew</v>
      </c>
      <c r="Z741" s="75"/>
      <c r="AA741" s="75"/>
    </row>
    <row r="742">
      <c r="A742" s="87" t="s">
        <v>3298</v>
      </c>
      <c r="B742" s="87" t="s">
        <v>3299</v>
      </c>
      <c r="C742" s="75">
        <v>438.0</v>
      </c>
      <c r="D742" s="22" t="str">
        <f t="shared" si="1"/>
        <v>General</v>
      </c>
      <c r="E742" s="23" t="str">
        <f t="shared" si="2"/>
        <v>Lapsed</v>
      </c>
      <c r="F742" s="24">
        <v>1.0</v>
      </c>
      <c r="G742" s="155">
        <v>44235.0</v>
      </c>
      <c r="H742" s="26">
        <f t="shared" si="64"/>
        <v>44561</v>
      </c>
      <c r="I742" s="75"/>
      <c r="J742" s="62" t="s">
        <v>3300</v>
      </c>
      <c r="K742" s="62" t="s">
        <v>49</v>
      </c>
      <c r="L742" s="63" t="s">
        <v>35</v>
      </c>
      <c r="M742" s="64">
        <v>80026.0</v>
      </c>
      <c r="N742" s="80" t="s">
        <v>3301</v>
      </c>
      <c r="O742" s="66" t="s">
        <v>3302</v>
      </c>
      <c r="P742" s="37"/>
      <c r="Q742" s="38"/>
      <c r="R742" s="22"/>
      <c r="S742" s="38"/>
      <c r="T742" s="38"/>
      <c r="U742" s="38"/>
      <c r="V742" s="59"/>
      <c r="W742" s="38"/>
      <c r="X742" s="38"/>
      <c r="Y742" s="36" t="str">
        <f t="shared" si="63"/>
        <v>renew</v>
      </c>
      <c r="Z742" s="75"/>
      <c r="AA742" s="75"/>
    </row>
    <row r="743">
      <c r="A743" s="87" t="s">
        <v>3303</v>
      </c>
      <c r="B743" s="87" t="s">
        <v>3304</v>
      </c>
      <c r="C743" s="75">
        <v>430.0</v>
      </c>
      <c r="D743" s="22" t="str">
        <f t="shared" si="1"/>
        <v>General</v>
      </c>
      <c r="E743" s="23" t="str">
        <f t="shared" si="2"/>
        <v>Lapsed</v>
      </c>
      <c r="F743" s="24">
        <v>1.0</v>
      </c>
      <c r="G743" s="25">
        <v>44496.0</v>
      </c>
      <c r="H743" s="26">
        <f t="shared" si="64"/>
        <v>44561</v>
      </c>
      <c r="I743" s="75"/>
      <c r="J743" s="62" t="s">
        <v>3305</v>
      </c>
      <c r="K743" s="62" t="s">
        <v>1780</v>
      </c>
      <c r="L743" s="63" t="s">
        <v>35</v>
      </c>
      <c r="M743" s="64">
        <v>80534.0</v>
      </c>
      <c r="N743" s="80" t="s">
        <v>3306</v>
      </c>
      <c r="O743" s="66" t="s">
        <v>3307</v>
      </c>
      <c r="P743" s="37"/>
      <c r="Q743" s="38"/>
      <c r="R743" s="22"/>
      <c r="S743" s="38"/>
      <c r="T743" s="38"/>
      <c r="U743" s="38"/>
      <c r="V743" s="59"/>
      <c r="W743" s="22" t="s">
        <v>800</v>
      </c>
      <c r="X743" s="38"/>
      <c r="Y743" s="36" t="str">
        <f t="shared" si="63"/>
        <v>renew</v>
      </c>
      <c r="Z743" s="75"/>
      <c r="AA743" s="75"/>
    </row>
    <row r="744">
      <c r="A744" s="87" t="s">
        <v>922</v>
      </c>
      <c r="B744" s="87" t="s">
        <v>2484</v>
      </c>
      <c r="C744" s="75">
        <v>427.0</v>
      </c>
      <c r="D744" s="22" t="str">
        <f t="shared" si="1"/>
        <v>General</v>
      </c>
      <c r="E744" s="23" t="str">
        <f t="shared" si="2"/>
        <v>Lapsed</v>
      </c>
      <c r="F744" s="24">
        <v>1.0</v>
      </c>
      <c r="G744" s="25">
        <v>45451.0</v>
      </c>
      <c r="H744" s="26">
        <f t="shared" si="64"/>
        <v>45657</v>
      </c>
      <c r="I744" s="21"/>
      <c r="J744" s="62" t="s">
        <v>2485</v>
      </c>
      <c r="K744" s="62" t="s">
        <v>1976</v>
      </c>
      <c r="L744" s="63" t="s">
        <v>35</v>
      </c>
      <c r="M744" s="64">
        <v>80226.0</v>
      </c>
      <c r="N744" s="80" t="s">
        <v>3308</v>
      </c>
      <c r="O744" s="66" t="s">
        <v>3309</v>
      </c>
      <c r="P744" s="37"/>
      <c r="Q744" s="38"/>
      <c r="R744" s="22"/>
      <c r="S744" s="22"/>
      <c r="T744" s="22">
        <v>1.0</v>
      </c>
      <c r="U744" s="22">
        <v>2.0</v>
      </c>
      <c r="V744" s="116">
        <v>45129.0</v>
      </c>
      <c r="W744" s="22" t="s">
        <v>800</v>
      </c>
      <c r="X744" s="22" t="s">
        <v>800</v>
      </c>
      <c r="Y744" s="36" t="str">
        <f t="shared" si="63"/>
        <v>renew</v>
      </c>
      <c r="Z744" s="21"/>
      <c r="AA744" s="75"/>
    </row>
    <row r="745">
      <c r="A745" s="87" t="s">
        <v>1993</v>
      </c>
      <c r="B745" s="87" t="s">
        <v>2419</v>
      </c>
      <c r="C745" s="75">
        <v>402.0</v>
      </c>
      <c r="D745" s="22" t="str">
        <f t="shared" si="1"/>
        <v>General</v>
      </c>
      <c r="E745" s="23" t="str">
        <f t="shared" si="2"/>
        <v>Lapsed</v>
      </c>
      <c r="F745" s="24">
        <v>1.0</v>
      </c>
      <c r="G745" s="25">
        <v>45068.0</v>
      </c>
      <c r="H745" s="26">
        <f t="shared" si="64"/>
        <v>45291</v>
      </c>
      <c r="I745" s="75"/>
      <c r="J745" s="62" t="s">
        <v>2420</v>
      </c>
      <c r="K745" s="62" t="s">
        <v>42</v>
      </c>
      <c r="L745" s="81" t="s">
        <v>35</v>
      </c>
      <c r="M745" s="64" t="s">
        <v>239</v>
      </c>
      <c r="N745" s="80" t="s">
        <v>2421</v>
      </c>
      <c r="O745" s="66" t="s">
        <v>2422</v>
      </c>
      <c r="P745" s="48">
        <v>38176.0</v>
      </c>
      <c r="Q745" s="22">
        <f>datedif(P745,today(),"Y")</f>
        <v>21</v>
      </c>
      <c r="R745" s="22"/>
      <c r="S745" s="22"/>
      <c r="T745" s="22"/>
      <c r="U745" s="22">
        <v>2.0</v>
      </c>
      <c r="V745" s="35">
        <v>45068.0</v>
      </c>
      <c r="W745" s="22" t="s">
        <v>800</v>
      </c>
      <c r="X745" s="22" t="s">
        <v>800</v>
      </c>
      <c r="Y745" s="36" t="str">
        <f t="shared" si="63"/>
        <v>renew</v>
      </c>
      <c r="Z745" s="75"/>
      <c r="AA745" s="75"/>
    </row>
    <row r="746">
      <c r="A746" s="87" t="s">
        <v>3310</v>
      </c>
      <c r="B746" s="87" t="s">
        <v>660</v>
      </c>
      <c r="C746" s="75">
        <v>383.0</v>
      </c>
      <c r="D746" s="22" t="str">
        <f t="shared" si="1"/>
        <v>General</v>
      </c>
      <c r="E746" s="23" t="str">
        <f t="shared" si="2"/>
        <v>Lapsed</v>
      </c>
      <c r="F746" s="24">
        <v>1.0</v>
      </c>
      <c r="G746" s="25">
        <v>45406.0</v>
      </c>
      <c r="H746" s="26">
        <f t="shared" si="64"/>
        <v>45657</v>
      </c>
      <c r="I746" s="21"/>
      <c r="J746" s="62" t="s">
        <v>3311</v>
      </c>
      <c r="K746" s="62" t="s">
        <v>1780</v>
      </c>
      <c r="L746" s="63" t="s">
        <v>35</v>
      </c>
      <c r="M746" s="64" t="s">
        <v>1150</v>
      </c>
      <c r="N746" s="80" t="s">
        <v>3312</v>
      </c>
      <c r="O746" s="66" t="s">
        <v>3313</v>
      </c>
      <c r="P746" s="37"/>
      <c r="Q746" s="38"/>
      <c r="R746" s="22"/>
      <c r="S746" s="22"/>
      <c r="T746" s="22">
        <v>1.0</v>
      </c>
      <c r="U746" s="38"/>
      <c r="V746" s="59"/>
      <c r="W746" s="22" t="s">
        <v>800</v>
      </c>
      <c r="X746" s="38"/>
      <c r="Y746" s="36" t="str">
        <f t="shared" si="63"/>
        <v>renew</v>
      </c>
      <c r="Z746" s="21"/>
      <c r="AA746" s="75"/>
    </row>
    <row r="747">
      <c r="A747" s="87" t="s">
        <v>3314</v>
      </c>
      <c r="B747" s="87" t="s">
        <v>3315</v>
      </c>
      <c r="C747" s="75">
        <v>375.0</v>
      </c>
      <c r="D747" s="22" t="str">
        <f t="shared" si="1"/>
        <v>General</v>
      </c>
      <c r="E747" s="23" t="str">
        <f t="shared" si="2"/>
        <v>Lapsed</v>
      </c>
      <c r="F747" s="24">
        <v>1.0</v>
      </c>
      <c r="G747" s="25">
        <v>44722.0</v>
      </c>
      <c r="H747" s="26">
        <f t="shared" si="64"/>
        <v>44926</v>
      </c>
      <c r="I747" s="75"/>
      <c r="J747" s="62" t="s">
        <v>3316</v>
      </c>
      <c r="K747" s="62" t="s">
        <v>1780</v>
      </c>
      <c r="L747" s="63" t="s">
        <v>35</v>
      </c>
      <c r="M747" s="64">
        <v>80534.0</v>
      </c>
      <c r="N747" s="148" t="s">
        <v>3317</v>
      </c>
      <c r="O747" s="66" t="s">
        <v>3318</v>
      </c>
      <c r="P747" s="37"/>
      <c r="Q747" s="38"/>
      <c r="R747" s="22"/>
      <c r="S747" s="22"/>
      <c r="T747" s="22"/>
      <c r="U747" s="22"/>
      <c r="V747" s="59"/>
      <c r="W747" s="22" t="s">
        <v>800</v>
      </c>
      <c r="X747" s="38"/>
      <c r="Y747" s="36" t="str">
        <f t="shared" si="63"/>
        <v>renew</v>
      </c>
      <c r="Z747" s="75"/>
      <c r="AA747" s="75"/>
    </row>
    <row r="748">
      <c r="A748" s="20" t="s">
        <v>168</v>
      </c>
      <c r="B748" s="20" t="s">
        <v>3319</v>
      </c>
      <c r="C748" s="21">
        <v>365.0</v>
      </c>
      <c r="D748" s="22" t="str">
        <f t="shared" si="1"/>
        <v>General</v>
      </c>
      <c r="E748" s="23" t="str">
        <f t="shared" si="2"/>
        <v>Lapsed</v>
      </c>
      <c r="F748" s="24">
        <v>1.0</v>
      </c>
      <c r="G748" s="25">
        <v>44720.0</v>
      </c>
      <c r="H748" s="26">
        <f t="shared" si="64"/>
        <v>44926</v>
      </c>
      <c r="I748" s="21"/>
      <c r="J748" s="29" t="s">
        <v>1999</v>
      </c>
      <c r="K748" s="29" t="s">
        <v>2000</v>
      </c>
      <c r="L748" s="30" t="s">
        <v>57</v>
      </c>
      <c r="M748" s="42" t="s">
        <v>2740</v>
      </c>
      <c r="N748" s="131" t="s">
        <v>3320</v>
      </c>
      <c r="O748" s="54" t="s">
        <v>2002</v>
      </c>
      <c r="P748" s="37"/>
      <c r="Q748" s="38"/>
      <c r="R748" s="22"/>
      <c r="S748" s="22"/>
      <c r="T748" s="22"/>
      <c r="U748" s="22"/>
      <c r="V748" s="59"/>
      <c r="W748" s="22" t="s">
        <v>800</v>
      </c>
      <c r="X748" s="38"/>
      <c r="Y748" s="36" t="str">
        <f t="shared" si="63"/>
        <v>renew</v>
      </c>
      <c r="Z748" s="21"/>
      <c r="AA748" s="75"/>
    </row>
    <row r="749">
      <c r="A749" s="87" t="s">
        <v>3039</v>
      </c>
      <c r="B749" s="87" t="s">
        <v>3321</v>
      </c>
      <c r="C749" s="75">
        <v>364.0</v>
      </c>
      <c r="D749" s="22" t="str">
        <f t="shared" si="1"/>
        <v>General</v>
      </c>
      <c r="E749" s="23" t="str">
        <f t="shared" si="2"/>
        <v>Lapsed</v>
      </c>
      <c r="F749" s="24">
        <v>1.0</v>
      </c>
      <c r="G749" s="155">
        <v>44167.0</v>
      </c>
      <c r="H749" s="26">
        <f t="shared" si="64"/>
        <v>44196</v>
      </c>
      <c r="I749" s="75"/>
      <c r="J749" s="62" t="s">
        <v>3322</v>
      </c>
      <c r="K749" s="62" t="s">
        <v>704</v>
      </c>
      <c r="L749" s="63" t="s">
        <v>244</v>
      </c>
      <c r="M749" s="64" t="s">
        <v>3290</v>
      </c>
      <c r="N749" s="80" t="s">
        <v>3323</v>
      </c>
      <c r="O749" s="66" t="s">
        <v>3324</v>
      </c>
      <c r="P749" s="37"/>
      <c r="Q749" s="38"/>
      <c r="R749" s="22"/>
      <c r="S749" s="38"/>
      <c r="T749" s="38"/>
      <c r="U749" s="38"/>
      <c r="V749" s="59"/>
      <c r="W749" s="38"/>
      <c r="X749" s="38"/>
      <c r="Y749" s="36" t="str">
        <f t="shared" si="63"/>
        <v>renew</v>
      </c>
      <c r="Z749" s="75"/>
      <c r="AA749" s="75"/>
    </row>
    <row r="750">
      <c r="A750" s="87" t="s">
        <v>1498</v>
      </c>
      <c r="B750" s="87" t="s">
        <v>3325</v>
      </c>
      <c r="C750" s="75">
        <v>342.0</v>
      </c>
      <c r="D750" s="22" t="str">
        <f t="shared" si="1"/>
        <v>General</v>
      </c>
      <c r="E750" s="23" t="str">
        <f t="shared" si="2"/>
        <v>Lapsed</v>
      </c>
      <c r="F750" s="24">
        <v>1.0</v>
      </c>
      <c r="G750" s="25">
        <v>44786.0</v>
      </c>
      <c r="H750" s="26">
        <f t="shared" si="64"/>
        <v>44926</v>
      </c>
      <c r="I750" s="75"/>
      <c r="J750" s="62" t="s">
        <v>3326</v>
      </c>
      <c r="K750" s="62" t="s">
        <v>49</v>
      </c>
      <c r="L750" s="63" t="s">
        <v>35</v>
      </c>
      <c r="M750" s="64" t="s">
        <v>3327</v>
      </c>
      <c r="N750" s="80" t="s">
        <v>3328</v>
      </c>
      <c r="O750" s="66" t="s">
        <v>3329</v>
      </c>
      <c r="P750" s="37"/>
      <c r="Q750" s="38"/>
      <c r="R750" s="22"/>
      <c r="S750" s="38"/>
      <c r="T750" s="38"/>
      <c r="U750" s="38"/>
      <c r="V750" s="59"/>
      <c r="W750" s="22" t="s">
        <v>800</v>
      </c>
      <c r="X750" s="38"/>
      <c r="Y750" s="36" t="str">
        <f t="shared" si="63"/>
        <v>renew</v>
      </c>
      <c r="Z750" s="75"/>
      <c r="AA750" s="75"/>
    </row>
    <row r="751">
      <c r="A751" s="87" t="s">
        <v>2423</v>
      </c>
      <c r="B751" s="87" t="s">
        <v>237</v>
      </c>
      <c r="C751" s="75">
        <v>323.0</v>
      </c>
      <c r="D751" s="22" t="str">
        <f t="shared" si="1"/>
        <v>General</v>
      </c>
      <c r="E751" s="23" t="str">
        <f t="shared" si="2"/>
        <v>Lapsed</v>
      </c>
      <c r="F751" s="24">
        <v>1.0</v>
      </c>
      <c r="G751" s="155">
        <v>43564.0</v>
      </c>
      <c r="H751" s="26">
        <f t="shared" si="64"/>
        <v>43830</v>
      </c>
      <c r="I751" s="75"/>
      <c r="J751" s="62" t="s">
        <v>3330</v>
      </c>
      <c r="K751" s="62" t="s">
        <v>3331</v>
      </c>
      <c r="L751" s="63" t="s">
        <v>244</v>
      </c>
      <c r="M751" s="64" t="s">
        <v>3332</v>
      </c>
      <c r="N751" s="80" t="s">
        <v>3333</v>
      </c>
      <c r="O751" s="66" t="s">
        <v>3334</v>
      </c>
      <c r="P751" s="38"/>
      <c r="Q751" s="38"/>
      <c r="R751" s="22"/>
      <c r="S751" s="38"/>
      <c r="T751" s="38"/>
      <c r="U751" s="38"/>
      <c r="V751" s="59"/>
      <c r="W751" s="38"/>
      <c r="X751" s="38"/>
      <c r="Y751" s="36" t="str">
        <f t="shared" si="63"/>
        <v>renew</v>
      </c>
      <c r="Z751" s="75"/>
      <c r="AA751" s="75"/>
    </row>
    <row r="752">
      <c r="A752" s="87" t="s">
        <v>3335</v>
      </c>
      <c r="B752" s="87" t="s">
        <v>790</v>
      </c>
      <c r="C752" s="75">
        <v>314.0</v>
      </c>
      <c r="D752" s="22" t="str">
        <f t="shared" si="1"/>
        <v>General</v>
      </c>
      <c r="E752" s="23" t="str">
        <f t="shared" si="2"/>
        <v>Lapsed</v>
      </c>
      <c r="F752" s="24">
        <v>1.0</v>
      </c>
      <c r="G752" s="155">
        <v>44463.0</v>
      </c>
      <c r="H752" s="26">
        <f t="shared" si="64"/>
        <v>44561</v>
      </c>
      <c r="I752" s="75"/>
      <c r="J752" s="62" t="s">
        <v>3336</v>
      </c>
      <c r="K752" s="62" t="s">
        <v>1976</v>
      </c>
      <c r="L752" s="63" t="s">
        <v>35</v>
      </c>
      <c r="M752" s="64" t="s">
        <v>3337</v>
      </c>
      <c r="N752" s="80" t="s">
        <v>3338</v>
      </c>
      <c r="O752" s="66" t="s">
        <v>3339</v>
      </c>
      <c r="P752" s="37"/>
      <c r="Q752" s="38"/>
      <c r="R752" s="22"/>
      <c r="S752" s="38"/>
      <c r="T752" s="38"/>
      <c r="U752" s="38"/>
      <c r="V752" s="59"/>
      <c r="W752" s="38"/>
      <c r="X752" s="38"/>
      <c r="Y752" s="36" t="str">
        <f t="shared" si="63"/>
        <v>renew</v>
      </c>
      <c r="Z752" s="75"/>
      <c r="AA752" s="75"/>
    </row>
    <row r="753">
      <c r="A753" s="87" t="s">
        <v>3340</v>
      </c>
      <c r="B753" s="87" t="s">
        <v>3341</v>
      </c>
      <c r="C753" s="75">
        <v>300.0</v>
      </c>
      <c r="D753" s="22" t="str">
        <f t="shared" si="1"/>
        <v>General</v>
      </c>
      <c r="E753" s="23" t="str">
        <f t="shared" si="2"/>
        <v>Active</v>
      </c>
      <c r="F753" s="108">
        <v>3.0</v>
      </c>
      <c r="G753" s="25">
        <v>46140.0</v>
      </c>
      <c r="H753" s="26">
        <f t="shared" si="64"/>
        <v>47118</v>
      </c>
      <c r="I753" s="27" t="s">
        <v>27</v>
      </c>
      <c r="J753" s="62" t="s">
        <v>3342</v>
      </c>
      <c r="K753" s="62" t="s">
        <v>898</v>
      </c>
      <c r="L753" s="63" t="s">
        <v>35</v>
      </c>
      <c r="M753" s="64" t="s">
        <v>1179</v>
      </c>
      <c r="N753" s="80" t="s">
        <v>3343</v>
      </c>
      <c r="O753" s="66" t="s">
        <v>3344</v>
      </c>
      <c r="P753" s="37"/>
      <c r="Q753" s="38"/>
      <c r="R753" s="22"/>
      <c r="S753" s="22">
        <v>1.0</v>
      </c>
      <c r="T753" s="22">
        <v>1.0</v>
      </c>
      <c r="U753" s="22">
        <v>1.0</v>
      </c>
      <c r="V753" s="116">
        <v>45044.0</v>
      </c>
      <c r="W753" s="22" t="s">
        <v>800</v>
      </c>
      <c r="X753" s="22" t="s">
        <v>800</v>
      </c>
      <c r="Y753" s="36" t="s">
        <v>3345</v>
      </c>
      <c r="Z753" s="21" t="s">
        <v>27</v>
      </c>
      <c r="AA753" s="75"/>
    </row>
    <row r="754">
      <c r="A754" s="87" t="s">
        <v>3346</v>
      </c>
      <c r="B754" s="87" t="s">
        <v>3347</v>
      </c>
      <c r="C754" s="75">
        <v>289.0</v>
      </c>
      <c r="D754" s="22" t="str">
        <f t="shared" si="1"/>
        <v>General</v>
      </c>
      <c r="E754" s="23" t="str">
        <f t="shared" si="2"/>
        <v>Lapsed</v>
      </c>
      <c r="F754" s="24">
        <v>1.0</v>
      </c>
      <c r="G754" s="25">
        <v>44330.0</v>
      </c>
      <c r="H754" s="26">
        <f t="shared" si="64"/>
        <v>44561</v>
      </c>
      <c r="I754" s="75"/>
      <c r="J754" s="62" t="s">
        <v>3348</v>
      </c>
      <c r="K754" s="62" t="s">
        <v>3349</v>
      </c>
      <c r="L754" s="63" t="s">
        <v>244</v>
      </c>
      <c r="M754" s="64" t="s">
        <v>3350</v>
      </c>
      <c r="N754" s="80" t="s">
        <v>3351</v>
      </c>
      <c r="O754" s="66" t="s">
        <v>3352</v>
      </c>
      <c r="P754" s="37"/>
      <c r="Q754" s="38"/>
      <c r="R754" s="22"/>
      <c r="S754" s="38"/>
      <c r="T754" s="38"/>
      <c r="U754" s="38"/>
      <c r="V754" s="59"/>
      <c r="W754" s="38"/>
      <c r="X754" s="38"/>
      <c r="Y754" s="36" t="str">
        <f t="shared" ref="Y754:Y769" si="65">if(E754="Active","send","renew")</f>
        <v>renew</v>
      </c>
      <c r="Z754" s="75"/>
      <c r="AA754" s="75"/>
    </row>
    <row r="755">
      <c r="A755" s="87" t="s">
        <v>3353</v>
      </c>
      <c r="B755" s="87" t="s">
        <v>3249</v>
      </c>
      <c r="C755" s="75">
        <v>288.0</v>
      </c>
      <c r="D755" s="22" t="str">
        <f t="shared" si="1"/>
        <v>General</v>
      </c>
      <c r="E755" s="23" t="str">
        <f t="shared" si="2"/>
        <v>Lapsed</v>
      </c>
      <c r="F755" s="24">
        <v>1.0</v>
      </c>
      <c r="G755" s="25">
        <v>44703.0</v>
      </c>
      <c r="H755" s="26">
        <f t="shared" si="64"/>
        <v>44926</v>
      </c>
      <c r="I755" s="75"/>
      <c r="J755" s="62" t="s">
        <v>3250</v>
      </c>
      <c r="K755" s="62" t="s">
        <v>2575</v>
      </c>
      <c r="L755" s="63" t="s">
        <v>35</v>
      </c>
      <c r="M755" s="64" t="s">
        <v>3162</v>
      </c>
      <c r="N755" s="80" t="s">
        <v>3354</v>
      </c>
      <c r="O755" s="66" t="s">
        <v>3355</v>
      </c>
      <c r="P755" s="37"/>
      <c r="Q755" s="38"/>
      <c r="R755" s="22"/>
      <c r="S755" s="22"/>
      <c r="T755" s="22"/>
      <c r="U755" s="22"/>
      <c r="V755" s="59"/>
      <c r="W755" s="22" t="s">
        <v>800</v>
      </c>
      <c r="X755" s="38"/>
      <c r="Y755" s="36" t="str">
        <f t="shared" si="65"/>
        <v>renew</v>
      </c>
      <c r="Z755" s="75"/>
      <c r="AA755" s="75"/>
    </row>
    <row r="756">
      <c r="A756" s="87" t="s">
        <v>1301</v>
      </c>
      <c r="B756" s="87" t="s">
        <v>3356</v>
      </c>
      <c r="C756" s="75">
        <v>283.0</v>
      </c>
      <c r="D756" s="22" t="str">
        <f t="shared" si="1"/>
        <v>General</v>
      </c>
      <c r="E756" s="23" t="str">
        <f t="shared" si="2"/>
        <v>Lapsed</v>
      </c>
      <c r="F756" s="24">
        <v>1.0</v>
      </c>
      <c r="G756" s="155">
        <v>44261.0</v>
      </c>
      <c r="H756" s="26">
        <f t="shared" si="64"/>
        <v>44561</v>
      </c>
      <c r="I756" s="75"/>
      <c r="J756" s="62" t="s">
        <v>3357</v>
      </c>
      <c r="K756" s="62" t="s">
        <v>2575</v>
      </c>
      <c r="L756" s="63" t="s">
        <v>35</v>
      </c>
      <c r="M756" s="64" t="s">
        <v>3162</v>
      </c>
      <c r="N756" s="80" t="s">
        <v>3358</v>
      </c>
      <c r="O756" s="66" t="s">
        <v>3359</v>
      </c>
      <c r="P756" s="37"/>
      <c r="Q756" s="38"/>
      <c r="R756" s="22"/>
      <c r="S756" s="38"/>
      <c r="T756" s="38"/>
      <c r="U756" s="38"/>
      <c r="V756" s="59"/>
      <c r="W756" s="38"/>
      <c r="X756" s="38"/>
      <c r="Y756" s="36" t="str">
        <f t="shared" si="65"/>
        <v>renew</v>
      </c>
      <c r="Z756" s="75"/>
      <c r="AA756" s="75"/>
    </row>
    <row r="757">
      <c r="A757" s="87" t="s">
        <v>3073</v>
      </c>
      <c r="B757" s="87" t="s">
        <v>887</v>
      </c>
      <c r="C757" s="75">
        <v>278.0</v>
      </c>
      <c r="D757" s="22" t="str">
        <f t="shared" si="1"/>
        <v>General</v>
      </c>
      <c r="E757" s="23" t="str">
        <f t="shared" si="2"/>
        <v>Lapsed</v>
      </c>
      <c r="F757" s="24">
        <v>1.0</v>
      </c>
      <c r="G757" s="155">
        <v>43190.0</v>
      </c>
      <c r="H757" s="26">
        <f t="shared" si="64"/>
        <v>43465</v>
      </c>
      <c r="I757" s="75"/>
      <c r="J757" s="62" t="s">
        <v>3360</v>
      </c>
      <c r="K757" s="62" t="s">
        <v>992</v>
      </c>
      <c r="L757" s="63" t="s">
        <v>57</v>
      </c>
      <c r="M757" s="64" t="s">
        <v>993</v>
      </c>
      <c r="N757" s="53" t="s">
        <v>3361</v>
      </c>
      <c r="O757" s="66" t="s">
        <v>3362</v>
      </c>
      <c r="P757" s="38"/>
      <c r="Q757" s="38"/>
      <c r="R757" s="22"/>
      <c r="S757" s="38"/>
      <c r="T757" s="38"/>
      <c r="U757" s="38"/>
      <c r="V757" s="59"/>
      <c r="W757" s="38"/>
      <c r="X757" s="38"/>
      <c r="Y757" s="36" t="str">
        <f t="shared" si="65"/>
        <v>renew</v>
      </c>
      <c r="Z757" s="75"/>
      <c r="AA757" s="75"/>
    </row>
    <row r="758">
      <c r="A758" s="87" t="s">
        <v>3363</v>
      </c>
      <c r="B758" s="87" t="s">
        <v>3364</v>
      </c>
      <c r="C758" s="75">
        <v>274.0</v>
      </c>
      <c r="D758" s="22" t="str">
        <f t="shared" si="1"/>
        <v>General</v>
      </c>
      <c r="E758" s="23" t="str">
        <f t="shared" si="2"/>
        <v>Lapsed</v>
      </c>
      <c r="F758" s="24">
        <v>1.0</v>
      </c>
      <c r="G758" s="172"/>
      <c r="H758" s="26"/>
      <c r="I758" s="75"/>
      <c r="J758" s="62" t="s">
        <v>3365</v>
      </c>
      <c r="K758" s="62" t="s">
        <v>423</v>
      </c>
      <c r="L758" s="63" t="s">
        <v>35</v>
      </c>
      <c r="M758" s="64" t="s">
        <v>424</v>
      </c>
      <c r="N758" s="80" t="s">
        <v>3366</v>
      </c>
      <c r="O758" s="66" t="s">
        <v>3367</v>
      </c>
      <c r="P758" s="37"/>
      <c r="Q758" s="38"/>
      <c r="R758" s="22"/>
      <c r="S758" s="38"/>
      <c r="T758" s="38"/>
      <c r="U758" s="38"/>
      <c r="V758" s="159"/>
      <c r="W758" s="38"/>
      <c r="X758" s="38"/>
      <c r="Y758" s="36" t="str">
        <f t="shared" si="65"/>
        <v>renew</v>
      </c>
      <c r="Z758" s="75"/>
      <c r="AA758" s="75"/>
    </row>
    <row r="759">
      <c r="A759" s="87" t="s">
        <v>3368</v>
      </c>
      <c r="B759" s="87" t="s">
        <v>3369</v>
      </c>
      <c r="C759" s="75">
        <v>270.0</v>
      </c>
      <c r="D759" s="22" t="str">
        <f t="shared" si="1"/>
        <v>General</v>
      </c>
      <c r="E759" s="23" t="str">
        <f t="shared" si="2"/>
        <v>Lapsed</v>
      </c>
      <c r="F759" s="24">
        <v>1.0</v>
      </c>
      <c r="G759" s="172"/>
      <c r="H759" s="26"/>
      <c r="I759" s="75"/>
      <c r="J759" s="62" t="s">
        <v>3370</v>
      </c>
      <c r="K759" s="62" t="s">
        <v>3371</v>
      </c>
      <c r="L759" s="63" t="s">
        <v>35</v>
      </c>
      <c r="M759" s="64" t="s">
        <v>3372</v>
      </c>
      <c r="N759" s="80" t="s">
        <v>3373</v>
      </c>
      <c r="O759" s="66" t="s">
        <v>3374</v>
      </c>
      <c r="P759" s="37"/>
      <c r="Q759" s="38"/>
      <c r="R759" s="22"/>
      <c r="S759" s="38"/>
      <c r="T759" s="38"/>
      <c r="U759" s="38"/>
      <c r="V759" s="159"/>
      <c r="W759" s="38"/>
      <c r="X759" s="38"/>
      <c r="Y759" s="36" t="str">
        <f t="shared" si="65"/>
        <v>renew</v>
      </c>
      <c r="Z759" s="75"/>
      <c r="AA759" s="75"/>
    </row>
    <row r="760">
      <c r="A760" s="87" t="s">
        <v>3375</v>
      </c>
      <c r="B760" s="87" t="s">
        <v>3376</v>
      </c>
      <c r="C760" s="75">
        <v>254.0</v>
      </c>
      <c r="D760" s="22" t="str">
        <f t="shared" si="1"/>
        <v>General</v>
      </c>
      <c r="E760" s="23" t="str">
        <f t="shared" si="2"/>
        <v>Lapsed</v>
      </c>
      <c r="F760" s="24">
        <v>1.0</v>
      </c>
      <c r="G760" s="155">
        <v>43723.0</v>
      </c>
      <c r="H760" s="26">
        <f t="shared" ref="H760:H775" si="66">DATE(YEAR(G760)+F760-1, 12, 31)</f>
        <v>43830</v>
      </c>
      <c r="I760" s="75"/>
      <c r="J760" s="62" t="s">
        <v>3377</v>
      </c>
      <c r="K760" s="62" t="s">
        <v>776</v>
      </c>
      <c r="L760" s="63" t="s">
        <v>35</v>
      </c>
      <c r="M760" s="64" t="s">
        <v>777</v>
      </c>
      <c r="N760" s="80" t="s">
        <v>3378</v>
      </c>
      <c r="O760" s="66" t="s">
        <v>3379</v>
      </c>
      <c r="P760" s="38"/>
      <c r="Q760" s="38"/>
      <c r="R760" s="22"/>
      <c r="S760" s="38"/>
      <c r="T760" s="38"/>
      <c r="U760" s="38"/>
      <c r="V760" s="59"/>
      <c r="W760" s="38"/>
      <c r="X760" s="38"/>
      <c r="Y760" s="36" t="str">
        <f t="shared" si="65"/>
        <v>renew</v>
      </c>
      <c r="Z760" s="75"/>
      <c r="AA760" s="75"/>
    </row>
    <row r="761">
      <c r="A761" s="87" t="s">
        <v>3380</v>
      </c>
      <c r="B761" s="87" t="s">
        <v>1611</v>
      </c>
      <c r="C761" s="75">
        <v>251.0</v>
      </c>
      <c r="D761" s="22" t="str">
        <f t="shared" si="1"/>
        <v>General</v>
      </c>
      <c r="E761" s="23" t="str">
        <f t="shared" si="2"/>
        <v>Lapsed</v>
      </c>
      <c r="F761" s="24">
        <v>1.0</v>
      </c>
      <c r="G761" s="25">
        <v>45878.0</v>
      </c>
      <c r="H761" s="26">
        <f t="shared" si="66"/>
        <v>46022</v>
      </c>
      <c r="I761" s="21"/>
      <c r="J761" s="62" t="s">
        <v>799</v>
      </c>
      <c r="K761" s="62" t="s">
        <v>89</v>
      </c>
      <c r="L761" s="63" t="s">
        <v>35</v>
      </c>
      <c r="M761" s="64" t="s">
        <v>90</v>
      </c>
      <c r="N761" s="53" t="s">
        <v>94</v>
      </c>
      <c r="O761" s="66" t="s">
        <v>95</v>
      </c>
      <c r="P761" s="37"/>
      <c r="Q761" s="38"/>
      <c r="R761" s="22"/>
      <c r="S761" s="22">
        <v>4.0</v>
      </c>
      <c r="T761" s="22">
        <v>1.0</v>
      </c>
      <c r="U761" s="22">
        <v>2.0</v>
      </c>
      <c r="V761" s="35">
        <v>45068.0</v>
      </c>
      <c r="W761" s="22" t="s">
        <v>800</v>
      </c>
      <c r="X761" s="22" t="s">
        <v>800</v>
      </c>
      <c r="Y761" s="36" t="str">
        <f t="shared" si="65"/>
        <v>renew</v>
      </c>
      <c r="Z761" s="21"/>
      <c r="AA761" s="75"/>
    </row>
    <row r="762">
      <c r="A762" s="87" t="s">
        <v>3381</v>
      </c>
      <c r="B762" s="87" t="s">
        <v>3382</v>
      </c>
      <c r="C762" s="75">
        <v>244.0</v>
      </c>
      <c r="D762" s="22" t="str">
        <f t="shared" si="1"/>
        <v>General</v>
      </c>
      <c r="E762" s="23" t="str">
        <f t="shared" si="2"/>
        <v>Lapsed</v>
      </c>
      <c r="F762" s="24">
        <v>1.0</v>
      </c>
      <c r="G762" s="25">
        <v>45771.0</v>
      </c>
      <c r="H762" s="26">
        <f t="shared" si="66"/>
        <v>46022</v>
      </c>
      <c r="I762" s="21"/>
      <c r="J762" s="62" t="s">
        <v>717</v>
      </c>
      <c r="K762" s="62" t="s">
        <v>42</v>
      </c>
      <c r="L762" s="63" t="s">
        <v>35</v>
      </c>
      <c r="M762" s="64">
        <v>80524.0</v>
      </c>
      <c r="N762" s="80" t="s">
        <v>718</v>
      </c>
      <c r="O762" s="66"/>
      <c r="P762" s="38"/>
      <c r="Q762" s="38"/>
      <c r="R762" s="22"/>
      <c r="S762" s="22">
        <v>1.0</v>
      </c>
      <c r="T762" s="22">
        <v>1.0</v>
      </c>
      <c r="U762" s="38"/>
      <c r="V762" s="59"/>
      <c r="W762" s="38"/>
      <c r="X762" s="38"/>
      <c r="Y762" s="36" t="str">
        <f t="shared" si="65"/>
        <v>renew</v>
      </c>
      <c r="Z762" s="21" t="s">
        <v>27</v>
      </c>
      <c r="AA762" s="75"/>
    </row>
    <row r="763">
      <c r="A763" s="87" t="s">
        <v>1240</v>
      </c>
      <c r="B763" s="87" t="s">
        <v>3383</v>
      </c>
      <c r="C763" s="75">
        <v>226.0</v>
      </c>
      <c r="D763" s="22" t="str">
        <f t="shared" si="1"/>
        <v>General</v>
      </c>
      <c r="E763" s="23" t="str">
        <f t="shared" si="2"/>
        <v>Lapsed</v>
      </c>
      <c r="F763" s="24">
        <v>1.0</v>
      </c>
      <c r="G763" s="25">
        <v>44264.0</v>
      </c>
      <c r="H763" s="26">
        <f t="shared" si="66"/>
        <v>44561</v>
      </c>
      <c r="I763" s="75"/>
      <c r="J763" s="62" t="s">
        <v>3384</v>
      </c>
      <c r="K763" s="62" t="s">
        <v>56</v>
      </c>
      <c r="L763" s="63" t="s">
        <v>57</v>
      </c>
      <c r="M763" s="64" t="s">
        <v>1536</v>
      </c>
      <c r="N763" s="80" t="s">
        <v>3385</v>
      </c>
      <c r="O763" s="66" t="s">
        <v>3386</v>
      </c>
      <c r="P763" s="37"/>
      <c r="Q763" s="38"/>
      <c r="R763" s="22"/>
      <c r="S763" s="38"/>
      <c r="T763" s="38"/>
      <c r="U763" s="38"/>
      <c r="V763" s="59"/>
      <c r="W763" s="38"/>
      <c r="X763" s="38"/>
      <c r="Y763" s="36" t="str">
        <f t="shared" si="65"/>
        <v>renew</v>
      </c>
      <c r="Z763" s="75"/>
      <c r="AA763" s="75"/>
    </row>
    <row r="764">
      <c r="A764" s="87" t="s">
        <v>3387</v>
      </c>
      <c r="B764" s="87" t="s">
        <v>1305</v>
      </c>
      <c r="C764" s="75">
        <v>220.0</v>
      </c>
      <c r="D764" s="22" t="str">
        <f t="shared" si="1"/>
        <v>General</v>
      </c>
      <c r="E764" s="23" t="str">
        <f t="shared" si="2"/>
        <v>Lapsed</v>
      </c>
      <c r="F764" s="24">
        <v>1.0</v>
      </c>
      <c r="G764" s="155">
        <v>43533.0</v>
      </c>
      <c r="H764" s="26">
        <f t="shared" si="66"/>
        <v>43830</v>
      </c>
      <c r="I764" s="75"/>
      <c r="J764" s="62" t="s">
        <v>3388</v>
      </c>
      <c r="K764" s="62" t="s">
        <v>866</v>
      </c>
      <c r="L764" s="63" t="s">
        <v>35</v>
      </c>
      <c r="M764" s="64" t="s">
        <v>867</v>
      </c>
      <c r="N764" s="80" t="s">
        <v>3389</v>
      </c>
      <c r="O764" s="66" t="s">
        <v>3390</v>
      </c>
      <c r="P764" s="38"/>
      <c r="Q764" s="38"/>
      <c r="R764" s="22"/>
      <c r="S764" s="38"/>
      <c r="T764" s="38"/>
      <c r="U764" s="38"/>
      <c r="V764" s="59"/>
      <c r="W764" s="38"/>
      <c r="X764" s="38"/>
      <c r="Y764" s="36" t="str">
        <f t="shared" si="65"/>
        <v>renew</v>
      </c>
      <c r="Z764" s="75"/>
      <c r="AA764" s="75"/>
    </row>
    <row r="765">
      <c r="A765" s="87" t="s">
        <v>2602</v>
      </c>
      <c r="B765" s="87" t="s">
        <v>2663</v>
      </c>
      <c r="C765" s="75">
        <v>219.0</v>
      </c>
      <c r="D765" s="22" t="str">
        <f t="shared" si="1"/>
        <v>General</v>
      </c>
      <c r="E765" s="23" t="str">
        <f t="shared" si="2"/>
        <v>Lapsed</v>
      </c>
      <c r="F765" s="24">
        <v>1.0</v>
      </c>
      <c r="G765" s="25">
        <v>45205.0</v>
      </c>
      <c r="H765" s="26">
        <f t="shared" si="66"/>
        <v>45291</v>
      </c>
      <c r="I765" s="75"/>
      <c r="J765" s="62" t="s">
        <v>3391</v>
      </c>
      <c r="K765" s="62" t="s">
        <v>1780</v>
      </c>
      <c r="L765" s="63" t="s">
        <v>35</v>
      </c>
      <c r="M765" s="64">
        <v>80534.0</v>
      </c>
      <c r="N765" s="80" t="s">
        <v>3392</v>
      </c>
      <c r="O765" s="66" t="s">
        <v>3393</v>
      </c>
      <c r="P765" s="37"/>
      <c r="Q765" s="38"/>
      <c r="R765" s="22"/>
      <c r="S765" s="22"/>
      <c r="T765" s="22"/>
      <c r="U765" s="22">
        <v>3.0</v>
      </c>
      <c r="V765" s="116">
        <v>45205.0</v>
      </c>
      <c r="W765" s="38"/>
      <c r="X765" s="22" t="s">
        <v>800</v>
      </c>
      <c r="Y765" s="36" t="str">
        <f t="shared" si="65"/>
        <v>renew</v>
      </c>
      <c r="Z765" s="75"/>
      <c r="AA765" s="75"/>
    </row>
    <row r="766">
      <c r="A766" s="87" t="s">
        <v>3280</v>
      </c>
      <c r="B766" s="87" t="s">
        <v>2825</v>
      </c>
      <c r="C766" s="75">
        <v>171.0</v>
      </c>
      <c r="D766" s="22" t="str">
        <f t="shared" si="1"/>
        <v>General</v>
      </c>
      <c r="E766" s="23" t="str">
        <f t="shared" si="2"/>
        <v>Lapsed</v>
      </c>
      <c r="F766" s="24">
        <v>1.0</v>
      </c>
      <c r="G766" s="25">
        <v>44375.0</v>
      </c>
      <c r="H766" s="26">
        <f t="shared" si="66"/>
        <v>44561</v>
      </c>
      <c r="I766" s="75"/>
      <c r="J766" s="62" t="s">
        <v>3394</v>
      </c>
      <c r="K766" s="62" t="s">
        <v>911</v>
      </c>
      <c r="L766" s="63" t="s">
        <v>35</v>
      </c>
      <c r="M766" s="64" t="s">
        <v>912</v>
      </c>
      <c r="N766" s="80" t="s">
        <v>3395</v>
      </c>
      <c r="O766" s="66" t="s">
        <v>3396</v>
      </c>
      <c r="P766" s="37"/>
      <c r="Q766" s="38"/>
      <c r="R766" s="22"/>
      <c r="S766" s="38"/>
      <c r="T766" s="38"/>
      <c r="U766" s="38"/>
      <c r="V766" s="59"/>
      <c r="W766" s="38"/>
      <c r="X766" s="38"/>
      <c r="Y766" s="36" t="str">
        <f t="shared" si="65"/>
        <v>renew</v>
      </c>
      <c r="Z766" s="75"/>
      <c r="AA766" s="75"/>
    </row>
    <row r="767">
      <c r="A767" s="87" t="s">
        <v>2340</v>
      </c>
      <c r="B767" s="87" t="s">
        <v>3397</v>
      </c>
      <c r="C767" s="75">
        <v>164.0</v>
      </c>
      <c r="D767" s="22" t="str">
        <f t="shared" si="1"/>
        <v>General</v>
      </c>
      <c r="E767" s="23" t="str">
        <f t="shared" si="2"/>
        <v>Lapsed</v>
      </c>
      <c r="F767" s="24">
        <v>1.0</v>
      </c>
      <c r="G767" s="25">
        <v>45194.0</v>
      </c>
      <c r="H767" s="26">
        <f t="shared" si="66"/>
        <v>45291</v>
      </c>
      <c r="I767" s="75"/>
      <c r="J767" s="62" t="s">
        <v>3398</v>
      </c>
      <c r="K767" s="62" t="s">
        <v>911</v>
      </c>
      <c r="L767" s="63" t="s">
        <v>35</v>
      </c>
      <c r="M767" s="64" t="s">
        <v>912</v>
      </c>
      <c r="N767" s="80" t="s">
        <v>3399</v>
      </c>
      <c r="O767" s="66" t="s">
        <v>3400</v>
      </c>
      <c r="P767" s="37"/>
      <c r="Q767" s="38"/>
      <c r="R767" s="22"/>
      <c r="S767" s="22"/>
      <c r="T767" s="22"/>
      <c r="U767" s="22">
        <v>3.0</v>
      </c>
      <c r="V767" s="107">
        <v>45194.0</v>
      </c>
      <c r="W767" s="38"/>
      <c r="X767" s="22" t="s">
        <v>800</v>
      </c>
      <c r="Y767" s="36" t="str">
        <f t="shared" si="65"/>
        <v>renew</v>
      </c>
      <c r="Z767" s="75"/>
      <c r="AA767" s="75"/>
    </row>
    <row r="768">
      <c r="A768" s="87" t="s">
        <v>644</v>
      </c>
      <c r="B768" s="87" t="s">
        <v>2364</v>
      </c>
      <c r="C768" s="75">
        <v>146.0</v>
      </c>
      <c r="D768" s="22" t="str">
        <f t="shared" si="1"/>
        <v>General</v>
      </c>
      <c r="E768" s="23" t="str">
        <f t="shared" si="2"/>
        <v>Lapsed</v>
      </c>
      <c r="F768" s="24">
        <v>1.0</v>
      </c>
      <c r="G768" s="25">
        <v>45849.0</v>
      </c>
      <c r="H768" s="26">
        <f t="shared" si="66"/>
        <v>46022</v>
      </c>
      <c r="I768" s="21"/>
      <c r="J768" s="62" t="s">
        <v>2365</v>
      </c>
      <c r="K768" s="62" t="s">
        <v>56</v>
      </c>
      <c r="L768" s="63" t="s">
        <v>57</v>
      </c>
      <c r="M768" s="64" t="s">
        <v>63</v>
      </c>
      <c r="N768" s="131" t="s">
        <v>2366</v>
      </c>
      <c r="O768" s="66" t="s">
        <v>2367</v>
      </c>
      <c r="P768" s="37"/>
      <c r="Q768" s="38"/>
      <c r="R768" s="22"/>
      <c r="S768" s="22">
        <v>4.0</v>
      </c>
      <c r="T768" s="38"/>
      <c r="U768" s="38"/>
      <c r="V768" s="59"/>
      <c r="W768" s="22" t="s">
        <v>800</v>
      </c>
      <c r="X768" s="38"/>
      <c r="Y768" s="36" t="str">
        <f t="shared" si="65"/>
        <v>renew</v>
      </c>
      <c r="Z768" s="21" t="s">
        <v>27</v>
      </c>
      <c r="AA768" s="75"/>
    </row>
    <row r="769">
      <c r="A769" s="87" t="s">
        <v>680</v>
      </c>
      <c r="B769" s="87" t="s">
        <v>3401</v>
      </c>
      <c r="C769" s="75">
        <v>132.0</v>
      </c>
      <c r="D769" s="22" t="str">
        <f t="shared" si="1"/>
        <v>General</v>
      </c>
      <c r="E769" s="23" t="str">
        <f t="shared" si="2"/>
        <v>Lapsed</v>
      </c>
      <c r="F769" s="24">
        <v>1.0</v>
      </c>
      <c r="G769" s="25">
        <v>44717.0</v>
      </c>
      <c r="H769" s="26">
        <f t="shared" si="66"/>
        <v>44926</v>
      </c>
      <c r="I769" s="75"/>
      <c r="J769" s="62" t="s">
        <v>3402</v>
      </c>
      <c r="K769" s="62" t="s">
        <v>610</v>
      </c>
      <c r="L769" s="63" t="s">
        <v>35</v>
      </c>
      <c r="M769" s="64" t="s">
        <v>611</v>
      </c>
      <c r="N769" s="80" t="s">
        <v>3403</v>
      </c>
      <c r="O769" s="66" t="s">
        <v>3404</v>
      </c>
      <c r="P769" s="37"/>
      <c r="Q769" s="38"/>
      <c r="R769" s="22"/>
      <c r="S769" s="22"/>
      <c r="T769" s="22"/>
      <c r="U769" s="22"/>
      <c r="V769" s="59"/>
      <c r="W769" s="22" t="s">
        <v>800</v>
      </c>
      <c r="X769" s="38"/>
      <c r="Y769" s="36" t="str">
        <f t="shared" si="65"/>
        <v>renew</v>
      </c>
      <c r="Z769" s="75"/>
      <c r="AA769" s="75"/>
    </row>
    <row r="770">
      <c r="A770" s="87" t="s">
        <v>3405</v>
      </c>
      <c r="B770" s="87" t="s">
        <v>3406</v>
      </c>
      <c r="C770" s="75">
        <v>114.0</v>
      </c>
      <c r="D770" s="22" t="str">
        <f t="shared" si="1"/>
        <v>General</v>
      </c>
      <c r="E770" s="23" t="str">
        <f t="shared" si="2"/>
        <v>Active</v>
      </c>
      <c r="F770" s="24">
        <v>1.0</v>
      </c>
      <c r="G770" s="25">
        <v>46086.0</v>
      </c>
      <c r="H770" s="26">
        <f t="shared" si="66"/>
        <v>46387</v>
      </c>
      <c r="I770" s="21" t="s">
        <v>27</v>
      </c>
      <c r="J770" s="62" t="s">
        <v>3407</v>
      </c>
      <c r="K770" s="62" t="s">
        <v>56</v>
      </c>
      <c r="L770" s="63" t="s">
        <v>57</v>
      </c>
      <c r="M770" s="64" t="s">
        <v>63</v>
      </c>
      <c r="N770" s="80" t="s">
        <v>3408</v>
      </c>
      <c r="O770" s="66" t="s">
        <v>3409</v>
      </c>
      <c r="P770" s="37"/>
      <c r="Q770" s="38"/>
      <c r="R770" s="118"/>
      <c r="S770" s="22">
        <v>1.0</v>
      </c>
      <c r="T770" s="22">
        <v>1.0</v>
      </c>
      <c r="U770" s="22">
        <v>1.0</v>
      </c>
      <c r="V770" s="106">
        <v>44942.0</v>
      </c>
      <c r="W770" s="22" t="s">
        <v>800</v>
      </c>
      <c r="X770" s="22" t="s">
        <v>800</v>
      </c>
      <c r="Y770" s="36" t="s">
        <v>3410</v>
      </c>
      <c r="Z770" s="21" t="s">
        <v>27</v>
      </c>
      <c r="AA770" s="75"/>
    </row>
    <row r="771">
      <c r="A771" s="87" t="s">
        <v>3411</v>
      </c>
      <c r="B771" s="87" t="s">
        <v>807</v>
      </c>
      <c r="C771" s="75">
        <v>92.0</v>
      </c>
      <c r="D771" s="22" t="str">
        <f t="shared" si="1"/>
        <v>General</v>
      </c>
      <c r="E771" s="23" t="str">
        <f t="shared" si="2"/>
        <v>Lapsed</v>
      </c>
      <c r="F771" s="24">
        <v>1.0</v>
      </c>
      <c r="G771" s="155">
        <v>43878.0</v>
      </c>
      <c r="H771" s="26">
        <f t="shared" si="66"/>
        <v>44196</v>
      </c>
      <c r="I771" s="75"/>
      <c r="J771" s="62" t="s">
        <v>3412</v>
      </c>
      <c r="K771" s="62" t="s">
        <v>157</v>
      </c>
      <c r="L771" s="63" t="s">
        <v>35</v>
      </c>
      <c r="M771" s="64" t="s">
        <v>158</v>
      </c>
      <c r="N771" s="80" t="s">
        <v>3413</v>
      </c>
      <c r="O771" s="66" t="s">
        <v>810</v>
      </c>
      <c r="P771" s="37"/>
      <c r="Q771" s="38"/>
      <c r="R771" s="22"/>
      <c r="S771" s="38"/>
      <c r="T771" s="38"/>
      <c r="U771" s="38"/>
      <c r="V771" s="59"/>
      <c r="W771" s="38"/>
      <c r="X771" s="38"/>
      <c r="Y771" s="36" t="str">
        <f t="shared" ref="Y771:Y773" si="67">if(E771="Active","send","renew")</f>
        <v>renew</v>
      </c>
      <c r="Z771" s="75"/>
      <c r="AA771" s="75"/>
    </row>
    <row r="772">
      <c r="A772" s="87" t="s">
        <v>3414</v>
      </c>
      <c r="B772" s="87" t="s">
        <v>3415</v>
      </c>
      <c r="C772" s="23">
        <v>85.0</v>
      </c>
      <c r="D772" s="22" t="str">
        <f t="shared" si="1"/>
        <v>General</v>
      </c>
      <c r="E772" s="23" t="str">
        <f t="shared" si="2"/>
        <v>Lapsed</v>
      </c>
      <c r="F772" s="24">
        <v>1.0</v>
      </c>
      <c r="G772" s="155">
        <v>44819.0</v>
      </c>
      <c r="H772" s="26">
        <f t="shared" si="66"/>
        <v>44926</v>
      </c>
      <c r="I772" s="75"/>
      <c r="J772" s="62" t="s">
        <v>3416</v>
      </c>
      <c r="K772" s="62" t="s">
        <v>42</v>
      </c>
      <c r="L772" s="81" t="s">
        <v>35</v>
      </c>
      <c r="M772" s="64" t="s">
        <v>239</v>
      </c>
      <c r="N772" s="173" t="s">
        <v>3417</v>
      </c>
      <c r="O772" s="66">
        <v>9.702316773E9</v>
      </c>
      <c r="P772" s="37"/>
      <c r="Q772" s="38"/>
      <c r="R772" s="22"/>
      <c r="S772" s="38"/>
      <c r="T772" s="38"/>
      <c r="U772" s="38"/>
      <c r="V772" s="59"/>
      <c r="W772" s="22" t="s">
        <v>800</v>
      </c>
      <c r="X772" s="38"/>
      <c r="Y772" s="36" t="str">
        <f t="shared" si="67"/>
        <v>renew</v>
      </c>
      <c r="Z772" s="75"/>
      <c r="AA772" s="75"/>
    </row>
    <row r="773">
      <c r="A773" s="87" t="s">
        <v>2808</v>
      </c>
      <c r="B773" s="87" t="s">
        <v>3418</v>
      </c>
      <c r="C773" s="75">
        <v>78.0</v>
      </c>
      <c r="D773" s="22" t="str">
        <f t="shared" si="1"/>
        <v>General</v>
      </c>
      <c r="E773" s="23" t="str">
        <f t="shared" si="2"/>
        <v>Lapsed</v>
      </c>
      <c r="F773" s="24">
        <v>1.0</v>
      </c>
      <c r="G773" s="155">
        <v>44182.0</v>
      </c>
      <c r="H773" s="26">
        <f t="shared" si="66"/>
        <v>44196</v>
      </c>
      <c r="I773" s="75"/>
      <c r="J773" s="62" t="s">
        <v>3419</v>
      </c>
      <c r="K773" s="62" t="s">
        <v>329</v>
      </c>
      <c r="L773" s="63" t="s">
        <v>35</v>
      </c>
      <c r="M773" s="64" t="s">
        <v>330</v>
      </c>
      <c r="N773" s="80" t="s">
        <v>3420</v>
      </c>
      <c r="O773" s="66" t="s">
        <v>3421</v>
      </c>
      <c r="P773" s="37"/>
      <c r="Q773" s="38"/>
      <c r="R773" s="22"/>
      <c r="S773" s="38"/>
      <c r="T773" s="38"/>
      <c r="U773" s="38"/>
      <c r="V773" s="59"/>
      <c r="W773" s="38"/>
      <c r="X773" s="38"/>
      <c r="Y773" s="36" t="str">
        <f t="shared" si="67"/>
        <v>renew</v>
      </c>
      <c r="Z773" s="75"/>
      <c r="AA773" s="75"/>
    </row>
    <row r="774">
      <c r="A774" s="87" t="s">
        <v>1498</v>
      </c>
      <c r="B774" s="87" t="s">
        <v>3418</v>
      </c>
      <c r="C774" s="75">
        <v>77.0</v>
      </c>
      <c r="D774" s="22" t="str">
        <f t="shared" si="1"/>
        <v>General</v>
      </c>
      <c r="E774" s="23" t="str">
        <f t="shared" si="2"/>
        <v>Active</v>
      </c>
      <c r="F774" s="24">
        <v>3.0</v>
      </c>
      <c r="G774" s="25">
        <v>45393.0</v>
      </c>
      <c r="H774" s="26">
        <f t="shared" si="66"/>
        <v>46387</v>
      </c>
      <c r="I774" s="21" t="s">
        <v>8</v>
      </c>
      <c r="J774" s="62" t="s">
        <v>3422</v>
      </c>
      <c r="K774" s="62" t="s">
        <v>164</v>
      </c>
      <c r="L774" s="63" t="s">
        <v>35</v>
      </c>
      <c r="M774" s="64" t="s">
        <v>165</v>
      </c>
      <c r="N774" s="53" t="s">
        <v>3423</v>
      </c>
      <c r="O774" s="66" t="s">
        <v>3424</v>
      </c>
      <c r="P774" s="37"/>
      <c r="Q774" s="38"/>
      <c r="R774" s="22"/>
      <c r="S774" s="22">
        <v>1.0</v>
      </c>
      <c r="T774" s="22">
        <v>1.0</v>
      </c>
      <c r="U774" s="22">
        <v>2.0</v>
      </c>
      <c r="V774" s="35">
        <v>45068.0</v>
      </c>
      <c r="W774" s="22" t="s">
        <v>800</v>
      </c>
      <c r="X774" s="22" t="s">
        <v>800</v>
      </c>
      <c r="Y774" s="36" t="s">
        <v>45</v>
      </c>
      <c r="Z774" s="21" t="s">
        <v>8</v>
      </c>
      <c r="AA774" s="75"/>
    </row>
    <row r="775">
      <c r="A775" s="87" t="s">
        <v>3425</v>
      </c>
      <c r="B775" s="87" t="s">
        <v>3406</v>
      </c>
      <c r="C775" s="75">
        <v>76.0</v>
      </c>
      <c r="D775" s="22" t="str">
        <f t="shared" si="1"/>
        <v>General</v>
      </c>
      <c r="E775" s="23" t="str">
        <f t="shared" si="2"/>
        <v>Active</v>
      </c>
      <c r="F775" s="24">
        <v>1.0</v>
      </c>
      <c r="G775" s="25">
        <v>46086.0</v>
      </c>
      <c r="H775" s="26">
        <f t="shared" si="66"/>
        <v>46387</v>
      </c>
      <c r="I775" s="21" t="s">
        <v>27</v>
      </c>
      <c r="J775" s="62" t="s">
        <v>3407</v>
      </c>
      <c r="K775" s="62" t="s">
        <v>56</v>
      </c>
      <c r="L775" s="63" t="s">
        <v>57</v>
      </c>
      <c r="M775" s="64" t="s">
        <v>63</v>
      </c>
      <c r="N775" s="80" t="s">
        <v>3426</v>
      </c>
      <c r="O775" s="66" t="s">
        <v>3427</v>
      </c>
      <c r="P775" s="37"/>
      <c r="Q775" s="38"/>
      <c r="R775" s="118"/>
      <c r="S775" s="22">
        <v>1.0</v>
      </c>
      <c r="T775" s="22">
        <v>1.0</v>
      </c>
      <c r="U775" s="22">
        <v>1.0</v>
      </c>
      <c r="V775" s="106">
        <v>44942.0</v>
      </c>
      <c r="W775" s="22" t="s">
        <v>800</v>
      </c>
      <c r="X775" s="22" t="s">
        <v>800</v>
      </c>
      <c r="Y775" s="36" t="s">
        <v>3410</v>
      </c>
      <c r="Z775" s="21" t="s">
        <v>27</v>
      </c>
      <c r="AA775" s="75"/>
    </row>
    <row r="776">
      <c r="A776" s="87" t="s">
        <v>878</v>
      </c>
      <c r="B776" s="87" t="s">
        <v>3428</v>
      </c>
      <c r="C776" s="75">
        <v>70.0</v>
      </c>
      <c r="D776" s="22" t="str">
        <f t="shared" si="1"/>
        <v>General</v>
      </c>
      <c r="E776" s="23" t="str">
        <f t="shared" si="2"/>
        <v>Lapsed</v>
      </c>
      <c r="F776" s="24">
        <v>1.0</v>
      </c>
      <c r="G776" s="172"/>
      <c r="H776" s="26"/>
      <c r="I776" s="75"/>
      <c r="J776" s="62" t="s">
        <v>3429</v>
      </c>
      <c r="K776" s="62" t="s">
        <v>1203</v>
      </c>
      <c r="L776" s="63" t="s">
        <v>35</v>
      </c>
      <c r="M776" s="64" t="s">
        <v>2767</v>
      </c>
      <c r="N776" s="80" t="s">
        <v>3430</v>
      </c>
      <c r="O776" s="66" t="s">
        <v>3431</v>
      </c>
      <c r="P776" s="37"/>
      <c r="Q776" s="38"/>
      <c r="R776" s="22"/>
      <c r="S776" s="38"/>
      <c r="T776" s="38"/>
      <c r="U776" s="38"/>
      <c r="V776" s="159"/>
      <c r="W776" s="38"/>
      <c r="X776" s="38"/>
      <c r="Y776" s="36" t="str">
        <f t="shared" ref="Y776:Y783" si="68">if(E776="Active","send","renew")</f>
        <v>renew</v>
      </c>
      <c r="Z776" s="75"/>
      <c r="AA776" s="75"/>
    </row>
    <row r="777">
      <c r="A777" s="87" t="s">
        <v>3432</v>
      </c>
      <c r="B777" s="87" t="s">
        <v>3315</v>
      </c>
      <c r="C777" s="75">
        <v>68.0</v>
      </c>
      <c r="D777" s="22" t="str">
        <f t="shared" si="1"/>
        <v>General</v>
      </c>
      <c r="E777" s="23" t="str">
        <f t="shared" si="2"/>
        <v>Lapsed</v>
      </c>
      <c r="F777" s="24">
        <v>1.0</v>
      </c>
      <c r="G777" s="25">
        <v>45319.0</v>
      </c>
      <c r="H777" s="26">
        <f t="shared" ref="H777:H778" si="69">DATE(YEAR(G777)+F777-1, 12, 31)</f>
        <v>45657</v>
      </c>
      <c r="I777" s="21"/>
      <c r="J777" s="62" t="s">
        <v>3316</v>
      </c>
      <c r="K777" s="62" t="s">
        <v>1780</v>
      </c>
      <c r="L777" s="63" t="s">
        <v>35</v>
      </c>
      <c r="M777" s="64" t="s">
        <v>1150</v>
      </c>
      <c r="N777" s="80" t="s">
        <v>3317</v>
      </c>
      <c r="O777" s="66" t="s">
        <v>3318</v>
      </c>
      <c r="P777" s="37"/>
      <c r="Q777" s="38"/>
      <c r="R777" s="22"/>
      <c r="S777" s="22"/>
      <c r="T777" s="22">
        <v>1.0</v>
      </c>
      <c r="U777" s="22">
        <v>2.0</v>
      </c>
      <c r="V777" s="35">
        <v>45068.0</v>
      </c>
      <c r="W777" s="22" t="s">
        <v>800</v>
      </c>
      <c r="X777" s="22" t="s">
        <v>800</v>
      </c>
      <c r="Y777" s="36" t="str">
        <f t="shared" si="68"/>
        <v>renew</v>
      </c>
      <c r="Z777" s="21"/>
      <c r="AA777" s="75"/>
    </row>
    <row r="778">
      <c r="A778" s="87" t="s">
        <v>302</v>
      </c>
      <c r="B778" s="87" t="s">
        <v>807</v>
      </c>
      <c r="C778" s="75">
        <v>65.0</v>
      </c>
      <c r="D778" s="22" t="str">
        <f t="shared" si="1"/>
        <v>General</v>
      </c>
      <c r="E778" s="23" t="str">
        <f t="shared" si="2"/>
        <v>Lapsed</v>
      </c>
      <c r="F778" s="24">
        <v>1.0</v>
      </c>
      <c r="G778" s="25">
        <v>45515.0</v>
      </c>
      <c r="H778" s="26">
        <f t="shared" si="69"/>
        <v>45657</v>
      </c>
      <c r="I778" s="21"/>
      <c r="J778" s="62" t="s">
        <v>808</v>
      </c>
      <c r="K778" s="62" t="s">
        <v>157</v>
      </c>
      <c r="L778" s="63" t="s">
        <v>35</v>
      </c>
      <c r="M778" s="64" t="s">
        <v>158</v>
      </c>
      <c r="N778" s="80" t="s">
        <v>809</v>
      </c>
      <c r="O778" s="66" t="s">
        <v>810</v>
      </c>
      <c r="P778" s="37"/>
      <c r="Q778" s="38"/>
      <c r="R778" s="22"/>
      <c r="S778" s="22"/>
      <c r="T778" s="22">
        <v>1.0</v>
      </c>
      <c r="U778" s="38"/>
      <c r="V778" s="59"/>
      <c r="W778" s="38"/>
      <c r="X778" s="38"/>
      <c r="Y778" s="36" t="str">
        <f t="shared" si="68"/>
        <v>renew</v>
      </c>
      <c r="Z778" s="21"/>
      <c r="AA778" s="75"/>
    </row>
    <row r="779">
      <c r="A779" s="87" t="s">
        <v>1181</v>
      </c>
      <c r="B779" s="87" t="s">
        <v>3433</v>
      </c>
      <c r="C779" s="75">
        <v>63.0</v>
      </c>
      <c r="D779" s="22" t="str">
        <f t="shared" si="1"/>
        <v>General</v>
      </c>
      <c r="E779" s="23" t="str">
        <f t="shared" si="2"/>
        <v>Lapsed</v>
      </c>
      <c r="F779" s="24">
        <v>1.0</v>
      </c>
      <c r="G779" s="172"/>
      <c r="H779" s="26"/>
      <c r="I779" s="75"/>
      <c r="J779" s="62" t="s">
        <v>3434</v>
      </c>
      <c r="K779" s="62" t="s">
        <v>56</v>
      </c>
      <c r="L779" s="63" t="s">
        <v>57</v>
      </c>
      <c r="M779" s="64" t="s">
        <v>63</v>
      </c>
      <c r="N779" s="80" t="s">
        <v>3435</v>
      </c>
      <c r="O779" s="66" t="s">
        <v>3436</v>
      </c>
      <c r="P779" s="37"/>
      <c r="Q779" s="38"/>
      <c r="R779" s="22"/>
      <c r="S779" s="38"/>
      <c r="T779" s="38"/>
      <c r="U779" s="38"/>
      <c r="V779" s="159"/>
      <c r="W779" s="38"/>
      <c r="X779" s="38"/>
      <c r="Y779" s="36" t="str">
        <f t="shared" si="68"/>
        <v>renew</v>
      </c>
      <c r="Z779" s="75"/>
      <c r="AA779" s="75"/>
    </row>
    <row r="780">
      <c r="A780" s="87" t="s">
        <v>2868</v>
      </c>
      <c r="B780" s="87" t="s">
        <v>811</v>
      </c>
      <c r="C780" s="75">
        <v>60.0</v>
      </c>
      <c r="D780" s="22" t="str">
        <f t="shared" si="1"/>
        <v>General</v>
      </c>
      <c r="E780" s="23" t="str">
        <f t="shared" si="2"/>
        <v>Lapsed</v>
      </c>
      <c r="F780" s="24">
        <v>1.0</v>
      </c>
      <c r="G780" s="25">
        <v>45817.0</v>
      </c>
      <c r="H780" s="26">
        <f t="shared" ref="H780:H785" si="70">DATE(YEAR(G780)+F780-1, 12, 31)</f>
        <v>46022</v>
      </c>
      <c r="I780" s="21"/>
      <c r="J780" s="62" t="s">
        <v>3437</v>
      </c>
      <c r="K780" s="62" t="s">
        <v>56</v>
      </c>
      <c r="L780" s="63" t="s">
        <v>57</v>
      </c>
      <c r="M780" s="64" t="s">
        <v>63</v>
      </c>
      <c r="N780" s="80" t="s">
        <v>3438</v>
      </c>
      <c r="O780" s="66" t="s">
        <v>3439</v>
      </c>
      <c r="P780" s="37"/>
      <c r="Q780" s="38"/>
      <c r="R780" s="22"/>
      <c r="S780" s="22">
        <v>2.0</v>
      </c>
      <c r="T780" s="22">
        <v>1.0</v>
      </c>
      <c r="U780" s="22">
        <v>2.0</v>
      </c>
      <c r="V780" s="174">
        <v>45080.0</v>
      </c>
      <c r="W780" s="22" t="s">
        <v>800</v>
      </c>
      <c r="X780" s="22" t="s">
        <v>800</v>
      </c>
      <c r="Y780" s="36" t="str">
        <f t="shared" si="68"/>
        <v>renew</v>
      </c>
      <c r="Z780" s="21"/>
      <c r="AA780" s="75"/>
    </row>
    <row r="781">
      <c r="A781" s="87" t="s">
        <v>3440</v>
      </c>
      <c r="B781" s="87" t="s">
        <v>3441</v>
      </c>
      <c r="C781" s="75">
        <v>59.0</v>
      </c>
      <c r="D781" s="22" t="str">
        <f t="shared" si="1"/>
        <v>General</v>
      </c>
      <c r="E781" s="23" t="str">
        <f t="shared" si="2"/>
        <v>Lapsed</v>
      </c>
      <c r="F781" s="24">
        <v>1.0</v>
      </c>
      <c r="G781" s="25">
        <v>45515.0</v>
      </c>
      <c r="H781" s="26">
        <f t="shared" si="70"/>
        <v>45657</v>
      </c>
      <c r="I781" s="21"/>
      <c r="J781" s="62" t="s">
        <v>3442</v>
      </c>
      <c r="K781" s="62" t="s">
        <v>190</v>
      </c>
      <c r="L781" s="63" t="s">
        <v>35</v>
      </c>
      <c r="M781" s="64" t="s">
        <v>311</v>
      </c>
      <c r="N781" s="131" t="s">
        <v>3443</v>
      </c>
      <c r="O781" s="66" t="s">
        <v>3444</v>
      </c>
      <c r="P781" s="37"/>
      <c r="Q781" s="38"/>
      <c r="R781" s="22"/>
      <c r="S781" s="22"/>
      <c r="T781" s="22">
        <v>1.0</v>
      </c>
      <c r="U781" s="22"/>
      <c r="V781" s="59"/>
      <c r="W781" s="22" t="s">
        <v>800</v>
      </c>
      <c r="X781" s="38"/>
      <c r="Y781" s="36" t="str">
        <f t="shared" si="68"/>
        <v>renew</v>
      </c>
      <c r="Z781" s="21"/>
      <c r="AA781" s="75"/>
    </row>
    <row r="782">
      <c r="A782" s="87" t="s">
        <v>3445</v>
      </c>
      <c r="B782" s="87" t="s">
        <v>3446</v>
      </c>
      <c r="C782" s="75">
        <v>54.0</v>
      </c>
      <c r="D782" s="22" t="str">
        <f t="shared" si="1"/>
        <v>General</v>
      </c>
      <c r="E782" s="23" t="str">
        <f t="shared" si="2"/>
        <v>Lapsed</v>
      </c>
      <c r="F782" s="24">
        <v>1.0</v>
      </c>
      <c r="G782" s="155">
        <v>43629.0</v>
      </c>
      <c r="H782" s="26">
        <f t="shared" si="70"/>
        <v>43830</v>
      </c>
      <c r="I782" s="75"/>
      <c r="J782" s="62" t="s">
        <v>3447</v>
      </c>
      <c r="K782" s="62" t="s">
        <v>1409</v>
      </c>
      <c r="L782" s="63" t="s">
        <v>35</v>
      </c>
      <c r="M782" s="64" t="s">
        <v>1410</v>
      </c>
      <c r="N782" s="80" t="s">
        <v>3448</v>
      </c>
      <c r="O782" s="66" t="s">
        <v>3449</v>
      </c>
      <c r="P782" s="38"/>
      <c r="Q782" s="38"/>
      <c r="R782" s="22"/>
      <c r="S782" s="38"/>
      <c r="T782" s="38"/>
      <c r="U782" s="38"/>
      <c r="V782" s="59"/>
      <c r="W782" s="38"/>
      <c r="X782" s="38"/>
      <c r="Y782" s="36" t="str">
        <f t="shared" si="68"/>
        <v>renew</v>
      </c>
      <c r="Z782" s="75"/>
      <c r="AA782" s="75"/>
    </row>
    <row r="783">
      <c r="A783" s="87" t="s">
        <v>3450</v>
      </c>
      <c r="B783" s="87" t="s">
        <v>3451</v>
      </c>
      <c r="C783" s="75">
        <v>52.0</v>
      </c>
      <c r="D783" s="22" t="str">
        <f t="shared" si="1"/>
        <v>General</v>
      </c>
      <c r="E783" s="23" t="str">
        <f t="shared" si="2"/>
        <v>Lapsed</v>
      </c>
      <c r="F783" s="108">
        <v>3.0</v>
      </c>
      <c r="G783" s="25">
        <v>45068.0</v>
      </c>
      <c r="H783" s="26">
        <f t="shared" si="70"/>
        <v>46022</v>
      </c>
      <c r="I783" s="21"/>
      <c r="J783" s="62" t="s">
        <v>3452</v>
      </c>
      <c r="K783" s="62" t="s">
        <v>761</v>
      </c>
      <c r="L783" s="63" t="s">
        <v>35</v>
      </c>
      <c r="M783" s="64" t="s">
        <v>3044</v>
      </c>
      <c r="N783" s="80" t="s">
        <v>3453</v>
      </c>
      <c r="O783" s="66" t="s">
        <v>3454</v>
      </c>
      <c r="P783" s="37"/>
      <c r="Q783" s="38"/>
      <c r="R783" s="22"/>
      <c r="S783" s="22">
        <v>1.0</v>
      </c>
      <c r="T783" s="22">
        <v>1.0</v>
      </c>
      <c r="U783" s="22">
        <v>2.0</v>
      </c>
      <c r="V783" s="35">
        <v>45068.0</v>
      </c>
      <c r="W783" s="22" t="s">
        <v>800</v>
      </c>
      <c r="X783" s="22" t="s">
        <v>800</v>
      </c>
      <c r="Y783" s="36" t="str">
        <f t="shared" si="68"/>
        <v>renew</v>
      </c>
      <c r="Z783" s="21" t="s">
        <v>27</v>
      </c>
      <c r="AA783" s="75"/>
    </row>
    <row r="784">
      <c r="A784" s="87" t="s">
        <v>567</v>
      </c>
      <c r="B784" s="87" t="s">
        <v>776</v>
      </c>
      <c r="C784" s="75">
        <v>50.0</v>
      </c>
      <c r="D784" s="22" t="str">
        <f t="shared" si="1"/>
        <v>General</v>
      </c>
      <c r="E784" s="23" t="str">
        <f t="shared" si="2"/>
        <v>Active</v>
      </c>
      <c r="F784" s="24">
        <v>1.0</v>
      </c>
      <c r="G784" s="25">
        <v>46127.0</v>
      </c>
      <c r="H784" s="26">
        <f t="shared" si="70"/>
        <v>46387</v>
      </c>
      <c r="I784" s="21"/>
      <c r="J784" s="62" t="s">
        <v>3455</v>
      </c>
      <c r="K784" s="62" t="s">
        <v>56</v>
      </c>
      <c r="L784" s="63" t="s">
        <v>57</v>
      </c>
      <c r="M784" s="64" t="s">
        <v>63</v>
      </c>
      <c r="N784" s="80" t="s">
        <v>3456</v>
      </c>
      <c r="O784" s="66" t="s">
        <v>3457</v>
      </c>
      <c r="P784" s="37"/>
      <c r="Q784" s="38"/>
      <c r="R784" s="22"/>
      <c r="S784" s="22">
        <v>2.0</v>
      </c>
      <c r="T784" s="22">
        <v>1.0</v>
      </c>
      <c r="U784" s="22">
        <v>2.0</v>
      </c>
      <c r="V784" s="35">
        <v>45068.0</v>
      </c>
      <c r="W784" s="22" t="s">
        <v>800</v>
      </c>
      <c r="X784" s="22" t="s">
        <v>800</v>
      </c>
      <c r="Y784" s="36" t="s">
        <v>3458</v>
      </c>
      <c r="Z784" s="21"/>
      <c r="AA784" s="75"/>
    </row>
    <row r="785">
      <c r="A785" s="87" t="s">
        <v>3459</v>
      </c>
      <c r="B785" s="87" t="s">
        <v>3460</v>
      </c>
      <c r="C785" s="75">
        <v>29.0</v>
      </c>
      <c r="D785" s="22" t="str">
        <f t="shared" si="1"/>
        <v>General</v>
      </c>
      <c r="E785" s="23" t="str">
        <f t="shared" si="2"/>
        <v>Lapsed</v>
      </c>
      <c r="F785" s="24">
        <v>1.0</v>
      </c>
      <c r="G785" s="155">
        <v>43165.0</v>
      </c>
      <c r="H785" s="26">
        <f t="shared" si="70"/>
        <v>43465</v>
      </c>
      <c r="I785" s="75"/>
      <c r="J785" s="62" t="s">
        <v>3461</v>
      </c>
      <c r="K785" s="62" t="s">
        <v>2385</v>
      </c>
      <c r="L785" s="63" t="s">
        <v>35</v>
      </c>
      <c r="M785" s="64" t="s">
        <v>3462</v>
      </c>
      <c r="N785" s="80" t="s">
        <v>3463</v>
      </c>
      <c r="O785" s="66" t="s">
        <v>3464</v>
      </c>
      <c r="P785" s="38"/>
      <c r="Q785" s="38"/>
      <c r="R785" s="22"/>
      <c r="S785" s="38"/>
      <c r="T785" s="38"/>
      <c r="U785" s="38"/>
      <c r="V785" s="59"/>
      <c r="W785" s="38"/>
      <c r="X785" s="38"/>
      <c r="Y785" s="36" t="str">
        <f t="shared" ref="Y785:Y789" si="71">if(E785="Active","send","renew")</f>
        <v>renew</v>
      </c>
      <c r="Z785" s="75"/>
      <c r="AA785" s="75"/>
    </row>
    <row r="786">
      <c r="A786" s="87" t="s">
        <v>2602</v>
      </c>
      <c r="B786" s="87" t="s">
        <v>3465</v>
      </c>
      <c r="C786" s="75">
        <v>16.0</v>
      </c>
      <c r="D786" s="22" t="str">
        <f t="shared" si="1"/>
        <v>General</v>
      </c>
      <c r="E786" s="23" t="str">
        <f t="shared" si="2"/>
        <v>Lapsed</v>
      </c>
      <c r="F786" s="24">
        <v>1.0</v>
      </c>
      <c r="G786" s="172"/>
      <c r="H786" s="26"/>
      <c r="I786" s="75"/>
      <c r="J786" s="62" t="s">
        <v>3466</v>
      </c>
      <c r="K786" s="62" t="s">
        <v>1331</v>
      </c>
      <c r="L786" s="63" t="s">
        <v>35</v>
      </c>
      <c r="M786" s="64" t="s">
        <v>1332</v>
      </c>
      <c r="N786" s="53" t="s">
        <v>3467</v>
      </c>
      <c r="O786" s="66" t="s">
        <v>3468</v>
      </c>
      <c r="P786" s="37"/>
      <c r="Q786" s="38"/>
      <c r="R786" s="22"/>
      <c r="S786" s="38"/>
      <c r="T786" s="38"/>
      <c r="U786" s="38"/>
      <c r="V786" s="159"/>
      <c r="W786" s="38"/>
      <c r="X786" s="38"/>
      <c r="Y786" s="36" t="str">
        <f t="shared" si="71"/>
        <v>renew</v>
      </c>
      <c r="Z786" s="75"/>
      <c r="AA786" s="75"/>
    </row>
    <row r="787">
      <c r="A787" s="87" t="s">
        <v>922</v>
      </c>
      <c r="B787" s="87" t="s">
        <v>1980</v>
      </c>
      <c r="C787" s="75">
        <v>9.0</v>
      </c>
      <c r="D787" s="22" t="str">
        <f t="shared" si="1"/>
        <v>General</v>
      </c>
      <c r="E787" s="23" t="str">
        <f t="shared" si="2"/>
        <v>Lapsed</v>
      </c>
      <c r="F787" s="24">
        <v>1.0</v>
      </c>
      <c r="G787" s="25">
        <v>44391.0</v>
      </c>
      <c r="H787" s="26">
        <f t="shared" ref="H787:H791" si="72">DATE(YEAR(G787)+F787-1, 12, 31)</f>
        <v>44561</v>
      </c>
      <c r="I787" s="75"/>
      <c r="J787" s="62" t="s">
        <v>1981</v>
      </c>
      <c r="K787" s="62" t="s">
        <v>56</v>
      </c>
      <c r="L787" s="63" t="s">
        <v>57</v>
      </c>
      <c r="M787" s="64">
        <v>82009.0</v>
      </c>
      <c r="N787" s="80" t="s">
        <v>1982</v>
      </c>
      <c r="O787" s="66" t="s">
        <v>1983</v>
      </c>
      <c r="P787" s="37"/>
      <c r="Q787" s="38"/>
      <c r="R787" s="22"/>
      <c r="S787" s="38"/>
      <c r="T787" s="38"/>
      <c r="U787" s="38"/>
      <c r="V787" s="59"/>
      <c r="W787" s="38"/>
      <c r="X787" s="38"/>
      <c r="Y787" s="36" t="str">
        <f t="shared" si="71"/>
        <v>renew</v>
      </c>
      <c r="Z787" s="75"/>
      <c r="AA787" s="75"/>
    </row>
    <row r="788">
      <c r="A788" s="87" t="s">
        <v>3469</v>
      </c>
      <c r="B788" s="87" t="s">
        <v>1980</v>
      </c>
      <c r="C788" s="75">
        <v>8.0</v>
      </c>
      <c r="D788" s="22" t="str">
        <f t="shared" si="1"/>
        <v>General</v>
      </c>
      <c r="E788" s="23" t="str">
        <f t="shared" si="2"/>
        <v>Lapsed</v>
      </c>
      <c r="F788" s="24">
        <v>1.0</v>
      </c>
      <c r="G788" s="155">
        <v>44391.0</v>
      </c>
      <c r="H788" s="26">
        <f t="shared" si="72"/>
        <v>44561</v>
      </c>
      <c r="I788" s="75"/>
      <c r="J788" s="62" t="s">
        <v>1981</v>
      </c>
      <c r="K788" s="62" t="s">
        <v>56</v>
      </c>
      <c r="L788" s="63" t="s">
        <v>57</v>
      </c>
      <c r="M788" s="64">
        <v>82009.0</v>
      </c>
      <c r="N788" s="80" t="s">
        <v>3470</v>
      </c>
      <c r="O788" s="66" t="s">
        <v>3471</v>
      </c>
      <c r="P788" s="37"/>
      <c r="Q788" s="38"/>
      <c r="R788" s="22"/>
      <c r="S788" s="38"/>
      <c r="T788" s="38"/>
      <c r="U788" s="38"/>
      <c r="V788" s="59"/>
      <c r="W788" s="38"/>
      <c r="X788" s="38"/>
      <c r="Y788" s="36" t="str">
        <f t="shared" si="71"/>
        <v>renew</v>
      </c>
      <c r="Z788" s="75"/>
      <c r="AA788" s="75"/>
    </row>
    <row r="789">
      <c r="A789" s="87" t="s">
        <v>1545</v>
      </c>
      <c r="B789" s="87" t="s">
        <v>1757</v>
      </c>
      <c r="C789" s="138">
        <v>7.0</v>
      </c>
      <c r="D789" s="22" t="str">
        <f t="shared" si="1"/>
        <v>General</v>
      </c>
      <c r="E789" s="23" t="str">
        <f t="shared" si="2"/>
        <v>Lapsed</v>
      </c>
      <c r="F789" s="24">
        <v>1.0</v>
      </c>
      <c r="G789" s="25">
        <v>45407.0</v>
      </c>
      <c r="H789" s="26">
        <f t="shared" si="72"/>
        <v>45657</v>
      </c>
      <c r="I789" s="21"/>
      <c r="J789" s="139" t="s">
        <v>3472</v>
      </c>
      <c r="K789" s="139" t="s">
        <v>1780</v>
      </c>
      <c r="L789" s="140" t="s">
        <v>35</v>
      </c>
      <c r="M789" s="64" t="s">
        <v>1150</v>
      </c>
      <c r="N789" s="80" t="s">
        <v>3473</v>
      </c>
      <c r="O789" s="66" t="s">
        <v>3474</v>
      </c>
      <c r="P789" s="37"/>
      <c r="Q789" s="38"/>
      <c r="R789" s="22"/>
      <c r="S789" s="22"/>
      <c r="T789" s="22">
        <v>1.0</v>
      </c>
      <c r="U789" s="22">
        <v>1.0</v>
      </c>
      <c r="V789" s="116">
        <v>45044.0</v>
      </c>
      <c r="W789" s="22" t="s">
        <v>800</v>
      </c>
      <c r="X789" s="22" t="s">
        <v>800</v>
      </c>
      <c r="Y789" s="36" t="str">
        <f t="shared" si="71"/>
        <v>renew</v>
      </c>
      <c r="Z789" s="21"/>
      <c r="AA789" s="75"/>
    </row>
    <row r="790">
      <c r="A790" s="87" t="s">
        <v>3475</v>
      </c>
      <c r="B790" s="87" t="s">
        <v>1305</v>
      </c>
      <c r="C790" s="21">
        <v>6.0</v>
      </c>
      <c r="D790" s="22" t="str">
        <f t="shared" si="1"/>
        <v>General</v>
      </c>
      <c r="E790" s="23" t="str">
        <f t="shared" si="2"/>
        <v>Active</v>
      </c>
      <c r="F790" s="24">
        <v>1.0</v>
      </c>
      <c r="G790" s="25">
        <v>46124.0</v>
      </c>
      <c r="H790" s="26">
        <f t="shared" si="72"/>
        <v>46387</v>
      </c>
      <c r="I790" s="21"/>
      <c r="J790" s="62" t="s">
        <v>3455</v>
      </c>
      <c r="K790" s="62" t="s">
        <v>56</v>
      </c>
      <c r="L790" s="63" t="s">
        <v>57</v>
      </c>
      <c r="M790" s="64">
        <v>82009.0</v>
      </c>
      <c r="N790" s="80" t="s">
        <v>3476</v>
      </c>
      <c r="O790" s="66" t="s">
        <v>3477</v>
      </c>
      <c r="P790" s="37"/>
      <c r="Q790" s="38"/>
      <c r="R790" s="22"/>
      <c r="S790" s="22">
        <v>4.0</v>
      </c>
      <c r="T790" s="22">
        <v>1.0</v>
      </c>
      <c r="U790" s="22">
        <v>1.0</v>
      </c>
      <c r="V790" s="116">
        <v>45044.0</v>
      </c>
      <c r="W790" s="22" t="s">
        <v>800</v>
      </c>
      <c r="X790" s="22" t="s">
        <v>800</v>
      </c>
      <c r="Y790" s="36" t="s">
        <v>38</v>
      </c>
      <c r="Z790" s="21"/>
      <c r="AA790" s="75"/>
    </row>
    <row r="791">
      <c r="A791" s="87" t="s">
        <v>3478</v>
      </c>
      <c r="B791" s="87" t="s">
        <v>3479</v>
      </c>
      <c r="C791" s="75">
        <v>5.0</v>
      </c>
      <c r="D791" s="22" t="str">
        <f t="shared" si="1"/>
        <v>General</v>
      </c>
      <c r="E791" s="23" t="str">
        <f t="shared" si="2"/>
        <v>Lapsed</v>
      </c>
      <c r="F791" s="24">
        <v>1.0</v>
      </c>
      <c r="G791" s="25">
        <v>44316.0</v>
      </c>
      <c r="H791" s="26">
        <f t="shared" si="72"/>
        <v>44561</v>
      </c>
      <c r="I791" s="75"/>
      <c r="J791" s="62" t="s">
        <v>3480</v>
      </c>
      <c r="K791" s="62" t="s">
        <v>1725</v>
      </c>
      <c r="L791" s="63" t="s">
        <v>35</v>
      </c>
      <c r="M791" s="64" t="s">
        <v>2408</v>
      </c>
      <c r="N791" s="80" t="s">
        <v>3481</v>
      </c>
      <c r="O791" s="66" t="s">
        <v>3482</v>
      </c>
      <c r="P791" s="37"/>
      <c r="Q791" s="38"/>
      <c r="R791" s="22"/>
      <c r="S791" s="38"/>
      <c r="T791" s="38"/>
      <c r="U791" s="38"/>
      <c r="V791" s="59"/>
      <c r="W791" s="38"/>
      <c r="X791" s="38"/>
      <c r="Y791" s="36" t="str">
        <f>if(E791="Active","send","renew")</f>
        <v>renew</v>
      </c>
      <c r="Z791" s="75"/>
      <c r="AA791" s="75"/>
    </row>
  </sheetData>
  <autoFilter ref="$A$1:$AA$791">
    <sortState ref="A1:AA791">
      <sortCondition descending="1" ref="C1:C791"/>
      <sortCondition ref="B1:B791"/>
      <sortCondition ref="E1:E791"/>
      <sortCondition descending="1" ref="H1:H791"/>
      <sortCondition descending="1" ref="G1:G791"/>
      <sortCondition ref="Y1:Y791"/>
      <sortCondition descending="1" ref="S1:S791"/>
      <sortCondition ref="T1:T791"/>
    </sortState>
  </autoFilter>
  <conditionalFormatting sqref="F1:F791">
    <cfRule type="containsText" dxfId="0" priority="1" operator="containsText" text="3">
      <formula>NOT(ISERROR(SEARCH(("3"),(F1))))</formula>
    </cfRule>
  </conditionalFormatting>
  <conditionalFormatting sqref="E1:E791">
    <cfRule type="containsText" dxfId="1" priority="2" operator="containsText" text="Lapsed">
      <formula>NOT(ISERROR(SEARCH(("Lapsed"),(E1))))</formula>
    </cfRule>
  </conditionalFormatting>
  <conditionalFormatting sqref="E1:E791">
    <cfRule type="containsText" dxfId="2" priority="3" operator="containsText" text="Active">
      <formula>NOT(ISERROR(SEARCH(("Active"),(E1))))</formula>
    </cfRule>
  </conditionalFormatting>
  <conditionalFormatting sqref="D1:D791">
    <cfRule type="containsText" dxfId="3" priority="4" operator="containsText" text="Youth">
      <formula>NOT(ISERROR(SEARCH(("Youth"),(D1))))</formula>
    </cfRule>
  </conditionalFormatting>
  <conditionalFormatting sqref="I1:I791">
    <cfRule type="containsText" dxfId="4" priority="5" operator="containsText" text="O">
      <formula>NOT(ISERROR(SEARCH(("O"),(I1))))</formula>
    </cfRule>
  </conditionalFormatting>
  <conditionalFormatting sqref="I1:I791">
    <cfRule type="containsText" dxfId="5" priority="6" operator="containsText" text="IP">
      <formula>NOT(ISERROR(SEARCH(("IP"),(I1))))</formula>
    </cfRule>
  </conditionalFormatting>
  <conditionalFormatting sqref="Y1:Y791">
    <cfRule type="containsText" dxfId="6" priority="7" operator="containsText" text="Sent">
      <formula>NOT(ISERROR(SEARCH(("Sent"),(Y1))))</formula>
    </cfRule>
  </conditionalFormatting>
  <conditionalFormatting sqref="Y1:Y791">
    <cfRule type="containsText" dxfId="7" priority="8" operator="containsText" text="Send">
      <formula>NOT(ISERROR(SEARCH(("Send"),(Y1))))</formula>
    </cfRule>
  </conditionalFormatting>
  <conditionalFormatting sqref="N1:N22 N24:N791">
    <cfRule type="containsBlanks" dxfId="8" priority="9">
      <formula>LEN(TRIM(N1))=0</formula>
    </cfRule>
  </conditionalFormatting>
  <conditionalFormatting sqref="B1:B791">
    <cfRule type="expression" dxfId="0" priority="10">
      <formula>isblank(N:N)</formula>
    </cfRule>
  </conditionalFormatting>
  <conditionalFormatting sqref="A1:A791">
    <cfRule type="expression" dxfId="0" priority="11">
      <formula>isblank(N:N)</formula>
    </cfRule>
  </conditionalFormatting>
  <hyperlinks>
    <hyperlink r:id="rId4" ref="N43"/>
    <hyperlink r:id="rId5" ref="N45"/>
    <hyperlink r:id="rId6" ref="N50"/>
    <hyperlink r:id="rId7" ref="L125"/>
    <hyperlink r:id="rId8" ref="N125"/>
    <hyperlink r:id="rId9" ref="L141"/>
    <hyperlink r:id="rId10" ref="N141"/>
    <hyperlink r:id="rId11" ref="L158"/>
    <hyperlink r:id="rId12" ref="N158"/>
    <hyperlink r:id="rId13" ref="L160"/>
    <hyperlink r:id="rId14" ref="N160"/>
    <hyperlink r:id="rId15" ref="N222"/>
    <hyperlink r:id="rId16" ref="N223"/>
    <hyperlink r:id="rId17" ref="L224"/>
    <hyperlink r:id="rId18" ref="N224"/>
    <hyperlink r:id="rId19" ref="N227"/>
    <hyperlink r:id="rId20" ref="N228"/>
    <hyperlink r:id="rId21" ref="N229"/>
    <hyperlink r:id="rId22" ref="N233"/>
    <hyperlink r:id="rId23" ref="N269"/>
    <hyperlink r:id="rId24" ref="N298"/>
    <hyperlink r:id="rId25" ref="N299"/>
    <hyperlink r:id="rId26" ref="L337"/>
    <hyperlink r:id="rId27" ref="N337"/>
    <hyperlink r:id="rId28" ref="N352"/>
    <hyperlink r:id="rId29" ref="N362"/>
    <hyperlink r:id="rId30" ref="N363"/>
    <hyperlink r:id="rId31" ref="N364"/>
    <hyperlink r:id="rId32" ref="N365"/>
    <hyperlink r:id="rId33" ref="N366"/>
    <hyperlink r:id="rId34" ref="N367"/>
    <hyperlink r:id="rId35" ref="N368"/>
    <hyperlink r:id="rId36" ref="N369"/>
    <hyperlink r:id="rId37" ref="N370"/>
    <hyperlink r:id="rId38" ref="N371"/>
    <hyperlink r:id="rId39" ref="N372"/>
    <hyperlink r:id="rId40" ref="N375"/>
    <hyperlink r:id="rId41" ref="N376"/>
    <hyperlink r:id="rId42" ref="N377"/>
    <hyperlink r:id="rId43" ref="N378"/>
    <hyperlink r:id="rId44" ref="N379"/>
    <hyperlink r:id="rId45" ref="N380"/>
    <hyperlink r:id="rId46" ref="L381"/>
    <hyperlink r:id="rId47" ref="N381"/>
    <hyperlink r:id="rId48" ref="L382"/>
    <hyperlink r:id="rId49" ref="N382"/>
    <hyperlink r:id="rId50" ref="L383"/>
    <hyperlink r:id="rId51" ref="L384"/>
    <hyperlink r:id="rId52" ref="N384"/>
    <hyperlink r:id="rId53" ref="L385"/>
    <hyperlink r:id="rId54" ref="N385"/>
    <hyperlink r:id="rId55" ref="L386"/>
    <hyperlink r:id="rId56" ref="N386"/>
    <hyperlink r:id="rId57" ref="L387"/>
    <hyperlink r:id="rId58" ref="N387"/>
    <hyperlink r:id="rId59" ref="L388"/>
    <hyperlink r:id="rId60" ref="N388"/>
    <hyperlink r:id="rId61" ref="L389"/>
    <hyperlink r:id="rId62" ref="N389"/>
    <hyperlink r:id="rId63" ref="L390"/>
    <hyperlink r:id="rId64" ref="N390"/>
    <hyperlink r:id="rId65" ref="L391"/>
    <hyperlink r:id="rId66" ref="N391"/>
    <hyperlink r:id="rId67" ref="L392"/>
    <hyperlink r:id="rId68" ref="N392"/>
    <hyperlink r:id="rId69" ref="L393"/>
    <hyperlink r:id="rId70" ref="N393"/>
    <hyperlink r:id="rId71" ref="L394"/>
    <hyperlink r:id="rId72" ref="N394"/>
    <hyperlink r:id="rId73" ref="L396"/>
    <hyperlink r:id="rId74" ref="N396"/>
    <hyperlink r:id="rId75" ref="L397"/>
    <hyperlink r:id="rId76" ref="N397"/>
    <hyperlink r:id="rId77" ref="L398"/>
    <hyperlink r:id="rId78" ref="N398"/>
    <hyperlink r:id="rId79" ref="L399"/>
    <hyperlink r:id="rId80" ref="N399"/>
    <hyperlink r:id="rId81" ref="L400"/>
    <hyperlink r:id="rId82" ref="N400"/>
    <hyperlink r:id="rId83" ref="L401"/>
    <hyperlink r:id="rId84" ref="N401"/>
    <hyperlink r:id="rId85" ref="L402"/>
    <hyperlink r:id="rId86" ref="N402"/>
    <hyperlink r:id="rId87" ref="L403"/>
    <hyperlink r:id="rId88" ref="N403"/>
    <hyperlink r:id="rId89" ref="L404"/>
    <hyperlink r:id="rId90" ref="L405"/>
    <hyperlink r:id="rId91" ref="N405"/>
    <hyperlink r:id="rId92" ref="L406"/>
    <hyperlink r:id="rId93" ref="N406"/>
    <hyperlink r:id="rId94" ref="L407"/>
    <hyperlink r:id="rId95" ref="N407"/>
    <hyperlink r:id="rId96" ref="L408"/>
    <hyperlink r:id="rId97" ref="N408"/>
    <hyperlink r:id="rId98" ref="L409"/>
    <hyperlink r:id="rId99" ref="N409"/>
    <hyperlink r:id="rId100" ref="L410"/>
    <hyperlink r:id="rId101" ref="N410"/>
    <hyperlink r:id="rId102" ref="L411"/>
    <hyperlink r:id="rId103" ref="L412"/>
    <hyperlink r:id="rId104" ref="N412"/>
    <hyperlink r:id="rId105" ref="L413"/>
    <hyperlink r:id="rId106" ref="N413"/>
    <hyperlink r:id="rId107" ref="L414"/>
    <hyperlink r:id="rId108" ref="N414"/>
    <hyperlink r:id="rId109" ref="L415"/>
    <hyperlink r:id="rId110" ref="N415"/>
    <hyperlink r:id="rId111" ref="L416"/>
    <hyperlink r:id="rId112" ref="N416"/>
    <hyperlink r:id="rId113" ref="L417"/>
    <hyperlink r:id="rId114" ref="N417"/>
    <hyperlink r:id="rId115" ref="L418"/>
    <hyperlink r:id="rId116" ref="N418"/>
    <hyperlink r:id="rId117" ref="L420"/>
    <hyperlink r:id="rId118" ref="N420"/>
    <hyperlink r:id="rId119" ref="L421"/>
    <hyperlink r:id="rId120" ref="N421"/>
    <hyperlink r:id="rId121" ref="L422"/>
    <hyperlink r:id="rId122" ref="N422"/>
    <hyperlink r:id="rId123" ref="L423"/>
    <hyperlink r:id="rId124" ref="N423"/>
    <hyperlink r:id="rId125" ref="L424"/>
    <hyperlink r:id="rId126" ref="N424"/>
    <hyperlink r:id="rId127" ref="L425"/>
    <hyperlink r:id="rId128" ref="N425"/>
    <hyperlink r:id="rId129" ref="L426"/>
    <hyperlink r:id="rId130" ref="N426"/>
    <hyperlink r:id="rId131" ref="L427"/>
    <hyperlink r:id="rId132" ref="N427"/>
    <hyperlink r:id="rId133" ref="L428"/>
    <hyperlink r:id="rId134" ref="N428"/>
    <hyperlink r:id="rId135" ref="L429"/>
    <hyperlink r:id="rId136" ref="N429"/>
    <hyperlink r:id="rId137" ref="L430"/>
    <hyperlink r:id="rId138" ref="N430"/>
    <hyperlink r:id="rId139" ref="L431"/>
    <hyperlink r:id="rId140" ref="N431"/>
    <hyperlink r:id="rId141" ref="L432"/>
    <hyperlink r:id="rId142" ref="N432"/>
    <hyperlink r:id="rId143" ref="L433"/>
    <hyperlink r:id="rId144" ref="N433"/>
    <hyperlink r:id="rId145" ref="L434"/>
    <hyperlink r:id="rId146" ref="N434"/>
    <hyperlink r:id="rId147" ref="L435"/>
    <hyperlink r:id="rId148" ref="N435"/>
    <hyperlink r:id="rId149" ref="L436"/>
    <hyperlink r:id="rId150" ref="N436"/>
    <hyperlink r:id="rId151" ref="L437"/>
    <hyperlink r:id="rId152" ref="N437"/>
    <hyperlink r:id="rId153" ref="L438"/>
    <hyperlink r:id="rId154" ref="N438"/>
    <hyperlink r:id="rId155" ref="L439"/>
    <hyperlink r:id="rId156" ref="N439"/>
    <hyperlink r:id="rId157" ref="L440"/>
    <hyperlink r:id="rId158" ref="N440"/>
    <hyperlink r:id="rId159" ref="L441"/>
    <hyperlink r:id="rId160" ref="N441"/>
    <hyperlink r:id="rId161" ref="L442"/>
    <hyperlink r:id="rId162" ref="N442"/>
    <hyperlink r:id="rId163" ref="L443"/>
    <hyperlink r:id="rId164" ref="N443"/>
    <hyperlink r:id="rId165" ref="L444"/>
    <hyperlink r:id="rId166" ref="N444"/>
    <hyperlink r:id="rId167" ref="L446"/>
    <hyperlink r:id="rId168" ref="N446"/>
    <hyperlink r:id="rId169" ref="L447"/>
    <hyperlink r:id="rId170" ref="N447"/>
    <hyperlink r:id="rId171" ref="L448"/>
    <hyperlink r:id="rId172" ref="N448"/>
    <hyperlink r:id="rId173" ref="L449"/>
    <hyperlink r:id="rId174" ref="N449"/>
    <hyperlink r:id="rId175" ref="L450"/>
    <hyperlink r:id="rId176" ref="N450"/>
    <hyperlink r:id="rId177" ref="L451"/>
    <hyperlink r:id="rId178" ref="N451"/>
    <hyperlink r:id="rId179" ref="L452"/>
    <hyperlink r:id="rId180" ref="N452"/>
    <hyperlink r:id="rId181" ref="L453"/>
    <hyperlink r:id="rId182" ref="N453"/>
    <hyperlink r:id="rId183" ref="L454"/>
    <hyperlink r:id="rId184" ref="N454"/>
    <hyperlink r:id="rId185" ref="L456"/>
    <hyperlink r:id="rId186" ref="N456"/>
    <hyperlink r:id="rId187" ref="L457"/>
    <hyperlink r:id="rId188" ref="N457"/>
    <hyperlink r:id="rId189" ref="L458"/>
    <hyperlink r:id="rId190" ref="N458"/>
    <hyperlink r:id="rId191" ref="L459"/>
    <hyperlink r:id="rId192" ref="N459"/>
    <hyperlink r:id="rId193" ref="L460"/>
    <hyperlink r:id="rId194" ref="N460"/>
    <hyperlink r:id="rId195" ref="L461"/>
    <hyperlink r:id="rId196" ref="N461"/>
    <hyperlink r:id="rId197" ref="L462"/>
    <hyperlink r:id="rId198" ref="N462"/>
    <hyperlink r:id="rId199" ref="L463"/>
    <hyperlink r:id="rId200" ref="N463"/>
    <hyperlink r:id="rId201" ref="L464"/>
    <hyperlink r:id="rId202" ref="N464"/>
    <hyperlink r:id="rId203" ref="L465"/>
    <hyperlink r:id="rId204" ref="N465"/>
    <hyperlink r:id="rId205" ref="L466"/>
    <hyperlink r:id="rId206" ref="N466"/>
    <hyperlink r:id="rId207" ref="L467"/>
    <hyperlink r:id="rId208" ref="N467"/>
    <hyperlink r:id="rId209" ref="L468"/>
    <hyperlink r:id="rId210" ref="N468"/>
    <hyperlink r:id="rId211" ref="L469"/>
    <hyperlink r:id="rId212" ref="N469"/>
    <hyperlink r:id="rId213" ref="L470"/>
    <hyperlink r:id="rId214" ref="N470"/>
    <hyperlink r:id="rId215" ref="L471"/>
    <hyperlink r:id="rId216" ref="N471"/>
    <hyperlink r:id="rId217" ref="L472"/>
    <hyperlink r:id="rId218" ref="N472"/>
    <hyperlink r:id="rId219" ref="L473"/>
    <hyperlink r:id="rId220" ref="N473"/>
    <hyperlink r:id="rId221" ref="L474"/>
    <hyperlink r:id="rId222" ref="N474"/>
    <hyperlink r:id="rId223" ref="L475"/>
    <hyperlink r:id="rId224" ref="N475"/>
    <hyperlink r:id="rId225" ref="L476"/>
    <hyperlink r:id="rId226" ref="N476"/>
    <hyperlink r:id="rId227" ref="L477"/>
    <hyperlink r:id="rId228" ref="N477"/>
    <hyperlink r:id="rId229" ref="L478"/>
    <hyperlink r:id="rId230" ref="L479"/>
    <hyperlink r:id="rId231" ref="N479"/>
    <hyperlink r:id="rId232" ref="L480"/>
    <hyperlink r:id="rId233" ref="N480"/>
    <hyperlink r:id="rId234" ref="L482"/>
    <hyperlink r:id="rId235" ref="N482"/>
    <hyperlink r:id="rId236" ref="L483"/>
    <hyperlink r:id="rId237" ref="N483"/>
    <hyperlink r:id="rId238" ref="L484"/>
    <hyperlink r:id="rId239" ref="N484"/>
    <hyperlink r:id="rId240" ref="L485"/>
    <hyperlink r:id="rId241" ref="N485"/>
    <hyperlink r:id="rId242" ref="L486"/>
    <hyperlink r:id="rId243" ref="N486"/>
    <hyperlink r:id="rId244" ref="L487"/>
    <hyperlink r:id="rId245" ref="N487"/>
    <hyperlink r:id="rId246" ref="L488"/>
    <hyperlink r:id="rId247" ref="L489"/>
    <hyperlink r:id="rId248" ref="N489"/>
    <hyperlink r:id="rId249" ref="L490"/>
    <hyperlink r:id="rId250" ref="N490"/>
    <hyperlink r:id="rId251" ref="L491"/>
    <hyperlink r:id="rId252" ref="N491"/>
    <hyperlink r:id="rId253" ref="L492"/>
    <hyperlink r:id="rId254" ref="N492"/>
    <hyperlink r:id="rId255" ref="L493"/>
    <hyperlink r:id="rId256" ref="N493"/>
    <hyperlink r:id="rId257" ref="L494"/>
    <hyperlink r:id="rId258" ref="N494"/>
    <hyperlink r:id="rId259" ref="L495"/>
    <hyperlink r:id="rId260" ref="N495"/>
    <hyperlink r:id="rId261" ref="L496"/>
    <hyperlink r:id="rId262" ref="N496"/>
    <hyperlink r:id="rId263" ref="L497"/>
    <hyperlink r:id="rId264" ref="N497"/>
    <hyperlink r:id="rId265" ref="L498"/>
    <hyperlink r:id="rId266" ref="N498"/>
    <hyperlink r:id="rId267" ref="L499"/>
    <hyperlink r:id="rId268" ref="N499"/>
    <hyperlink r:id="rId269" ref="L500"/>
    <hyperlink r:id="rId270" ref="N500"/>
    <hyperlink r:id="rId271" ref="L501"/>
    <hyperlink r:id="rId272" ref="N501"/>
    <hyperlink r:id="rId273" ref="L503"/>
    <hyperlink r:id="rId274" ref="N503"/>
    <hyperlink r:id="rId275" ref="L504"/>
    <hyperlink r:id="rId276" ref="N504"/>
    <hyperlink r:id="rId277" ref="L505"/>
    <hyperlink r:id="rId278" ref="N505"/>
    <hyperlink r:id="rId279" ref="L506"/>
    <hyperlink r:id="rId280" ref="N506"/>
    <hyperlink r:id="rId281" ref="L507"/>
    <hyperlink r:id="rId282" ref="N507"/>
    <hyperlink r:id="rId283" ref="L508"/>
    <hyperlink r:id="rId284" ref="N508"/>
    <hyperlink r:id="rId285" ref="L509"/>
    <hyperlink r:id="rId286" ref="N509"/>
    <hyperlink r:id="rId287" ref="L510"/>
    <hyperlink r:id="rId288" ref="N510"/>
    <hyperlink r:id="rId289" ref="L511"/>
    <hyperlink r:id="rId290" ref="N511"/>
    <hyperlink r:id="rId291" ref="L512"/>
    <hyperlink r:id="rId292" ref="N512"/>
    <hyperlink r:id="rId293" ref="L513"/>
    <hyperlink r:id="rId294" ref="N513"/>
    <hyperlink r:id="rId295" ref="L514"/>
    <hyperlink r:id="rId296" ref="N514"/>
    <hyperlink r:id="rId297" ref="L515"/>
    <hyperlink r:id="rId298" ref="N515"/>
    <hyperlink r:id="rId299" ref="L516"/>
    <hyperlink r:id="rId300" ref="N516"/>
    <hyperlink r:id="rId301" ref="L517"/>
    <hyperlink r:id="rId302" ref="N517"/>
    <hyperlink r:id="rId303" ref="L518"/>
    <hyperlink r:id="rId304" ref="N518"/>
    <hyperlink r:id="rId305" ref="L519"/>
    <hyperlink r:id="rId306" ref="N519"/>
    <hyperlink r:id="rId307" ref="L520"/>
    <hyperlink r:id="rId308" ref="N520"/>
    <hyperlink r:id="rId309" ref="L521"/>
    <hyperlink r:id="rId310" ref="N521"/>
    <hyperlink r:id="rId311" ref="L522"/>
    <hyperlink r:id="rId312" ref="N522"/>
    <hyperlink r:id="rId313" ref="L523"/>
    <hyperlink r:id="rId314" ref="N523"/>
    <hyperlink r:id="rId315" ref="L524"/>
    <hyperlink r:id="rId316" ref="N524"/>
    <hyperlink r:id="rId317" ref="L525"/>
    <hyperlink r:id="rId318" ref="N525"/>
    <hyperlink r:id="rId319" ref="L526"/>
    <hyperlink r:id="rId320" ref="N526"/>
    <hyperlink r:id="rId321" ref="L527"/>
    <hyperlink r:id="rId322" ref="N527"/>
    <hyperlink r:id="rId323" ref="L528"/>
    <hyperlink r:id="rId324" ref="N528"/>
    <hyperlink r:id="rId325" ref="L529"/>
    <hyperlink r:id="rId326" ref="L530"/>
    <hyperlink r:id="rId327" ref="N530"/>
    <hyperlink r:id="rId328" ref="L531"/>
    <hyperlink r:id="rId329" ref="N531"/>
    <hyperlink r:id="rId330" ref="L532"/>
    <hyperlink r:id="rId331" ref="N532"/>
    <hyperlink r:id="rId332" ref="L533"/>
    <hyperlink r:id="rId333" ref="N533"/>
    <hyperlink r:id="rId334" ref="L534"/>
    <hyperlink r:id="rId335" ref="N534"/>
    <hyperlink r:id="rId336" ref="L536"/>
    <hyperlink r:id="rId337" ref="N536"/>
    <hyperlink r:id="rId338" ref="L537"/>
    <hyperlink r:id="rId339" ref="L538"/>
    <hyperlink r:id="rId340" ref="N538"/>
    <hyperlink r:id="rId341" ref="L539"/>
    <hyperlink r:id="rId342" ref="L540"/>
    <hyperlink r:id="rId343" ref="N540"/>
    <hyperlink r:id="rId344" ref="L541"/>
    <hyperlink r:id="rId345" ref="N541"/>
    <hyperlink r:id="rId346" ref="L542"/>
    <hyperlink r:id="rId347" ref="N542"/>
    <hyperlink r:id="rId348" ref="L543"/>
    <hyperlink r:id="rId349" ref="N543"/>
    <hyperlink r:id="rId350" ref="L544"/>
    <hyperlink r:id="rId351" ref="N544"/>
    <hyperlink r:id="rId352" ref="L545"/>
    <hyperlink r:id="rId353" ref="N545"/>
    <hyperlink r:id="rId354" ref="L546"/>
    <hyperlink r:id="rId355" ref="N546"/>
    <hyperlink r:id="rId356" ref="L547"/>
    <hyperlink r:id="rId357" ref="N547"/>
    <hyperlink r:id="rId358" ref="L548"/>
    <hyperlink r:id="rId359" ref="N548"/>
    <hyperlink r:id="rId360" ref="L549"/>
    <hyperlink r:id="rId361" ref="N549"/>
    <hyperlink r:id="rId362" ref="L550"/>
    <hyperlink r:id="rId363" ref="N550"/>
    <hyperlink r:id="rId364" ref="L551"/>
    <hyperlink r:id="rId365" ref="N551"/>
    <hyperlink r:id="rId366" ref="L552"/>
    <hyperlink r:id="rId367" ref="N552"/>
    <hyperlink r:id="rId368" ref="L553"/>
    <hyperlink r:id="rId369" ref="N553"/>
    <hyperlink r:id="rId370" ref="L554"/>
    <hyperlink r:id="rId371" ref="N554"/>
    <hyperlink r:id="rId372" ref="L555"/>
    <hyperlink r:id="rId373" ref="N555"/>
    <hyperlink r:id="rId374" ref="L556"/>
    <hyperlink r:id="rId375" ref="N556"/>
    <hyperlink r:id="rId376" ref="L557"/>
    <hyperlink r:id="rId377" ref="N557"/>
    <hyperlink r:id="rId378" ref="L558"/>
    <hyperlink r:id="rId379" ref="N558"/>
    <hyperlink r:id="rId380" ref="L559"/>
    <hyperlink r:id="rId381" ref="N559"/>
    <hyperlink r:id="rId382" ref="L560"/>
    <hyperlink r:id="rId383" ref="N560"/>
    <hyperlink r:id="rId384" ref="L561"/>
    <hyperlink r:id="rId385" ref="N561"/>
    <hyperlink r:id="rId386" ref="L562"/>
    <hyperlink r:id="rId387" ref="N562"/>
    <hyperlink r:id="rId388" ref="L563"/>
    <hyperlink r:id="rId389" ref="N563"/>
    <hyperlink r:id="rId390" ref="L564"/>
    <hyperlink r:id="rId391" ref="L565"/>
    <hyperlink r:id="rId392" ref="N565"/>
    <hyperlink r:id="rId393" ref="L566"/>
    <hyperlink r:id="rId394" ref="N566"/>
    <hyperlink r:id="rId395" ref="L567"/>
    <hyperlink r:id="rId396" ref="N567"/>
    <hyperlink r:id="rId397" ref="L568"/>
    <hyperlink r:id="rId398" ref="N568"/>
    <hyperlink r:id="rId399" ref="L569"/>
    <hyperlink r:id="rId400" ref="N569"/>
    <hyperlink r:id="rId401" ref="L570"/>
    <hyperlink r:id="rId402" ref="N570"/>
    <hyperlink r:id="rId403" ref="L571"/>
    <hyperlink r:id="rId404" ref="N571"/>
    <hyperlink r:id="rId405" ref="L572"/>
    <hyperlink r:id="rId406" ref="N572"/>
    <hyperlink r:id="rId407" ref="L573"/>
    <hyperlink r:id="rId408" ref="N573"/>
    <hyperlink r:id="rId409" ref="L574"/>
    <hyperlink r:id="rId410" ref="N574"/>
    <hyperlink r:id="rId411" ref="L575"/>
    <hyperlink r:id="rId412" ref="N575"/>
    <hyperlink r:id="rId413" ref="L576"/>
    <hyperlink r:id="rId414" ref="N576"/>
    <hyperlink r:id="rId415" ref="L577"/>
    <hyperlink r:id="rId416" ref="N577"/>
    <hyperlink r:id="rId417" ref="L578"/>
    <hyperlink r:id="rId418" ref="N578"/>
    <hyperlink r:id="rId419" ref="L579"/>
    <hyperlink r:id="rId420" ref="N579"/>
    <hyperlink r:id="rId421" ref="L580"/>
    <hyperlink r:id="rId422" ref="N580"/>
    <hyperlink r:id="rId423" ref="L581"/>
    <hyperlink r:id="rId424" ref="N581"/>
    <hyperlink r:id="rId425" ref="L582"/>
    <hyperlink r:id="rId426" ref="N582"/>
    <hyperlink r:id="rId427" ref="L583"/>
    <hyperlink r:id="rId428" ref="N583"/>
    <hyperlink r:id="rId429" ref="L584"/>
    <hyperlink r:id="rId430" ref="N584"/>
    <hyperlink r:id="rId431" ref="L585"/>
    <hyperlink r:id="rId432" ref="N585"/>
    <hyperlink r:id="rId433" ref="L586"/>
    <hyperlink r:id="rId434" ref="N586"/>
    <hyperlink r:id="rId435" ref="L587"/>
    <hyperlink r:id="rId436" ref="N587"/>
    <hyperlink r:id="rId437" ref="L588"/>
    <hyperlink r:id="rId438" ref="N588"/>
    <hyperlink r:id="rId439" ref="L589"/>
    <hyperlink r:id="rId440" ref="N589"/>
    <hyperlink r:id="rId441" ref="L590"/>
    <hyperlink r:id="rId442" ref="N590"/>
    <hyperlink r:id="rId443" ref="L591"/>
    <hyperlink r:id="rId444" ref="N591"/>
    <hyperlink r:id="rId445" ref="L592"/>
    <hyperlink r:id="rId446" ref="N592"/>
    <hyperlink r:id="rId447" ref="L593"/>
    <hyperlink r:id="rId448" ref="N593"/>
    <hyperlink r:id="rId449" ref="L594"/>
    <hyperlink r:id="rId450" ref="N594"/>
    <hyperlink r:id="rId451" ref="L595"/>
    <hyperlink r:id="rId452" ref="N595"/>
    <hyperlink r:id="rId453" ref="L596"/>
    <hyperlink r:id="rId454" ref="N596"/>
    <hyperlink r:id="rId455" ref="L597"/>
    <hyperlink r:id="rId456" ref="N597"/>
    <hyperlink r:id="rId457" ref="L598"/>
    <hyperlink r:id="rId458" ref="N598"/>
    <hyperlink r:id="rId459" ref="L599"/>
    <hyperlink r:id="rId460" ref="N599"/>
    <hyperlink r:id="rId461" ref="L601"/>
    <hyperlink r:id="rId462" ref="N601"/>
    <hyperlink r:id="rId463" ref="L602"/>
    <hyperlink r:id="rId464" ref="N602"/>
    <hyperlink r:id="rId465" ref="L603"/>
    <hyperlink r:id="rId466" ref="N603"/>
    <hyperlink r:id="rId467" ref="L604"/>
    <hyperlink r:id="rId468" ref="N604"/>
    <hyperlink r:id="rId469" ref="L605"/>
    <hyperlink r:id="rId470" ref="N605"/>
    <hyperlink r:id="rId471" ref="L606"/>
    <hyperlink r:id="rId472" ref="N606"/>
    <hyperlink r:id="rId473" ref="L607"/>
    <hyperlink r:id="rId474" ref="N607"/>
    <hyperlink r:id="rId475" ref="L608"/>
    <hyperlink r:id="rId476" ref="N608"/>
    <hyperlink r:id="rId477" ref="L609"/>
    <hyperlink r:id="rId478" ref="N609"/>
    <hyperlink r:id="rId479" ref="L610"/>
    <hyperlink r:id="rId480" ref="N610"/>
    <hyperlink r:id="rId481" ref="L611"/>
    <hyperlink r:id="rId482" ref="N611"/>
    <hyperlink r:id="rId483" ref="L612"/>
    <hyperlink r:id="rId484" ref="N612"/>
    <hyperlink r:id="rId485" ref="L613"/>
    <hyperlink r:id="rId486" ref="N613"/>
    <hyperlink r:id="rId487" ref="L615"/>
    <hyperlink r:id="rId488" ref="N615"/>
    <hyperlink r:id="rId489" ref="L616"/>
    <hyperlink r:id="rId490" ref="N616"/>
    <hyperlink r:id="rId491" ref="L617"/>
    <hyperlink r:id="rId492" ref="N617"/>
    <hyperlink r:id="rId493" ref="L618"/>
    <hyperlink r:id="rId494" ref="N618"/>
    <hyperlink r:id="rId495" ref="L619"/>
    <hyperlink r:id="rId496" ref="N619"/>
    <hyperlink r:id="rId497" ref="L620"/>
    <hyperlink r:id="rId498" ref="N620"/>
    <hyperlink r:id="rId499" ref="L621"/>
    <hyperlink r:id="rId500" ref="N621"/>
    <hyperlink r:id="rId501" ref="L622"/>
    <hyperlink r:id="rId502" ref="N622"/>
    <hyperlink r:id="rId503" ref="L623"/>
    <hyperlink r:id="rId504" ref="N623"/>
    <hyperlink r:id="rId505" ref="L624"/>
    <hyperlink r:id="rId506" ref="N624"/>
    <hyperlink r:id="rId507" ref="L625"/>
    <hyperlink r:id="rId508" ref="N625"/>
    <hyperlink r:id="rId509" ref="L626"/>
    <hyperlink r:id="rId510" ref="N626"/>
    <hyperlink r:id="rId511" ref="L627"/>
    <hyperlink r:id="rId512" ref="N627"/>
    <hyperlink r:id="rId513" ref="L628"/>
    <hyperlink r:id="rId514" ref="N628"/>
    <hyperlink r:id="rId515" ref="L629"/>
    <hyperlink r:id="rId516" ref="N629"/>
    <hyperlink r:id="rId517" ref="L630"/>
    <hyperlink r:id="rId518" ref="N630"/>
    <hyperlink r:id="rId519" ref="L631"/>
    <hyperlink r:id="rId520" ref="N631"/>
    <hyperlink r:id="rId521" ref="L632"/>
    <hyperlink r:id="rId522" ref="N632"/>
    <hyperlink r:id="rId523" ref="L633"/>
    <hyperlink r:id="rId524" ref="N633"/>
    <hyperlink r:id="rId525" ref="L634"/>
    <hyperlink r:id="rId526" ref="N634"/>
    <hyperlink r:id="rId527" ref="L636"/>
    <hyperlink r:id="rId528" ref="L637"/>
    <hyperlink r:id="rId529" ref="N637"/>
    <hyperlink r:id="rId530" ref="L638"/>
    <hyperlink r:id="rId531" ref="N638"/>
    <hyperlink r:id="rId532" ref="L639"/>
    <hyperlink r:id="rId533" ref="N639"/>
    <hyperlink r:id="rId534" ref="L640"/>
    <hyperlink r:id="rId535" ref="N640"/>
    <hyperlink r:id="rId536" ref="L641"/>
    <hyperlink r:id="rId537" ref="N641"/>
    <hyperlink r:id="rId538" ref="L642"/>
    <hyperlink r:id="rId539" ref="N642"/>
    <hyperlink r:id="rId540" ref="L643"/>
    <hyperlink r:id="rId541" ref="N643"/>
    <hyperlink r:id="rId542" ref="L644"/>
    <hyperlink r:id="rId543" ref="N644"/>
    <hyperlink r:id="rId544" ref="L645"/>
    <hyperlink r:id="rId545" ref="N645"/>
    <hyperlink r:id="rId546" ref="L646"/>
    <hyperlink r:id="rId547" ref="N646"/>
    <hyperlink r:id="rId548" ref="L647"/>
    <hyperlink r:id="rId549" ref="N647"/>
    <hyperlink r:id="rId550" ref="L648"/>
    <hyperlink r:id="rId551" ref="N648"/>
    <hyperlink r:id="rId552" ref="L649"/>
    <hyperlink r:id="rId553" ref="N649"/>
    <hyperlink r:id="rId554" ref="L650"/>
    <hyperlink r:id="rId555" ref="N650"/>
    <hyperlink r:id="rId556" ref="L651"/>
    <hyperlink r:id="rId557" ref="N651"/>
    <hyperlink r:id="rId558" ref="L652"/>
    <hyperlink r:id="rId559" ref="N652"/>
    <hyperlink r:id="rId560" ref="L653"/>
    <hyperlink r:id="rId561" ref="N653"/>
    <hyperlink r:id="rId562" ref="L654"/>
    <hyperlink r:id="rId563" ref="N654"/>
    <hyperlink r:id="rId564" ref="L655"/>
    <hyperlink r:id="rId565" ref="N655"/>
    <hyperlink r:id="rId566" ref="L656"/>
    <hyperlink r:id="rId567" ref="N656"/>
    <hyperlink r:id="rId568" ref="L657"/>
    <hyperlink r:id="rId569" ref="N657"/>
    <hyperlink r:id="rId570" ref="L658"/>
    <hyperlink r:id="rId571" ref="N658"/>
    <hyperlink r:id="rId572" ref="L659"/>
    <hyperlink r:id="rId573" ref="N659"/>
    <hyperlink r:id="rId574" ref="L660"/>
    <hyperlink r:id="rId575" ref="N660"/>
    <hyperlink r:id="rId576" ref="L661"/>
    <hyperlink r:id="rId577" ref="N661"/>
    <hyperlink r:id="rId578" ref="L662"/>
    <hyperlink r:id="rId579" ref="N662"/>
    <hyperlink r:id="rId580" ref="L663"/>
    <hyperlink r:id="rId581" ref="N663"/>
    <hyperlink r:id="rId582" ref="L664"/>
    <hyperlink r:id="rId583" ref="N664"/>
    <hyperlink r:id="rId584" ref="L665"/>
    <hyperlink r:id="rId585" ref="N665"/>
    <hyperlink r:id="rId586" ref="L666"/>
    <hyperlink r:id="rId587" ref="L667"/>
    <hyperlink r:id="rId588" ref="N667"/>
    <hyperlink r:id="rId589" ref="L668"/>
    <hyperlink r:id="rId590" ref="N668"/>
    <hyperlink r:id="rId591" ref="L669"/>
    <hyperlink r:id="rId592" ref="N669"/>
    <hyperlink r:id="rId593" ref="L670"/>
    <hyperlink r:id="rId594" ref="N670"/>
    <hyperlink r:id="rId595" ref="L671"/>
    <hyperlink r:id="rId596" ref="N671"/>
    <hyperlink r:id="rId597" ref="L672"/>
    <hyperlink r:id="rId598" ref="N672"/>
    <hyperlink r:id="rId599" ref="L673"/>
    <hyperlink r:id="rId600" ref="N673"/>
    <hyperlink r:id="rId601" ref="L674"/>
    <hyperlink r:id="rId602" ref="N674"/>
    <hyperlink r:id="rId603" ref="L675"/>
    <hyperlink r:id="rId604" ref="N675"/>
    <hyperlink r:id="rId605" ref="L676"/>
    <hyperlink r:id="rId606" ref="N676"/>
    <hyperlink r:id="rId607" ref="L677"/>
    <hyperlink r:id="rId608" ref="N677"/>
    <hyperlink r:id="rId609" ref="L678"/>
    <hyperlink r:id="rId610" ref="N678"/>
    <hyperlink r:id="rId611" ref="L679"/>
    <hyperlink r:id="rId612" ref="N679"/>
    <hyperlink r:id="rId613" ref="L680"/>
    <hyperlink r:id="rId614" ref="N680"/>
    <hyperlink r:id="rId615" ref="L681"/>
    <hyperlink r:id="rId616" ref="N681"/>
    <hyperlink r:id="rId617" ref="L682"/>
    <hyperlink r:id="rId618" ref="N682"/>
    <hyperlink r:id="rId619" ref="L683"/>
    <hyperlink r:id="rId620" ref="N683"/>
    <hyperlink r:id="rId621" ref="L684"/>
    <hyperlink r:id="rId622" ref="N684"/>
    <hyperlink r:id="rId623" ref="L685"/>
    <hyperlink r:id="rId624" ref="N685"/>
    <hyperlink r:id="rId625" ref="L686"/>
    <hyperlink r:id="rId626" ref="N686"/>
    <hyperlink r:id="rId627" ref="L687"/>
    <hyperlink r:id="rId628" ref="N687"/>
    <hyperlink r:id="rId629" ref="L688"/>
    <hyperlink r:id="rId630" ref="N688"/>
    <hyperlink r:id="rId631" ref="L689"/>
    <hyperlink r:id="rId632" ref="N689"/>
    <hyperlink r:id="rId633" ref="L690"/>
    <hyperlink r:id="rId634" ref="N690"/>
    <hyperlink r:id="rId635" ref="L691"/>
    <hyperlink r:id="rId636" ref="N691"/>
    <hyperlink r:id="rId637" ref="L692"/>
    <hyperlink r:id="rId638" ref="N692"/>
    <hyperlink r:id="rId639" ref="L693"/>
    <hyperlink r:id="rId640" ref="N693"/>
    <hyperlink r:id="rId641" ref="L694"/>
    <hyperlink r:id="rId642" ref="N694"/>
    <hyperlink r:id="rId643" ref="L695"/>
    <hyperlink r:id="rId644" ref="N695"/>
    <hyperlink r:id="rId645" ref="L696"/>
    <hyperlink r:id="rId646" ref="N696"/>
    <hyperlink r:id="rId647" ref="L697"/>
    <hyperlink r:id="rId648" ref="N697"/>
    <hyperlink r:id="rId649" ref="L698"/>
    <hyperlink r:id="rId650" ref="N698"/>
    <hyperlink r:id="rId651" ref="L699"/>
    <hyperlink r:id="rId652" ref="N699"/>
    <hyperlink r:id="rId653" ref="L700"/>
    <hyperlink r:id="rId654" ref="N700"/>
    <hyperlink r:id="rId655" ref="L701"/>
    <hyperlink r:id="rId656" ref="N701"/>
    <hyperlink r:id="rId657" ref="L702"/>
    <hyperlink r:id="rId658" ref="N702"/>
    <hyperlink r:id="rId659" ref="L703"/>
    <hyperlink r:id="rId660" ref="N703"/>
    <hyperlink r:id="rId661" ref="L704"/>
    <hyperlink r:id="rId662" ref="N704"/>
    <hyperlink r:id="rId663" ref="L705"/>
    <hyperlink r:id="rId664" ref="N705"/>
    <hyperlink r:id="rId665" ref="L706"/>
    <hyperlink r:id="rId666" ref="N706"/>
    <hyperlink r:id="rId667" ref="L707"/>
    <hyperlink r:id="rId668" ref="N707"/>
    <hyperlink r:id="rId669" ref="L708"/>
    <hyperlink r:id="rId670" ref="N708"/>
    <hyperlink r:id="rId671" ref="L709"/>
    <hyperlink r:id="rId672" ref="N709"/>
    <hyperlink r:id="rId673" ref="L710"/>
    <hyperlink r:id="rId674" ref="N710"/>
    <hyperlink r:id="rId675" ref="L711"/>
    <hyperlink r:id="rId676" ref="N711"/>
    <hyperlink r:id="rId677" ref="L712"/>
    <hyperlink r:id="rId678" ref="N712"/>
    <hyperlink r:id="rId679" ref="L713"/>
    <hyperlink r:id="rId680" ref="N713"/>
    <hyperlink r:id="rId681" ref="L714"/>
    <hyperlink r:id="rId682" ref="N714"/>
    <hyperlink r:id="rId683" ref="L715"/>
    <hyperlink r:id="rId684" ref="N715"/>
    <hyperlink r:id="rId685" ref="L716"/>
    <hyperlink r:id="rId686" ref="N716"/>
    <hyperlink r:id="rId687" ref="L717"/>
    <hyperlink r:id="rId688" ref="N717"/>
    <hyperlink r:id="rId689" ref="L718"/>
    <hyperlink r:id="rId690" ref="N718"/>
    <hyperlink r:id="rId691" ref="L719"/>
    <hyperlink r:id="rId692" ref="N719"/>
    <hyperlink r:id="rId693" ref="L720"/>
    <hyperlink r:id="rId694" ref="N720"/>
    <hyperlink r:id="rId695" ref="L722"/>
    <hyperlink r:id="rId696" ref="N722"/>
    <hyperlink r:id="rId697" ref="L723"/>
    <hyperlink r:id="rId698" ref="N723"/>
    <hyperlink r:id="rId699" ref="L724"/>
    <hyperlink r:id="rId700" ref="N724"/>
    <hyperlink r:id="rId701" ref="L725"/>
    <hyperlink r:id="rId702" ref="N725"/>
    <hyperlink r:id="rId703" ref="N726"/>
    <hyperlink r:id="rId704" ref="L727"/>
    <hyperlink r:id="rId705" ref="N727"/>
    <hyperlink r:id="rId706" ref="L728"/>
    <hyperlink r:id="rId707" ref="N728"/>
    <hyperlink r:id="rId708" ref="L729"/>
    <hyperlink r:id="rId709" ref="N729"/>
    <hyperlink r:id="rId710" ref="L730"/>
    <hyperlink r:id="rId711" ref="N730"/>
    <hyperlink r:id="rId712" ref="L732"/>
    <hyperlink r:id="rId713" ref="N732"/>
    <hyperlink r:id="rId714" ref="L733"/>
    <hyperlink r:id="rId715" ref="N733"/>
    <hyperlink r:id="rId716" ref="L734"/>
    <hyperlink r:id="rId717" ref="N734"/>
    <hyperlink r:id="rId718" ref="L735"/>
    <hyperlink r:id="rId719" ref="N735"/>
    <hyperlink r:id="rId720" ref="L736"/>
    <hyperlink r:id="rId721" ref="N736"/>
    <hyperlink r:id="rId722" ref="L738"/>
    <hyperlink r:id="rId723" ref="N738"/>
    <hyperlink r:id="rId724" ref="L739"/>
    <hyperlink r:id="rId725" ref="N739"/>
    <hyperlink r:id="rId726" ref="L740"/>
    <hyperlink r:id="rId727" ref="N740"/>
    <hyperlink r:id="rId728" ref="L741"/>
    <hyperlink r:id="rId729" ref="N741"/>
    <hyperlink r:id="rId730" ref="L742"/>
    <hyperlink r:id="rId731" ref="N742"/>
    <hyperlink r:id="rId732" ref="L743"/>
    <hyperlink r:id="rId733" ref="N743"/>
    <hyperlink r:id="rId734" ref="L744"/>
    <hyperlink r:id="rId735" ref="N744"/>
    <hyperlink r:id="rId736" ref="N745"/>
    <hyperlink r:id="rId737" ref="L746"/>
    <hyperlink r:id="rId738" ref="N746"/>
    <hyperlink r:id="rId739" ref="L747"/>
    <hyperlink r:id="rId740" ref="N747"/>
    <hyperlink r:id="rId741" ref="L749"/>
    <hyperlink r:id="rId742" ref="N749"/>
    <hyperlink r:id="rId743" ref="L750"/>
    <hyperlink r:id="rId744" ref="N750"/>
    <hyperlink r:id="rId745" ref="L751"/>
    <hyperlink r:id="rId746" ref="N751"/>
    <hyperlink r:id="rId747" ref="L752"/>
    <hyperlink r:id="rId748" ref="N752"/>
    <hyperlink r:id="rId749" ref="L753"/>
    <hyperlink r:id="rId750" ref="N753"/>
    <hyperlink r:id="rId751" ref="L754"/>
    <hyperlink r:id="rId752" ref="N754"/>
    <hyperlink r:id="rId753" ref="L755"/>
    <hyperlink r:id="rId754" ref="N755"/>
    <hyperlink r:id="rId755" ref="L756"/>
    <hyperlink r:id="rId756" ref="N756"/>
    <hyperlink r:id="rId757" ref="L757"/>
    <hyperlink r:id="rId758" ref="N757"/>
    <hyperlink r:id="rId759" ref="L758"/>
    <hyperlink r:id="rId760" ref="N758"/>
    <hyperlink r:id="rId761" ref="L759"/>
    <hyperlink r:id="rId762" ref="N759"/>
    <hyperlink r:id="rId763" ref="L760"/>
    <hyperlink r:id="rId764" ref="N760"/>
    <hyperlink r:id="rId765" ref="L761"/>
    <hyperlink r:id="rId766" ref="N761"/>
    <hyperlink r:id="rId767" ref="L762"/>
    <hyperlink r:id="rId768" ref="N762"/>
    <hyperlink r:id="rId769" ref="L763"/>
    <hyperlink r:id="rId770" ref="N763"/>
    <hyperlink r:id="rId771" ref="L764"/>
    <hyperlink r:id="rId772" ref="N764"/>
    <hyperlink r:id="rId773" ref="L765"/>
    <hyperlink r:id="rId774" ref="N765"/>
    <hyperlink r:id="rId775" ref="L766"/>
    <hyperlink r:id="rId776" ref="N766"/>
    <hyperlink r:id="rId777" ref="L767"/>
    <hyperlink r:id="rId778" ref="N767"/>
    <hyperlink r:id="rId779" ref="L768"/>
    <hyperlink r:id="rId780" ref="L769"/>
    <hyperlink r:id="rId781" ref="N769"/>
    <hyperlink r:id="rId782" ref="L770"/>
    <hyperlink r:id="rId783" ref="N770"/>
    <hyperlink r:id="rId784" ref="L771"/>
    <hyperlink r:id="rId785" ref="N771"/>
    <hyperlink r:id="rId786" ref="L773"/>
    <hyperlink r:id="rId787" ref="N773"/>
    <hyperlink r:id="rId788" ref="L774"/>
    <hyperlink r:id="rId789" ref="N774"/>
    <hyperlink r:id="rId790" ref="L775"/>
    <hyperlink r:id="rId791" ref="N775"/>
    <hyperlink r:id="rId792" ref="L776"/>
    <hyperlink r:id="rId793" ref="N776"/>
    <hyperlink r:id="rId794" ref="L777"/>
    <hyperlink r:id="rId795" ref="N777"/>
    <hyperlink r:id="rId796" ref="L778"/>
    <hyperlink r:id="rId797" ref="N778"/>
    <hyperlink r:id="rId798" ref="L779"/>
    <hyperlink r:id="rId799" ref="N779"/>
    <hyperlink r:id="rId800" ref="L780"/>
    <hyperlink r:id="rId801" ref="N780"/>
    <hyperlink r:id="rId802" ref="L781"/>
    <hyperlink r:id="rId803" ref="L782"/>
    <hyperlink r:id="rId804" ref="N782"/>
    <hyperlink r:id="rId805" ref="L783"/>
    <hyperlink r:id="rId806" ref="N783"/>
    <hyperlink r:id="rId807" ref="L784"/>
    <hyperlink r:id="rId808" ref="N784"/>
    <hyperlink r:id="rId809" ref="L785"/>
    <hyperlink r:id="rId810" ref="N785"/>
    <hyperlink r:id="rId811" ref="L786"/>
    <hyperlink r:id="rId812" ref="N786"/>
    <hyperlink r:id="rId813" ref="L787"/>
    <hyperlink r:id="rId814" ref="N787"/>
    <hyperlink r:id="rId815" ref="L788"/>
    <hyperlink r:id="rId816" ref="N788"/>
    <hyperlink r:id="rId817" ref="L789"/>
    <hyperlink r:id="rId818" ref="N789"/>
    <hyperlink r:id="rId819" ref="L790"/>
    <hyperlink r:id="rId820" ref="N790"/>
    <hyperlink r:id="rId821" ref="L791"/>
    <hyperlink r:id="rId822" ref="N791"/>
  </hyperlinks>
  <printOptions gridLines="1" horizontalCentered="1"/>
  <pageMargins bottom="0.5" footer="0.0" header="0.0" left="0.25" right="0.25" top="0.5"/>
  <pageSetup fitToHeight="0" orientation="landscape" pageOrder="overThenDown"/>
  <drawing r:id="rId823"/>
  <legacyDrawing r:id="rId82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5" t="s">
        <v>2175</v>
      </c>
      <c r="B1" s="175" t="s">
        <v>3483</v>
      </c>
      <c r="C1" s="176"/>
      <c r="D1" s="175" t="s">
        <v>3484</v>
      </c>
      <c r="E1" s="177"/>
      <c r="F1" s="178"/>
      <c r="G1" s="179" t="s">
        <v>3485</v>
      </c>
      <c r="H1" s="180"/>
      <c r="I1" s="75"/>
      <c r="J1" s="62" t="s">
        <v>3486</v>
      </c>
      <c r="K1" s="62"/>
      <c r="L1" s="81"/>
      <c r="M1" s="64"/>
      <c r="N1" s="181" t="s">
        <v>3487</v>
      </c>
      <c r="O1" s="66" t="s">
        <v>3488</v>
      </c>
      <c r="P1" s="182"/>
      <c r="Q1" s="38"/>
      <c r="R1" s="22"/>
      <c r="S1" s="22" t="s">
        <v>3489</v>
      </c>
      <c r="T1" s="38"/>
      <c r="U1" s="38"/>
      <c r="V1" s="159" t="s">
        <v>3485</v>
      </c>
      <c r="W1" s="38"/>
      <c r="X1" s="22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</row>
    <row r="2">
      <c r="A2" s="175" t="s">
        <v>1240</v>
      </c>
      <c r="B2" s="175" t="s">
        <v>2657</v>
      </c>
      <c r="C2" s="183" t="s">
        <v>3490</v>
      </c>
      <c r="D2" s="175" t="s">
        <v>3484</v>
      </c>
      <c r="E2" s="184" t="s">
        <v>3491</v>
      </c>
      <c r="F2" s="178"/>
      <c r="G2" s="179" t="s">
        <v>3485</v>
      </c>
      <c r="H2" s="185" t="s">
        <v>3485</v>
      </c>
      <c r="I2" s="75"/>
      <c r="J2" s="62" t="s">
        <v>3492</v>
      </c>
      <c r="K2" s="62"/>
      <c r="L2" s="81"/>
      <c r="M2" s="64"/>
      <c r="N2" s="181" t="s">
        <v>3493</v>
      </c>
      <c r="O2" s="66" t="s">
        <v>3494</v>
      </c>
      <c r="P2" s="182"/>
      <c r="Q2" s="38"/>
      <c r="R2" s="22"/>
      <c r="S2" s="22" t="s">
        <v>3489</v>
      </c>
      <c r="T2" s="38"/>
      <c r="U2" s="38"/>
      <c r="V2" s="159" t="s">
        <v>3485</v>
      </c>
      <c r="W2" s="22" t="s">
        <v>800</v>
      </c>
      <c r="X2" s="22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</row>
    <row r="3">
      <c r="A3" s="175" t="s">
        <v>1315</v>
      </c>
      <c r="B3" s="175" t="s">
        <v>3495</v>
      </c>
      <c r="C3" s="176"/>
      <c r="D3" s="175" t="s">
        <v>3496</v>
      </c>
      <c r="E3" s="177"/>
      <c r="F3" s="178"/>
      <c r="G3" s="179" t="s">
        <v>3485</v>
      </c>
      <c r="H3" s="180"/>
      <c r="I3" s="75"/>
      <c r="J3" s="62"/>
      <c r="K3" s="62"/>
      <c r="L3" s="81"/>
      <c r="M3" s="64"/>
      <c r="N3" s="181" t="s">
        <v>3497</v>
      </c>
      <c r="O3" s="66" t="s">
        <v>3498</v>
      </c>
      <c r="P3" s="182"/>
      <c r="Q3" s="38"/>
      <c r="R3" s="22"/>
      <c r="S3" s="22" t="s">
        <v>3489</v>
      </c>
      <c r="T3" s="38"/>
      <c r="U3" s="38"/>
      <c r="V3" s="159" t="s">
        <v>3485</v>
      </c>
      <c r="W3" s="38"/>
      <c r="X3" s="22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</row>
    <row r="4">
      <c r="A4" s="175" t="s">
        <v>3346</v>
      </c>
      <c r="B4" s="175" t="s">
        <v>3347</v>
      </c>
      <c r="C4" s="183" t="s">
        <v>3490</v>
      </c>
      <c r="D4" s="175" t="s">
        <v>3484</v>
      </c>
      <c r="E4" s="177" t="str">
        <f>IF(H4&gt;TODAY(), "Active","Lapsed")</f>
        <v>Active</v>
      </c>
      <c r="F4" s="178"/>
      <c r="G4" s="179" t="s">
        <v>3485</v>
      </c>
      <c r="H4" s="185" t="s">
        <v>3485</v>
      </c>
      <c r="I4" s="27"/>
      <c r="J4" s="29" t="s">
        <v>3499</v>
      </c>
      <c r="K4" s="62"/>
      <c r="L4" s="81"/>
      <c r="M4" s="64"/>
      <c r="N4" s="181" t="s">
        <v>3351</v>
      </c>
      <c r="O4" s="66" t="s">
        <v>3352</v>
      </c>
      <c r="P4" s="182"/>
      <c r="Q4" s="38"/>
      <c r="R4" s="22"/>
      <c r="S4" s="22" t="s">
        <v>3489</v>
      </c>
      <c r="T4" s="38"/>
      <c r="U4" s="38"/>
      <c r="V4" s="159" t="s">
        <v>3485</v>
      </c>
      <c r="W4" s="22" t="s">
        <v>800</v>
      </c>
      <c r="X4" s="22"/>
      <c r="Y4" s="38"/>
      <c r="Z4" s="38" t="str">
        <f>if(Q4&lt;18,"General","Youth")</f>
        <v>General</v>
      </c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</row>
    <row r="5">
      <c r="A5" s="175" t="s">
        <v>3500</v>
      </c>
      <c r="B5" s="175" t="s">
        <v>3501</v>
      </c>
      <c r="C5" s="176"/>
      <c r="D5" s="175" t="s">
        <v>3484</v>
      </c>
      <c r="E5" s="177"/>
      <c r="F5" s="178"/>
      <c r="G5" s="179" t="s">
        <v>3485</v>
      </c>
      <c r="H5" s="180"/>
      <c r="I5" s="75"/>
      <c r="J5" s="62" t="s">
        <v>3502</v>
      </c>
      <c r="K5" s="62"/>
      <c r="L5" s="81"/>
      <c r="M5" s="64"/>
      <c r="N5" s="181" t="s">
        <v>3503</v>
      </c>
      <c r="O5" s="66" t="s">
        <v>3504</v>
      </c>
      <c r="P5" s="182"/>
      <c r="Q5" s="38"/>
      <c r="R5" s="22"/>
      <c r="S5" s="22" t="s">
        <v>3489</v>
      </c>
      <c r="T5" s="38"/>
      <c r="U5" s="38"/>
      <c r="V5" s="159" t="s">
        <v>3485</v>
      </c>
      <c r="W5" s="38"/>
      <c r="X5" s="22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</row>
    <row r="6">
      <c r="A6" s="175" t="s">
        <v>3505</v>
      </c>
      <c r="B6" s="175" t="s">
        <v>3030</v>
      </c>
      <c r="C6" s="183" t="s">
        <v>3490</v>
      </c>
      <c r="D6" s="175" t="s">
        <v>3484</v>
      </c>
      <c r="E6" s="177" t="str">
        <f>IF(H6&gt;TODAY(), "Active","Lapsed")</f>
        <v>Active</v>
      </c>
      <c r="F6" s="178"/>
      <c r="G6" s="179" t="s">
        <v>3485</v>
      </c>
      <c r="H6" s="185" t="s">
        <v>3485</v>
      </c>
      <c r="I6" s="21"/>
      <c r="J6" s="29" t="s">
        <v>3506</v>
      </c>
      <c r="K6" s="62"/>
      <c r="L6" s="81"/>
      <c r="M6" s="64"/>
      <c r="N6" s="181" t="s">
        <v>3507</v>
      </c>
      <c r="O6" s="66" t="s">
        <v>3508</v>
      </c>
      <c r="P6" s="182"/>
      <c r="Q6" s="22"/>
      <c r="R6" s="85"/>
      <c r="S6" s="22" t="s">
        <v>3489</v>
      </c>
      <c r="T6" s="38"/>
      <c r="U6" s="38"/>
      <c r="V6" s="159" t="s">
        <v>3485</v>
      </c>
      <c r="W6" s="22" t="s">
        <v>800</v>
      </c>
      <c r="X6" s="22"/>
      <c r="Y6" s="38"/>
      <c r="Z6" s="38" t="str">
        <f>if(Q6&lt;18,"General","Youth")</f>
        <v>General</v>
      </c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</row>
    <row r="7">
      <c r="A7" s="186" t="s">
        <v>3193</v>
      </c>
      <c r="B7" s="186" t="s">
        <v>3194</v>
      </c>
      <c r="C7" s="187"/>
      <c r="D7" s="186" t="s">
        <v>3509</v>
      </c>
      <c r="E7" s="177"/>
      <c r="F7" s="178"/>
      <c r="G7" s="179" t="s">
        <v>3485</v>
      </c>
      <c r="H7" s="180"/>
      <c r="I7" s="142"/>
      <c r="J7" s="149"/>
      <c r="K7" s="149"/>
      <c r="L7" s="142"/>
      <c r="M7" s="188"/>
      <c r="N7" s="189" t="s">
        <v>3510</v>
      </c>
      <c r="O7" s="190" t="s">
        <v>3511</v>
      </c>
      <c r="P7" s="182"/>
      <c r="Q7" s="38"/>
      <c r="R7" s="22"/>
      <c r="S7" s="22" t="s">
        <v>3489</v>
      </c>
      <c r="T7" s="38"/>
      <c r="U7" s="38"/>
      <c r="V7" s="159" t="s">
        <v>3485</v>
      </c>
      <c r="W7" s="38"/>
      <c r="X7" s="22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</row>
    <row r="8">
      <c r="A8" s="191" t="s">
        <v>3512</v>
      </c>
    </row>
  </sheetData>
  <conditionalFormatting sqref="I7:I8">
    <cfRule type="containsText" dxfId="5" priority="1" operator="containsText" text="IP">
      <formula>NOT(ISERROR(SEARCH(("IP"),(I7))))</formula>
    </cfRule>
  </conditionalFormatting>
  <conditionalFormatting sqref="I7:I8">
    <cfRule type="containsText" dxfId="4" priority="2" operator="containsText" text="O">
      <formula>NOT(ISERROR(SEARCH(("O"),(I7))))</formula>
    </cfRule>
  </conditionalFormatting>
  <conditionalFormatting sqref="S7:S8">
    <cfRule type="expression" dxfId="9" priority="3">
      <formula>#REF!&lt;today() </formula>
    </cfRule>
  </conditionalFormatting>
  <conditionalFormatting sqref="S7:S8">
    <cfRule type="expression" dxfId="10" priority="4">
      <formula>#REF!&gt;today() </formula>
    </cfRule>
  </conditionalFormatting>
  <conditionalFormatting sqref="E7:E8">
    <cfRule type="containsText" dxfId="2" priority="5" operator="containsText" text="Active">
      <formula>NOT(ISERROR(SEARCH(("Active"),(E7))))</formula>
    </cfRule>
  </conditionalFormatting>
  <conditionalFormatting sqref="E7:E8">
    <cfRule type="containsText" dxfId="1" priority="6" operator="containsText" text="Lapsed">
      <formula>NOT(ISERROR(SEARCH(("Lapsed"),(E7))))</formula>
    </cfRule>
  </conditionalFormatting>
  <conditionalFormatting sqref="D7:D8">
    <cfRule type="containsText" dxfId="3" priority="7" operator="containsText" text="Youth">
      <formula>NOT(ISERROR(SEARCH(("Youth"),(D7))))</formula>
    </cfRule>
  </conditionalFormatting>
  <conditionalFormatting sqref="F6">
    <cfRule type="containsText" dxfId="0" priority="8" operator="containsText" text="3">
      <formula>NOT(ISERROR(SEARCH(("3"),(F6))))</formula>
    </cfRule>
  </conditionalFormatting>
  <conditionalFormatting sqref="I6">
    <cfRule type="containsText" dxfId="5" priority="9" operator="containsText" text="IP">
      <formula>NOT(ISERROR(SEARCH(("IP"),(I6))))</formula>
    </cfRule>
  </conditionalFormatting>
  <conditionalFormatting sqref="I6">
    <cfRule type="containsText" dxfId="4" priority="10" operator="containsText" text="O">
      <formula>NOT(ISERROR(SEARCH(("O"),(I6))))</formula>
    </cfRule>
  </conditionalFormatting>
  <conditionalFormatting sqref="E6">
    <cfRule type="containsText" dxfId="2" priority="11" operator="containsText" text="Active">
      <formula>NOT(ISERROR(SEARCH(("Active"),(E6))))</formula>
    </cfRule>
  </conditionalFormatting>
  <conditionalFormatting sqref="E6">
    <cfRule type="containsText" dxfId="1" priority="12" operator="containsText" text="Lapsed">
      <formula>NOT(ISERROR(SEARCH(("Lapsed"),(E6))))</formula>
    </cfRule>
  </conditionalFormatting>
  <conditionalFormatting sqref="S6">
    <cfRule type="expression" dxfId="9" priority="13">
      <formula>#REF!&lt;today() </formula>
    </cfRule>
  </conditionalFormatting>
  <conditionalFormatting sqref="S6">
    <cfRule type="expression" dxfId="10" priority="14">
      <formula>#REF!&gt;today() </formula>
    </cfRule>
  </conditionalFormatting>
  <conditionalFormatting sqref="D6">
    <cfRule type="containsText" dxfId="3" priority="15" operator="containsText" text="Youth">
      <formula>NOT(ISERROR(SEARCH(("Youth"),(D6))))</formula>
    </cfRule>
  </conditionalFormatting>
  <conditionalFormatting sqref="S2:S5">
    <cfRule type="expression" dxfId="9" priority="16">
      <formula>#REF!&lt;today() </formula>
    </cfRule>
  </conditionalFormatting>
  <conditionalFormatting sqref="S2:S5">
    <cfRule type="expression" dxfId="10" priority="17">
      <formula>#REF!&gt;today() </formula>
    </cfRule>
  </conditionalFormatting>
  <conditionalFormatting sqref="I2:I5">
    <cfRule type="containsText" dxfId="5" priority="18" operator="containsText" text="IP">
      <formula>NOT(ISERROR(SEARCH(("IP"),(I2))))</formula>
    </cfRule>
  </conditionalFormatting>
  <conditionalFormatting sqref="I2:I5">
    <cfRule type="containsText" dxfId="4" priority="19" operator="containsText" text="O">
      <formula>NOT(ISERROR(SEARCH(("O"),(I2))))</formula>
    </cfRule>
  </conditionalFormatting>
  <conditionalFormatting sqref="D2:D5">
    <cfRule type="containsText" dxfId="3" priority="20" operator="containsText" text="Youth">
      <formula>NOT(ISERROR(SEARCH(("Youth"),(D2))))</formula>
    </cfRule>
  </conditionalFormatting>
  <conditionalFormatting sqref="E2:E5">
    <cfRule type="containsText" dxfId="2" priority="21" operator="containsText" text="Active">
      <formula>NOT(ISERROR(SEARCH(("Active"),(E2))))</formula>
    </cfRule>
  </conditionalFormatting>
  <conditionalFormatting sqref="E2:E5">
    <cfRule type="containsText" dxfId="1" priority="22" operator="containsText" text="Lapsed">
      <formula>NOT(ISERROR(SEARCH(("Lapsed"),(E2))))</formula>
    </cfRule>
  </conditionalFormatting>
  <conditionalFormatting sqref="B1:B1000">
    <cfRule type="notContainsBlanks" dxfId="10" priority="23">
      <formula>LEN(TRIM(B1))&gt;0</formula>
    </cfRule>
  </conditionalFormatting>
  <hyperlinks>
    <hyperlink r:id="rId1" ref="N1"/>
    <hyperlink r:id="rId2" ref="N2"/>
    <hyperlink r:id="rId3" ref="N3"/>
    <hyperlink r:id="rId4" ref="N4"/>
    <hyperlink r:id="rId5" ref="N5"/>
    <hyperlink r:id="rId6" ref="N6"/>
    <hyperlink r:id="rId7" ref="N7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4.75"/>
    <col customWidth="1" min="3" max="3" width="10.0"/>
    <col customWidth="1" min="4" max="4" width="10.63"/>
    <col customWidth="1" min="5" max="5" width="10.13"/>
    <col customWidth="1" min="6" max="6" width="7.13"/>
    <col customWidth="1" min="7" max="8" width="12.25"/>
  </cols>
  <sheetData>
    <row r="1">
      <c r="A1" s="192" t="s">
        <v>3513</v>
      </c>
      <c r="B1" s="193" t="s">
        <v>1</v>
      </c>
      <c r="C1" s="193" t="s">
        <v>2</v>
      </c>
      <c r="D1" s="193" t="s">
        <v>3</v>
      </c>
      <c r="E1" s="194" t="s">
        <v>4</v>
      </c>
      <c r="F1" s="195" t="s">
        <v>3514</v>
      </c>
      <c r="G1" s="196" t="s">
        <v>6</v>
      </c>
      <c r="H1" s="197" t="s">
        <v>3515</v>
      </c>
    </row>
    <row r="2">
      <c r="A2" s="175" t="s">
        <v>1240</v>
      </c>
      <c r="B2" s="175" t="s">
        <v>2657</v>
      </c>
      <c r="C2" s="183" t="s">
        <v>3490</v>
      </c>
      <c r="D2" s="175" t="s">
        <v>3484</v>
      </c>
      <c r="E2" s="184" t="s">
        <v>3491</v>
      </c>
      <c r="F2" s="178"/>
      <c r="G2" s="179" t="s">
        <v>3485</v>
      </c>
      <c r="H2" s="185" t="s">
        <v>3485</v>
      </c>
    </row>
    <row r="3">
      <c r="A3" s="175" t="s">
        <v>3346</v>
      </c>
      <c r="B3" s="175" t="s">
        <v>3347</v>
      </c>
      <c r="C3" s="183" t="s">
        <v>3490</v>
      </c>
      <c r="D3" s="175" t="s">
        <v>3484</v>
      </c>
      <c r="E3" s="177" t="str">
        <f t="shared" ref="E3:E110" si="1">IF(H3&gt;TODAY(), "Active","Lapsed")</f>
        <v>Active</v>
      </c>
      <c r="F3" s="178"/>
      <c r="G3" s="179" t="s">
        <v>3485</v>
      </c>
      <c r="H3" s="185" t="s">
        <v>3485</v>
      </c>
    </row>
    <row r="4">
      <c r="A4" s="175" t="s">
        <v>3030</v>
      </c>
      <c r="B4" s="175" t="s">
        <v>3516</v>
      </c>
      <c r="C4" s="183" t="s">
        <v>3490</v>
      </c>
      <c r="D4" s="175" t="s">
        <v>3484</v>
      </c>
      <c r="E4" s="177" t="str">
        <f t="shared" si="1"/>
        <v>Active</v>
      </c>
      <c r="F4" s="178"/>
      <c r="G4" s="179" t="s">
        <v>3485</v>
      </c>
      <c r="H4" s="185" t="s">
        <v>3485</v>
      </c>
    </row>
    <row r="5">
      <c r="A5" s="175" t="s">
        <v>3505</v>
      </c>
      <c r="B5" s="175" t="s">
        <v>3030</v>
      </c>
      <c r="C5" s="183" t="s">
        <v>3490</v>
      </c>
      <c r="D5" s="175" t="s">
        <v>3484</v>
      </c>
      <c r="E5" s="177" t="str">
        <f t="shared" si="1"/>
        <v>Active</v>
      </c>
      <c r="F5" s="178"/>
      <c r="G5" s="179" t="s">
        <v>3485</v>
      </c>
      <c r="H5" s="185" t="s">
        <v>3485</v>
      </c>
    </row>
    <row r="6">
      <c r="A6" s="198"/>
      <c r="B6" s="198"/>
      <c r="C6" s="183">
        <v>1188.0</v>
      </c>
      <c r="D6" s="199" t="s">
        <v>3517</v>
      </c>
      <c r="E6" s="177" t="str">
        <f t="shared" si="1"/>
        <v>Lapsed</v>
      </c>
      <c r="F6" s="24">
        <v>1.0</v>
      </c>
      <c r="G6" s="200">
        <v>45426.0</v>
      </c>
      <c r="H6" s="180">
        <f t="shared" ref="H6:H362" si="2">G6+ 365-(G6-date(year(G6)+F6-1,1,1)+1)</f>
        <v>45656</v>
      </c>
    </row>
    <row r="7">
      <c r="A7" s="198"/>
      <c r="B7" s="198"/>
      <c r="C7" s="183">
        <v>1187.0</v>
      </c>
      <c r="D7" s="199" t="s">
        <v>3517</v>
      </c>
      <c r="E7" s="177" t="str">
        <f t="shared" si="1"/>
        <v>Lapsed</v>
      </c>
      <c r="F7" s="24">
        <v>1.0</v>
      </c>
      <c r="G7" s="200">
        <v>45427.0</v>
      </c>
      <c r="H7" s="180">
        <f t="shared" si="2"/>
        <v>45656</v>
      </c>
    </row>
    <row r="8">
      <c r="A8" s="198"/>
      <c r="B8" s="198"/>
      <c r="C8" s="183">
        <v>1186.0</v>
      </c>
      <c r="D8" s="199" t="s">
        <v>3517</v>
      </c>
      <c r="E8" s="177" t="str">
        <f t="shared" si="1"/>
        <v>Lapsed</v>
      </c>
      <c r="F8" s="24">
        <v>1.0</v>
      </c>
      <c r="G8" s="200">
        <v>45428.0</v>
      </c>
      <c r="H8" s="180">
        <f t="shared" si="2"/>
        <v>45656</v>
      </c>
    </row>
    <row r="9">
      <c r="A9" s="198"/>
      <c r="B9" s="198"/>
      <c r="C9" s="183">
        <v>1185.0</v>
      </c>
      <c r="D9" s="199" t="s">
        <v>3517</v>
      </c>
      <c r="E9" s="177" t="str">
        <f t="shared" si="1"/>
        <v>Lapsed</v>
      </c>
      <c r="F9" s="24">
        <v>1.0</v>
      </c>
      <c r="G9" s="200">
        <v>45429.0</v>
      </c>
      <c r="H9" s="180">
        <f t="shared" si="2"/>
        <v>45656</v>
      </c>
    </row>
    <row r="10">
      <c r="A10" s="198"/>
      <c r="B10" s="198"/>
      <c r="C10" s="183">
        <v>1184.0</v>
      </c>
      <c r="D10" s="199" t="s">
        <v>3517</v>
      </c>
      <c r="E10" s="177" t="str">
        <f t="shared" si="1"/>
        <v>Lapsed</v>
      </c>
      <c r="F10" s="24">
        <v>1.0</v>
      </c>
      <c r="G10" s="200">
        <v>45430.0</v>
      </c>
      <c r="H10" s="180">
        <f t="shared" si="2"/>
        <v>45656</v>
      </c>
    </row>
    <row r="11">
      <c r="A11" s="198"/>
      <c r="B11" s="198"/>
      <c r="C11" s="183">
        <v>1183.0</v>
      </c>
      <c r="D11" s="199" t="s">
        <v>3517</v>
      </c>
      <c r="E11" s="177" t="str">
        <f t="shared" si="1"/>
        <v>Lapsed</v>
      </c>
      <c r="F11" s="24">
        <v>1.0</v>
      </c>
      <c r="G11" s="200">
        <v>45431.0</v>
      </c>
      <c r="H11" s="180">
        <f t="shared" si="2"/>
        <v>45656</v>
      </c>
    </row>
    <row r="12">
      <c r="A12" s="198"/>
      <c r="B12" s="198"/>
      <c r="C12" s="183">
        <v>1182.0</v>
      </c>
      <c r="D12" s="199" t="s">
        <v>3517</v>
      </c>
      <c r="E12" s="177" t="str">
        <f t="shared" si="1"/>
        <v>Lapsed</v>
      </c>
      <c r="F12" s="24">
        <v>1.0</v>
      </c>
      <c r="G12" s="200">
        <v>45432.0</v>
      </c>
      <c r="H12" s="180">
        <f t="shared" si="2"/>
        <v>45656</v>
      </c>
    </row>
    <row r="13">
      <c r="A13" s="198" t="s">
        <v>933</v>
      </c>
      <c r="B13" s="198" t="s">
        <v>934</v>
      </c>
      <c r="C13" s="183">
        <v>1181.0</v>
      </c>
      <c r="D13" s="199" t="s">
        <v>3517</v>
      </c>
      <c r="E13" s="177" t="str">
        <f t="shared" si="1"/>
        <v>Lapsed</v>
      </c>
      <c r="F13" s="24">
        <v>1.0</v>
      </c>
      <c r="G13" s="200">
        <v>45433.0</v>
      </c>
      <c r="H13" s="180">
        <f t="shared" si="2"/>
        <v>45656</v>
      </c>
    </row>
    <row r="14">
      <c r="A14" s="198" t="s">
        <v>936</v>
      </c>
      <c r="B14" s="198" t="s">
        <v>937</v>
      </c>
      <c r="C14" s="183">
        <v>1180.0</v>
      </c>
      <c r="D14" s="199" t="s">
        <v>3517</v>
      </c>
      <c r="E14" s="177" t="str">
        <f t="shared" si="1"/>
        <v>Lapsed</v>
      </c>
      <c r="F14" s="24">
        <v>1.0</v>
      </c>
      <c r="G14" s="200">
        <v>45434.0</v>
      </c>
      <c r="H14" s="180">
        <f t="shared" si="2"/>
        <v>45656</v>
      </c>
    </row>
    <row r="15">
      <c r="A15" s="198" t="s">
        <v>943</v>
      </c>
      <c r="B15" s="198" t="s">
        <v>473</v>
      </c>
      <c r="C15" s="183">
        <v>1179.0</v>
      </c>
      <c r="D15" s="199" t="s">
        <v>3517</v>
      </c>
      <c r="E15" s="177" t="str">
        <f t="shared" si="1"/>
        <v>Lapsed</v>
      </c>
      <c r="F15" s="24">
        <v>1.0</v>
      </c>
      <c r="G15" s="200">
        <v>45435.0</v>
      </c>
      <c r="H15" s="180">
        <f t="shared" si="2"/>
        <v>45656</v>
      </c>
    </row>
    <row r="16">
      <c r="A16" s="198" t="s">
        <v>948</v>
      </c>
      <c r="B16" s="198" t="s">
        <v>949</v>
      </c>
      <c r="C16" s="183">
        <v>1178.0</v>
      </c>
      <c r="D16" s="199" t="s">
        <v>3518</v>
      </c>
      <c r="E16" s="177" t="str">
        <f t="shared" si="1"/>
        <v>Lapsed</v>
      </c>
      <c r="F16" s="24">
        <v>1.0</v>
      </c>
      <c r="G16" s="200">
        <v>45436.0</v>
      </c>
      <c r="H16" s="180">
        <f t="shared" si="2"/>
        <v>45656</v>
      </c>
    </row>
    <row r="17">
      <c r="A17" s="198" t="s">
        <v>776</v>
      </c>
      <c r="B17" s="198" t="s">
        <v>955</v>
      </c>
      <c r="C17" s="183">
        <v>1177.0</v>
      </c>
      <c r="D17" s="199" t="s">
        <v>3519</v>
      </c>
      <c r="E17" s="177" t="str">
        <f t="shared" si="1"/>
        <v>Lapsed</v>
      </c>
      <c r="F17" s="24">
        <v>1.0</v>
      </c>
      <c r="G17" s="200">
        <v>45437.0</v>
      </c>
      <c r="H17" s="180">
        <f t="shared" si="2"/>
        <v>45656</v>
      </c>
    </row>
    <row r="18">
      <c r="A18" s="198" t="s">
        <v>959</v>
      </c>
      <c r="B18" s="198" t="s">
        <v>955</v>
      </c>
      <c r="C18" s="183">
        <v>1176.0</v>
      </c>
      <c r="D18" s="199" t="s">
        <v>3517</v>
      </c>
      <c r="E18" s="177" t="str">
        <f t="shared" si="1"/>
        <v>Lapsed</v>
      </c>
      <c r="F18" s="24">
        <v>1.0</v>
      </c>
      <c r="G18" s="200">
        <v>45438.0</v>
      </c>
      <c r="H18" s="180">
        <f t="shared" si="2"/>
        <v>45656</v>
      </c>
    </row>
    <row r="19">
      <c r="A19" s="198" t="s">
        <v>960</v>
      </c>
      <c r="B19" s="198" t="s">
        <v>961</v>
      </c>
      <c r="C19" s="183">
        <v>1175.0</v>
      </c>
      <c r="D19" s="199" t="s">
        <v>3517</v>
      </c>
      <c r="E19" s="177" t="str">
        <f t="shared" si="1"/>
        <v>Lapsed</v>
      </c>
      <c r="F19" s="24">
        <v>1.0</v>
      </c>
      <c r="G19" s="200">
        <v>45439.0</v>
      </c>
      <c r="H19" s="180">
        <f t="shared" si="2"/>
        <v>45656</v>
      </c>
    </row>
    <row r="20">
      <c r="A20" s="198" t="s">
        <v>965</v>
      </c>
      <c r="B20" s="198" t="s">
        <v>966</v>
      </c>
      <c r="C20" s="183">
        <v>1174.0</v>
      </c>
      <c r="D20" s="199" t="s">
        <v>3517</v>
      </c>
      <c r="E20" s="177" t="str">
        <f t="shared" si="1"/>
        <v>Lapsed</v>
      </c>
      <c r="F20" s="24">
        <v>1.0</v>
      </c>
      <c r="G20" s="200">
        <v>45440.0</v>
      </c>
      <c r="H20" s="180">
        <f t="shared" si="2"/>
        <v>45656</v>
      </c>
    </row>
    <row r="21">
      <c r="A21" s="198" t="s">
        <v>972</v>
      </c>
      <c r="B21" s="198" t="s">
        <v>973</v>
      </c>
      <c r="C21" s="183">
        <v>1173.0</v>
      </c>
      <c r="D21" s="199" t="s">
        <v>3519</v>
      </c>
      <c r="E21" s="177" t="str">
        <f t="shared" si="1"/>
        <v>Lapsed</v>
      </c>
      <c r="F21" s="24">
        <v>1.0</v>
      </c>
      <c r="G21" s="200">
        <v>45441.0</v>
      </c>
      <c r="H21" s="180">
        <f t="shared" si="2"/>
        <v>45656</v>
      </c>
    </row>
    <row r="22">
      <c r="A22" s="198" t="s">
        <v>977</v>
      </c>
      <c r="B22" s="198" t="s">
        <v>978</v>
      </c>
      <c r="C22" s="183">
        <v>1172.0</v>
      </c>
      <c r="D22" s="199" t="s">
        <v>3517</v>
      </c>
      <c r="E22" s="177" t="str">
        <f t="shared" si="1"/>
        <v>Lapsed</v>
      </c>
      <c r="F22" s="24">
        <v>1.0</v>
      </c>
      <c r="G22" s="200">
        <v>45442.0</v>
      </c>
      <c r="H22" s="180">
        <f t="shared" si="2"/>
        <v>45656</v>
      </c>
    </row>
    <row r="23">
      <c r="A23" s="198" t="s">
        <v>984</v>
      </c>
      <c r="B23" s="198" t="s">
        <v>985</v>
      </c>
      <c r="C23" s="183">
        <v>1171.0</v>
      </c>
      <c r="D23" s="199" t="s">
        <v>3519</v>
      </c>
      <c r="E23" s="177" t="str">
        <f t="shared" si="1"/>
        <v>Lapsed</v>
      </c>
      <c r="F23" s="24">
        <v>1.0</v>
      </c>
      <c r="G23" s="200">
        <v>45443.0</v>
      </c>
      <c r="H23" s="180">
        <f t="shared" si="2"/>
        <v>45656</v>
      </c>
    </row>
    <row r="24">
      <c r="A24" s="198" t="s">
        <v>989</v>
      </c>
      <c r="B24" s="198" t="s">
        <v>990</v>
      </c>
      <c r="C24" s="183">
        <v>1170.0</v>
      </c>
      <c r="D24" s="199" t="s">
        <v>3517</v>
      </c>
      <c r="E24" s="177" t="str">
        <f t="shared" si="1"/>
        <v>Lapsed</v>
      </c>
      <c r="F24" s="24">
        <v>1.0</v>
      </c>
      <c r="G24" s="200">
        <v>45444.0</v>
      </c>
      <c r="H24" s="180">
        <f t="shared" si="2"/>
        <v>45656</v>
      </c>
    </row>
    <row r="25">
      <c r="A25" s="198" t="s">
        <v>995</v>
      </c>
      <c r="B25" s="198" t="s">
        <v>996</v>
      </c>
      <c r="C25" s="183">
        <v>1169.0</v>
      </c>
      <c r="D25" s="199" t="s">
        <v>3517</v>
      </c>
      <c r="E25" s="177" t="str">
        <f t="shared" si="1"/>
        <v>Lapsed</v>
      </c>
      <c r="F25" s="24">
        <v>1.0</v>
      </c>
      <c r="G25" s="200">
        <v>45445.0</v>
      </c>
      <c r="H25" s="180">
        <f t="shared" si="2"/>
        <v>45656</v>
      </c>
    </row>
    <row r="26">
      <c r="A26" s="198" t="s">
        <v>999</v>
      </c>
      <c r="B26" s="198" t="s">
        <v>1000</v>
      </c>
      <c r="C26" s="183">
        <v>1167.0</v>
      </c>
      <c r="D26" s="199" t="s">
        <v>3519</v>
      </c>
      <c r="E26" s="177" t="str">
        <f t="shared" si="1"/>
        <v>Lapsed</v>
      </c>
      <c r="F26" s="24">
        <v>1.0</v>
      </c>
      <c r="G26" s="200">
        <v>45447.0</v>
      </c>
      <c r="H26" s="180">
        <f t="shared" si="2"/>
        <v>45656</v>
      </c>
    </row>
    <row r="27">
      <c r="A27" s="198" t="s">
        <v>1003</v>
      </c>
      <c r="B27" s="198" t="s">
        <v>1004</v>
      </c>
      <c r="C27" s="183">
        <v>1166.0</v>
      </c>
      <c r="D27" s="199" t="s">
        <v>3517</v>
      </c>
      <c r="E27" s="177" t="str">
        <f t="shared" si="1"/>
        <v>Lapsed</v>
      </c>
      <c r="F27" s="24">
        <v>1.0</v>
      </c>
      <c r="G27" s="200">
        <v>45399.0</v>
      </c>
      <c r="H27" s="180">
        <f t="shared" si="2"/>
        <v>45656</v>
      </c>
    </row>
    <row r="28">
      <c r="A28" s="198" t="s">
        <v>1010</v>
      </c>
      <c r="B28" s="198" t="s">
        <v>1011</v>
      </c>
      <c r="C28" s="183">
        <v>1165.0</v>
      </c>
      <c r="D28" s="199" t="s">
        <v>3517</v>
      </c>
      <c r="E28" s="177" t="str">
        <f t="shared" si="1"/>
        <v>Lapsed</v>
      </c>
      <c r="F28" s="24">
        <v>1.0</v>
      </c>
      <c r="G28" s="200">
        <v>45406.0</v>
      </c>
      <c r="H28" s="180">
        <f t="shared" si="2"/>
        <v>45656</v>
      </c>
    </row>
    <row r="29">
      <c r="A29" s="198" t="s">
        <v>1013</v>
      </c>
      <c r="B29" s="198" t="s">
        <v>1014</v>
      </c>
      <c r="C29" s="183">
        <v>1164.0</v>
      </c>
      <c r="D29" s="199" t="s">
        <v>3517</v>
      </c>
      <c r="E29" s="177" t="str">
        <f t="shared" si="1"/>
        <v>Lapsed</v>
      </c>
      <c r="F29" s="24">
        <v>1.0</v>
      </c>
      <c r="G29" s="200">
        <v>45401.0</v>
      </c>
      <c r="H29" s="180">
        <f t="shared" si="2"/>
        <v>45656</v>
      </c>
    </row>
    <row r="30">
      <c r="A30" s="198" t="s">
        <v>1020</v>
      </c>
      <c r="B30" s="198" t="s">
        <v>1021</v>
      </c>
      <c r="C30" s="183">
        <v>1163.0</v>
      </c>
      <c r="D30" s="199" t="s">
        <v>3517</v>
      </c>
      <c r="E30" s="177" t="str">
        <f t="shared" si="1"/>
        <v>Lapsed</v>
      </c>
      <c r="F30" s="24">
        <v>1.0</v>
      </c>
      <c r="G30" s="200">
        <v>45402.0</v>
      </c>
      <c r="H30" s="180">
        <f t="shared" si="2"/>
        <v>45656</v>
      </c>
    </row>
    <row r="31">
      <c r="A31" s="198" t="s">
        <v>154</v>
      </c>
      <c r="B31" s="198" t="s">
        <v>1024</v>
      </c>
      <c r="C31" s="183">
        <v>1162.0</v>
      </c>
      <c r="D31" s="199" t="s">
        <v>3517</v>
      </c>
      <c r="E31" s="177" t="str">
        <f t="shared" si="1"/>
        <v>Lapsed</v>
      </c>
      <c r="F31" s="24">
        <v>1.0</v>
      </c>
      <c r="G31" s="200">
        <v>45403.0</v>
      </c>
      <c r="H31" s="180">
        <f t="shared" si="2"/>
        <v>45656</v>
      </c>
    </row>
    <row r="32">
      <c r="A32" s="198" t="s">
        <v>1027</v>
      </c>
      <c r="B32" s="198" t="s">
        <v>1028</v>
      </c>
      <c r="C32" s="183">
        <v>1161.0</v>
      </c>
      <c r="D32" s="199" t="s">
        <v>3517</v>
      </c>
      <c r="E32" s="177" t="str">
        <f t="shared" si="1"/>
        <v>Lapsed</v>
      </c>
      <c r="F32" s="24">
        <v>1.0</v>
      </c>
      <c r="G32" s="200">
        <v>45404.0</v>
      </c>
      <c r="H32" s="180">
        <f t="shared" si="2"/>
        <v>45656</v>
      </c>
    </row>
    <row r="33">
      <c r="A33" s="198" t="s">
        <v>186</v>
      </c>
      <c r="B33" s="198" t="s">
        <v>1031</v>
      </c>
      <c r="C33" s="183">
        <v>1160.0</v>
      </c>
      <c r="D33" s="199" t="s">
        <v>3517</v>
      </c>
      <c r="E33" s="177" t="str">
        <f t="shared" si="1"/>
        <v>Lapsed</v>
      </c>
      <c r="F33" s="24">
        <v>1.0</v>
      </c>
      <c r="G33" s="200">
        <v>45405.0</v>
      </c>
      <c r="H33" s="180">
        <f t="shared" si="2"/>
        <v>45656</v>
      </c>
    </row>
    <row r="34">
      <c r="A34" s="198" t="s">
        <v>1034</v>
      </c>
      <c r="B34" s="198" t="s">
        <v>902</v>
      </c>
      <c r="C34" s="183">
        <v>1159.0</v>
      </c>
      <c r="D34" s="199" t="s">
        <v>3517</v>
      </c>
      <c r="E34" s="177" t="str">
        <f t="shared" si="1"/>
        <v>Lapsed</v>
      </c>
      <c r="F34" s="24">
        <v>1.0</v>
      </c>
      <c r="G34" s="200">
        <v>45406.0</v>
      </c>
      <c r="H34" s="180">
        <f t="shared" si="2"/>
        <v>45656</v>
      </c>
    </row>
    <row r="35">
      <c r="A35" s="198" t="s">
        <v>1036</v>
      </c>
      <c r="B35" s="198" t="s">
        <v>1037</v>
      </c>
      <c r="C35" s="183">
        <v>1158.0</v>
      </c>
      <c r="D35" s="199" t="s">
        <v>3517</v>
      </c>
      <c r="E35" s="177" t="str">
        <f t="shared" si="1"/>
        <v>Lapsed</v>
      </c>
      <c r="F35" s="24">
        <v>1.0</v>
      </c>
      <c r="G35" s="200">
        <v>45406.0</v>
      </c>
      <c r="H35" s="180">
        <f t="shared" si="2"/>
        <v>45656</v>
      </c>
    </row>
    <row r="36">
      <c r="A36" s="198" t="s">
        <v>1041</v>
      </c>
      <c r="B36" s="198" t="s">
        <v>1042</v>
      </c>
      <c r="C36" s="183">
        <v>1157.0</v>
      </c>
      <c r="D36" s="199" t="s">
        <v>3517</v>
      </c>
      <c r="E36" s="177" t="str">
        <f t="shared" si="1"/>
        <v>Lapsed</v>
      </c>
      <c r="F36" s="24">
        <v>1.0</v>
      </c>
      <c r="G36" s="200">
        <v>45406.0</v>
      </c>
      <c r="H36" s="180">
        <f t="shared" si="2"/>
        <v>45656</v>
      </c>
    </row>
    <row r="37">
      <c r="A37" s="198" t="s">
        <v>1047</v>
      </c>
      <c r="B37" s="198" t="s">
        <v>1048</v>
      </c>
      <c r="C37" s="183">
        <v>1156.0</v>
      </c>
      <c r="D37" s="199" t="s">
        <v>3517</v>
      </c>
      <c r="E37" s="177" t="str">
        <f t="shared" si="1"/>
        <v>Lapsed</v>
      </c>
      <c r="F37" s="24">
        <v>1.0</v>
      </c>
      <c r="G37" s="200">
        <v>45407.0</v>
      </c>
      <c r="H37" s="180">
        <f t="shared" si="2"/>
        <v>45656</v>
      </c>
    </row>
    <row r="38">
      <c r="A38" s="198" t="s">
        <v>1051</v>
      </c>
      <c r="B38" s="198" t="s">
        <v>1052</v>
      </c>
      <c r="C38" s="183">
        <v>1155.0</v>
      </c>
      <c r="D38" s="199" t="s">
        <v>3517</v>
      </c>
      <c r="E38" s="177" t="str">
        <f t="shared" si="1"/>
        <v>Lapsed</v>
      </c>
      <c r="F38" s="24">
        <v>1.0</v>
      </c>
      <c r="G38" s="200">
        <v>45407.0</v>
      </c>
      <c r="H38" s="180">
        <f t="shared" si="2"/>
        <v>45656</v>
      </c>
    </row>
    <row r="39">
      <c r="A39" s="198" t="s">
        <v>1055</v>
      </c>
      <c r="B39" s="198" t="s">
        <v>1056</v>
      </c>
      <c r="C39" s="183">
        <v>1154.0</v>
      </c>
      <c r="D39" s="199" t="s">
        <v>3517</v>
      </c>
      <c r="E39" s="177" t="str">
        <f t="shared" si="1"/>
        <v>Lapsed</v>
      </c>
      <c r="F39" s="24">
        <v>1.0</v>
      </c>
      <c r="G39" s="200">
        <v>45407.0</v>
      </c>
      <c r="H39" s="180">
        <f t="shared" si="2"/>
        <v>45656</v>
      </c>
    </row>
    <row r="40">
      <c r="A40" s="198" t="s">
        <v>1059</v>
      </c>
      <c r="B40" s="198" t="s">
        <v>1060</v>
      </c>
      <c r="C40" s="183">
        <v>1153.0</v>
      </c>
      <c r="D40" s="199" t="s">
        <v>3517</v>
      </c>
      <c r="E40" s="177" t="str">
        <f t="shared" si="1"/>
        <v>Lapsed</v>
      </c>
      <c r="F40" s="24">
        <v>1.0</v>
      </c>
      <c r="G40" s="200">
        <v>45407.0</v>
      </c>
      <c r="H40" s="180">
        <f t="shared" si="2"/>
        <v>45656</v>
      </c>
    </row>
    <row r="41">
      <c r="A41" s="198" t="s">
        <v>1064</v>
      </c>
      <c r="B41" s="198" t="s">
        <v>1065</v>
      </c>
      <c r="C41" s="183">
        <v>1152.0</v>
      </c>
      <c r="D41" s="199" t="s">
        <v>3517</v>
      </c>
      <c r="E41" s="177" t="str">
        <f t="shared" si="1"/>
        <v>Lapsed</v>
      </c>
      <c r="F41" s="24">
        <v>1.0</v>
      </c>
      <c r="G41" s="201">
        <v>45399.0</v>
      </c>
      <c r="H41" s="180">
        <f t="shared" si="2"/>
        <v>45656</v>
      </c>
    </row>
    <row r="42">
      <c r="A42" s="198" t="s">
        <v>3520</v>
      </c>
      <c r="B42" s="198" t="s">
        <v>1070</v>
      </c>
      <c r="C42" s="183">
        <v>1151.0</v>
      </c>
      <c r="D42" s="199" t="s">
        <v>3517</v>
      </c>
      <c r="E42" s="177" t="str">
        <f t="shared" si="1"/>
        <v>Lapsed</v>
      </c>
      <c r="F42" s="24">
        <v>1.0</v>
      </c>
      <c r="G42" s="200">
        <v>45391.0</v>
      </c>
      <c r="H42" s="180">
        <f t="shared" si="2"/>
        <v>45656</v>
      </c>
    </row>
    <row r="43">
      <c r="A43" s="198" t="s">
        <v>450</v>
      </c>
      <c r="B43" s="198" t="s">
        <v>1073</v>
      </c>
      <c r="C43" s="183">
        <v>1150.0</v>
      </c>
      <c r="D43" s="199" t="s">
        <v>3517</v>
      </c>
      <c r="E43" s="177" t="str">
        <f t="shared" si="1"/>
        <v>Lapsed</v>
      </c>
      <c r="F43" s="24">
        <v>1.0</v>
      </c>
      <c r="G43" s="200">
        <v>45390.0</v>
      </c>
      <c r="H43" s="180">
        <f t="shared" si="2"/>
        <v>45656</v>
      </c>
    </row>
    <row r="44">
      <c r="A44" s="198" t="s">
        <v>1078</v>
      </c>
      <c r="B44" s="198" t="s">
        <v>1073</v>
      </c>
      <c r="C44" s="183">
        <v>1149.0</v>
      </c>
      <c r="D44" s="199" t="s">
        <v>3517</v>
      </c>
      <c r="E44" s="177" t="str">
        <f t="shared" si="1"/>
        <v>Lapsed</v>
      </c>
      <c r="F44" s="24">
        <v>1.0</v>
      </c>
      <c r="G44" s="200">
        <v>45390.0</v>
      </c>
      <c r="H44" s="180">
        <f t="shared" si="2"/>
        <v>45656</v>
      </c>
    </row>
    <row r="45">
      <c r="A45" s="198" t="s">
        <v>1081</v>
      </c>
      <c r="B45" s="198" t="s">
        <v>1082</v>
      </c>
      <c r="C45" s="183">
        <v>1148.0</v>
      </c>
      <c r="D45" s="199" t="s">
        <v>3517</v>
      </c>
      <c r="E45" s="177" t="str">
        <f t="shared" si="1"/>
        <v>Lapsed</v>
      </c>
      <c r="F45" s="24">
        <v>1.0</v>
      </c>
      <c r="G45" s="200">
        <v>45390.0</v>
      </c>
      <c r="H45" s="180">
        <f t="shared" si="2"/>
        <v>45656</v>
      </c>
    </row>
    <row r="46">
      <c r="A46" s="198" t="s">
        <v>1085</v>
      </c>
      <c r="B46" s="198" t="s">
        <v>1086</v>
      </c>
      <c r="C46" s="183">
        <v>1147.0</v>
      </c>
      <c r="D46" s="199" t="s">
        <v>3517</v>
      </c>
      <c r="E46" s="177" t="str">
        <f t="shared" si="1"/>
        <v>Lapsed</v>
      </c>
      <c r="F46" s="24">
        <v>1.0</v>
      </c>
      <c r="G46" s="200">
        <v>45390.0</v>
      </c>
      <c r="H46" s="180">
        <f t="shared" si="2"/>
        <v>45656</v>
      </c>
    </row>
    <row r="47">
      <c r="A47" s="198" t="s">
        <v>1090</v>
      </c>
      <c r="B47" s="198" t="s">
        <v>638</v>
      </c>
      <c r="C47" s="183">
        <v>1146.0</v>
      </c>
      <c r="D47" s="199" t="s">
        <v>3517</v>
      </c>
      <c r="E47" s="177" t="str">
        <f t="shared" si="1"/>
        <v>Lapsed</v>
      </c>
      <c r="F47" s="24">
        <v>1.0</v>
      </c>
      <c r="G47" s="200">
        <v>45390.0</v>
      </c>
      <c r="H47" s="180">
        <f t="shared" si="2"/>
        <v>45656</v>
      </c>
    </row>
    <row r="48">
      <c r="A48" s="198" t="s">
        <v>1091</v>
      </c>
      <c r="B48" s="198" t="s">
        <v>1092</v>
      </c>
      <c r="C48" s="183">
        <v>1145.0</v>
      </c>
      <c r="D48" s="199" t="s">
        <v>3517</v>
      </c>
      <c r="E48" s="177" t="str">
        <f t="shared" si="1"/>
        <v>Lapsed</v>
      </c>
      <c r="F48" s="24">
        <v>1.0</v>
      </c>
      <c r="G48" s="200">
        <v>45390.0</v>
      </c>
      <c r="H48" s="180">
        <f t="shared" si="2"/>
        <v>45656</v>
      </c>
    </row>
    <row r="49">
      <c r="A49" s="198" t="s">
        <v>740</v>
      </c>
      <c r="B49" s="198" t="s">
        <v>902</v>
      </c>
      <c r="C49" s="183">
        <v>1144.0</v>
      </c>
      <c r="D49" s="199" t="s">
        <v>3517</v>
      </c>
      <c r="E49" s="177" t="str">
        <f t="shared" si="1"/>
        <v>Lapsed</v>
      </c>
      <c r="F49" s="24">
        <v>1.0</v>
      </c>
      <c r="G49" s="200">
        <v>45363.0</v>
      </c>
      <c r="H49" s="180">
        <f t="shared" si="2"/>
        <v>45656</v>
      </c>
    </row>
    <row r="50">
      <c r="A50" s="202" t="s">
        <v>1099</v>
      </c>
      <c r="B50" s="202" t="s">
        <v>1100</v>
      </c>
      <c r="C50" s="183">
        <v>1143.0</v>
      </c>
      <c r="D50" s="199" t="s">
        <v>3517</v>
      </c>
      <c r="E50" s="177" t="str">
        <f t="shared" si="1"/>
        <v>Lapsed</v>
      </c>
      <c r="F50" s="24">
        <v>1.0</v>
      </c>
      <c r="G50" s="203">
        <v>45355.0</v>
      </c>
      <c r="H50" s="180">
        <f t="shared" si="2"/>
        <v>45656</v>
      </c>
    </row>
    <row r="51">
      <c r="A51" s="202" t="s">
        <v>1103</v>
      </c>
      <c r="B51" s="202" t="s">
        <v>1104</v>
      </c>
      <c r="C51" s="183">
        <v>1142.0</v>
      </c>
      <c r="D51" s="199" t="s">
        <v>3517</v>
      </c>
      <c r="E51" s="177" t="str">
        <f t="shared" si="1"/>
        <v>Active</v>
      </c>
      <c r="F51" s="24">
        <v>3.0</v>
      </c>
      <c r="G51" s="200">
        <v>45320.0</v>
      </c>
      <c r="H51" s="180">
        <f t="shared" si="2"/>
        <v>46387</v>
      </c>
    </row>
    <row r="52">
      <c r="A52" s="202" t="s">
        <v>802</v>
      </c>
      <c r="B52" s="202" t="s">
        <v>1107</v>
      </c>
      <c r="C52" s="183">
        <v>1141.0</v>
      </c>
      <c r="D52" s="199" t="s">
        <v>3517</v>
      </c>
      <c r="E52" s="177" t="str">
        <f t="shared" si="1"/>
        <v>Lapsed</v>
      </c>
      <c r="F52" s="24">
        <v>1.0</v>
      </c>
      <c r="G52" s="200">
        <v>45306.0</v>
      </c>
      <c r="H52" s="180">
        <f t="shared" si="2"/>
        <v>45656</v>
      </c>
    </row>
    <row r="53">
      <c r="A53" s="202" t="s">
        <v>1111</v>
      </c>
      <c r="B53" s="202" t="s">
        <v>1112</v>
      </c>
      <c r="C53" s="183">
        <v>1140.0</v>
      </c>
      <c r="D53" s="199" t="s">
        <v>3517</v>
      </c>
      <c r="E53" s="177" t="str">
        <f t="shared" si="1"/>
        <v>Lapsed</v>
      </c>
      <c r="F53" s="24">
        <v>1.0</v>
      </c>
      <c r="G53" s="200">
        <v>45182.0</v>
      </c>
      <c r="H53" s="180">
        <f t="shared" si="2"/>
        <v>45291</v>
      </c>
    </row>
    <row r="54">
      <c r="A54" s="202" t="s">
        <v>1113</v>
      </c>
      <c r="B54" s="202" t="s">
        <v>620</v>
      </c>
      <c r="C54" s="183">
        <v>1139.0</v>
      </c>
      <c r="D54" s="199" t="s">
        <v>3517</v>
      </c>
      <c r="E54" s="177" t="str">
        <f t="shared" si="1"/>
        <v>Lapsed</v>
      </c>
      <c r="F54" s="24">
        <v>1.0</v>
      </c>
      <c r="G54" s="200">
        <v>45182.0</v>
      </c>
      <c r="H54" s="180">
        <f t="shared" si="2"/>
        <v>45291</v>
      </c>
    </row>
    <row r="55">
      <c r="A55" s="202" t="s">
        <v>3521</v>
      </c>
      <c r="B55" s="202" t="s">
        <v>1994</v>
      </c>
      <c r="C55" s="183">
        <v>1138.0</v>
      </c>
      <c r="D55" s="199" t="s">
        <v>3517</v>
      </c>
      <c r="E55" s="177" t="str">
        <f t="shared" si="1"/>
        <v>Lapsed</v>
      </c>
      <c r="F55" s="24">
        <v>1.0</v>
      </c>
      <c r="G55" s="200">
        <v>45205.0</v>
      </c>
      <c r="H55" s="180">
        <f t="shared" si="2"/>
        <v>45291</v>
      </c>
    </row>
    <row r="56">
      <c r="A56" s="202" t="s">
        <v>1122</v>
      </c>
      <c r="B56" s="202" t="s">
        <v>1123</v>
      </c>
      <c r="C56" s="183">
        <v>1137.0</v>
      </c>
      <c r="D56" s="199" t="s">
        <v>3517</v>
      </c>
      <c r="E56" s="177" t="str">
        <f t="shared" si="1"/>
        <v>Lapsed</v>
      </c>
      <c r="F56" s="24">
        <v>1.0</v>
      </c>
      <c r="G56" s="200">
        <v>45390.0</v>
      </c>
      <c r="H56" s="180">
        <f t="shared" si="2"/>
        <v>45656</v>
      </c>
    </row>
    <row r="57">
      <c r="A57" s="202" t="s">
        <v>3522</v>
      </c>
      <c r="B57" s="202" t="s">
        <v>1127</v>
      </c>
      <c r="C57" s="183">
        <v>1136.0</v>
      </c>
      <c r="D57" s="199" t="s">
        <v>3517</v>
      </c>
      <c r="E57" s="177" t="str">
        <f t="shared" si="1"/>
        <v>Lapsed</v>
      </c>
      <c r="F57" s="24">
        <v>1.0</v>
      </c>
      <c r="G57" s="200">
        <v>45407.0</v>
      </c>
      <c r="H57" s="180">
        <f t="shared" si="2"/>
        <v>45656</v>
      </c>
    </row>
    <row r="58">
      <c r="A58" s="202" t="s">
        <v>1027</v>
      </c>
      <c r="B58" s="202" t="s">
        <v>1130</v>
      </c>
      <c r="C58" s="183">
        <v>1135.0</v>
      </c>
      <c r="D58" s="199" t="s">
        <v>3517</v>
      </c>
      <c r="E58" s="177" t="str">
        <f t="shared" si="1"/>
        <v>Lapsed</v>
      </c>
      <c r="F58" s="24">
        <v>1.0</v>
      </c>
      <c r="G58" s="200">
        <v>45205.0</v>
      </c>
      <c r="H58" s="180">
        <f t="shared" si="2"/>
        <v>45291</v>
      </c>
    </row>
    <row r="59">
      <c r="A59" s="202" t="s">
        <v>1131</v>
      </c>
      <c r="B59" s="202" t="s">
        <v>1132</v>
      </c>
      <c r="C59" s="183">
        <v>1134.0</v>
      </c>
      <c r="D59" s="199" t="s">
        <v>3519</v>
      </c>
      <c r="E59" s="177" t="str">
        <f t="shared" si="1"/>
        <v>Lapsed</v>
      </c>
      <c r="F59" s="24">
        <v>1.0</v>
      </c>
      <c r="G59" s="200">
        <v>45203.0</v>
      </c>
      <c r="H59" s="180">
        <f t="shared" si="2"/>
        <v>45291</v>
      </c>
    </row>
    <row r="60">
      <c r="A60" s="202" t="s">
        <v>1135</v>
      </c>
      <c r="B60" s="202" t="s">
        <v>1136</v>
      </c>
      <c r="C60" s="183">
        <v>1133.0</v>
      </c>
      <c r="D60" s="199" t="s">
        <v>3519</v>
      </c>
      <c r="E60" s="177" t="str">
        <f t="shared" si="1"/>
        <v>Lapsed</v>
      </c>
      <c r="F60" s="24">
        <v>1.0</v>
      </c>
      <c r="G60" s="200">
        <v>45355.0</v>
      </c>
      <c r="H60" s="180">
        <f t="shared" si="2"/>
        <v>45656</v>
      </c>
    </row>
    <row r="61">
      <c r="A61" s="202" t="s">
        <v>1142</v>
      </c>
      <c r="B61" s="202" t="s">
        <v>1143</v>
      </c>
      <c r="C61" s="183">
        <v>1132.0</v>
      </c>
      <c r="D61" s="199" t="s">
        <v>3517</v>
      </c>
      <c r="E61" s="177" t="str">
        <f t="shared" si="1"/>
        <v>Lapsed</v>
      </c>
      <c r="F61" s="24">
        <v>1.0</v>
      </c>
      <c r="G61" s="200">
        <v>45200.0</v>
      </c>
      <c r="H61" s="180">
        <f t="shared" si="2"/>
        <v>45291</v>
      </c>
    </row>
    <row r="62">
      <c r="A62" s="202" t="s">
        <v>1117</v>
      </c>
      <c r="B62" s="202" t="s">
        <v>909</v>
      </c>
      <c r="C62" s="183">
        <v>1131.0</v>
      </c>
      <c r="D62" s="199" t="s">
        <v>3519</v>
      </c>
      <c r="E62" s="177" t="str">
        <f t="shared" si="1"/>
        <v>Lapsed</v>
      </c>
      <c r="F62" s="24">
        <v>1.0</v>
      </c>
      <c r="G62" s="200">
        <v>45200.0</v>
      </c>
      <c r="H62" s="180">
        <f t="shared" si="2"/>
        <v>45291</v>
      </c>
    </row>
    <row r="63">
      <c r="A63" s="202" t="s">
        <v>308</v>
      </c>
      <c r="B63" s="202" t="s">
        <v>909</v>
      </c>
      <c r="C63" s="183">
        <v>1130.0</v>
      </c>
      <c r="D63" s="199" t="s">
        <v>3517</v>
      </c>
      <c r="E63" s="177" t="str">
        <f t="shared" si="1"/>
        <v>Lapsed</v>
      </c>
      <c r="F63" s="24">
        <v>1.0</v>
      </c>
      <c r="G63" s="200">
        <v>45451.0</v>
      </c>
      <c r="H63" s="180">
        <f t="shared" si="2"/>
        <v>45656</v>
      </c>
    </row>
    <row r="64">
      <c r="A64" s="202" t="s">
        <v>1153</v>
      </c>
      <c r="B64" s="202" t="s">
        <v>267</v>
      </c>
      <c r="C64" s="183">
        <v>1129.0</v>
      </c>
      <c r="D64" s="199" t="s">
        <v>3517</v>
      </c>
      <c r="E64" s="177" t="str">
        <f t="shared" si="1"/>
        <v>Lapsed</v>
      </c>
      <c r="F64" s="24">
        <v>1.0</v>
      </c>
      <c r="G64" s="200">
        <v>45200.0</v>
      </c>
      <c r="H64" s="180">
        <f t="shared" si="2"/>
        <v>45291</v>
      </c>
    </row>
    <row r="65">
      <c r="A65" s="202" t="s">
        <v>960</v>
      </c>
      <c r="B65" s="202" t="s">
        <v>1156</v>
      </c>
      <c r="C65" s="183">
        <v>1128.0</v>
      </c>
      <c r="D65" s="199" t="s">
        <v>3517</v>
      </c>
      <c r="E65" s="177" t="str">
        <f t="shared" si="1"/>
        <v>Lapsed</v>
      </c>
      <c r="F65" s="24">
        <v>1.0</v>
      </c>
      <c r="G65" s="200">
        <v>45194.0</v>
      </c>
      <c r="H65" s="180">
        <f t="shared" si="2"/>
        <v>45291</v>
      </c>
    </row>
    <row r="66">
      <c r="A66" s="202" t="s">
        <v>1160</v>
      </c>
      <c r="B66" s="202" t="s">
        <v>1161</v>
      </c>
      <c r="C66" s="183">
        <v>1127.0</v>
      </c>
      <c r="D66" s="199" t="s">
        <v>3517</v>
      </c>
      <c r="E66" s="177" t="str">
        <f t="shared" si="1"/>
        <v>Lapsed</v>
      </c>
      <c r="F66" s="24">
        <v>1.0</v>
      </c>
      <c r="G66" s="200">
        <v>45188.0</v>
      </c>
      <c r="H66" s="180">
        <f t="shared" si="2"/>
        <v>45291</v>
      </c>
    </row>
    <row r="67">
      <c r="A67" s="202" t="s">
        <v>1164</v>
      </c>
      <c r="B67" s="202" t="s">
        <v>1165</v>
      </c>
      <c r="C67" s="183">
        <v>1126.0</v>
      </c>
      <c r="D67" s="199" t="s">
        <v>3517</v>
      </c>
      <c r="E67" s="177" t="str">
        <f t="shared" si="1"/>
        <v>Lapsed</v>
      </c>
      <c r="F67" s="24">
        <v>1.0</v>
      </c>
      <c r="G67" s="200">
        <v>45187.0</v>
      </c>
      <c r="H67" s="180">
        <f t="shared" si="2"/>
        <v>45291</v>
      </c>
    </row>
    <row r="68">
      <c r="A68" s="202" t="s">
        <v>3523</v>
      </c>
      <c r="B68" s="202" t="s">
        <v>1171</v>
      </c>
      <c r="C68" s="183">
        <v>1125.0</v>
      </c>
      <c r="D68" s="199" t="s">
        <v>3517</v>
      </c>
      <c r="E68" s="177" t="str">
        <f t="shared" si="1"/>
        <v>Lapsed</v>
      </c>
      <c r="F68" s="108">
        <v>3.0</v>
      </c>
      <c r="G68" s="200">
        <v>45181.0</v>
      </c>
      <c r="H68" s="180">
        <f t="shared" si="2"/>
        <v>46022</v>
      </c>
    </row>
    <row r="69">
      <c r="A69" s="202" t="s">
        <v>802</v>
      </c>
      <c r="B69" s="202" t="s">
        <v>1174</v>
      </c>
      <c r="C69" s="183">
        <v>1124.0</v>
      </c>
      <c r="D69" s="199" t="s">
        <v>3517</v>
      </c>
      <c r="E69" s="177" t="str">
        <f t="shared" si="1"/>
        <v>Lapsed</v>
      </c>
      <c r="F69" s="24">
        <v>1.0</v>
      </c>
      <c r="G69" s="200">
        <v>45180.0</v>
      </c>
      <c r="H69" s="180">
        <f t="shared" si="2"/>
        <v>45291</v>
      </c>
    </row>
    <row r="70">
      <c r="A70" s="202" t="s">
        <v>630</v>
      </c>
      <c r="B70" s="202" t="s">
        <v>1177</v>
      </c>
      <c r="C70" s="183">
        <v>1123.0</v>
      </c>
      <c r="D70" s="199" t="s">
        <v>3517</v>
      </c>
      <c r="E70" s="177" t="str">
        <f t="shared" si="1"/>
        <v>Lapsed</v>
      </c>
      <c r="F70" s="24">
        <v>1.0</v>
      </c>
      <c r="G70" s="200">
        <v>45140.0</v>
      </c>
      <c r="H70" s="180">
        <f t="shared" si="2"/>
        <v>45291</v>
      </c>
    </row>
    <row r="71">
      <c r="A71" s="202" t="s">
        <v>1181</v>
      </c>
      <c r="B71" s="202" t="s">
        <v>1182</v>
      </c>
      <c r="C71" s="183">
        <v>1122.0</v>
      </c>
      <c r="D71" s="199" t="s">
        <v>3517</v>
      </c>
      <c r="E71" s="177" t="str">
        <f t="shared" si="1"/>
        <v>Lapsed</v>
      </c>
      <c r="F71" s="24">
        <v>1.0</v>
      </c>
      <c r="G71" s="200">
        <v>45173.0</v>
      </c>
      <c r="H71" s="180">
        <f t="shared" si="2"/>
        <v>45291</v>
      </c>
    </row>
    <row r="72">
      <c r="A72" s="202" t="s">
        <v>3524</v>
      </c>
      <c r="B72" s="202" t="s">
        <v>1187</v>
      </c>
      <c r="C72" s="183">
        <v>1121.0</v>
      </c>
      <c r="D72" s="199" t="s">
        <v>3517</v>
      </c>
      <c r="E72" s="177" t="str">
        <f t="shared" si="1"/>
        <v>Lapsed</v>
      </c>
      <c r="F72" s="24">
        <v>1.0</v>
      </c>
      <c r="G72" s="200">
        <v>45173.0</v>
      </c>
      <c r="H72" s="180">
        <f t="shared" si="2"/>
        <v>45291</v>
      </c>
    </row>
    <row r="73">
      <c r="A73" s="202" t="s">
        <v>1188</v>
      </c>
      <c r="B73" s="202" t="s">
        <v>1189</v>
      </c>
      <c r="C73" s="183">
        <v>1120.0</v>
      </c>
      <c r="D73" s="199" t="s">
        <v>3519</v>
      </c>
      <c r="E73" s="177" t="str">
        <f t="shared" si="1"/>
        <v>Lapsed</v>
      </c>
      <c r="F73" s="24">
        <v>1.0</v>
      </c>
      <c r="G73" s="200">
        <v>45121.0</v>
      </c>
      <c r="H73" s="180">
        <f t="shared" si="2"/>
        <v>45291</v>
      </c>
    </row>
    <row r="74">
      <c r="A74" s="202" t="s">
        <v>1192</v>
      </c>
      <c r="B74" s="202" t="s">
        <v>1193</v>
      </c>
      <c r="C74" s="183">
        <v>1119.0</v>
      </c>
      <c r="D74" s="199" t="s">
        <v>3519</v>
      </c>
      <c r="E74" s="177" t="str">
        <f t="shared" si="1"/>
        <v>Lapsed</v>
      </c>
      <c r="F74" s="24">
        <v>1.0</v>
      </c>
      <c r="G74" s="200">
        <v>45122.0</v>
      </c>
      <c r="H74" s="180">
        <f t="shared" si="2"/>
        <v>45291</v>
      </c>
    </row>
    <row r="75">
      <c r="A75" s="202" t="s">
        <v>1196</v>
      </c>
      <c r="B75" s="202" t="s">
        <v>1197</v>
      </c>
      <c r="C75" s="183">
        <v>1118.0</v>
      </c>
      <c r="D75" s="199" t="s">
        <v>3519</v>
      </c>
      <c r="E75" s="177" t="str">
        <f t="shared" si="1"/>
        <v>Lapsed</v>
      </c>
      <c r="F75" s="24">
        <v>1.0</v>
      </c>
      <c r="G75" s="200">
        <v>45451.0</v>
      </c>
      <c r="H75" s="180">
        <f t="shared" si="2"/>
        <v>45656</v>
      </c>
    </row>
    <row r="76">
      <c r="A76" s="202" t="s">
        <v>1200</v>
      </c>
      <c r="B76" s="202" t="s">
        <v>1201</v>
      </c>
      <c r="C76" s="183">
        <v>1117.0</v>
      </c>
      <c r="D76" s="199" t="s">
        <v>3517</v>
      </c>
      <c r="E76" s="177" t="str">
        <f t="shared" si="1"/>
        <v>Lapsed</v>
      </c>
      <c r="F76" s="24">
        <v>1.0</v>
      </c>
      <c r="G76" s="200">
        <v>45150.0</v>
      </c>
      <c r="H76" s="180">
        <f t="shared" si="2"/>
        <v>45291</v>
      </c>
    </row>
    <row r="77">
      <c r="A77" s="202" t="s">
        <v>1207</v>
      </c>
      <c r="B77" s="202" t="s">
        <v>1208</v>
      </c>
      <c r="C77" s="183">
        <v>1116.0</v>
      </c>
      <c r="D77" s="199" t="s">
        <v>3519</v>
      </c>
      <c r="E77" s="177" t="str">
        <f t="shared" si="1"/>
        <v>Lapsed</v>
      </c>
      <c r="F77" s="24">
        <v>1.0</v>
      </c>
      <c r="G77" s="200">
        <v>45150.0</v>
      </c>
      <c r="H77" s="180">
        <f t="shared" si="2"/>
        <v>45291</v>
      </c>
    </row>
    <row r="78">
      <c r="A78" s="202" t="s">
        <v>1212</v>
      </c>
      <c r="B78" s="202" t="s">
        <v>1213</v>
      </c>
      <c r="C78" s="183">
        <v>1115.0</v>
      </c>
      <c r="D78" s="199" t="s">
        <v>3517</v>
      </c>
      <c r="E78" s="177" t="str">
        <f t="shared" si="1"/>
        <v>Lapsed</v>
      </c>
      <c r="F78" s="24">
        <v>1.0</v>
      </c>
      <c r="G78" s="200">
        <v>45205.0</v>
      </c>
      <c r="H78" s="180">
        <f t="shared" si="2"/>
        <v>45291</v>
      </c>
    </row>
    <row r="79">
      <c r="A79" s="202" t="s">
        <v>1215</v>
      </c>
      <c r="B79" s="202" t="s">
        <v>1216</v>
      </c>
      <c r="C79" s="183">
        <v>1114.0</v>
      </c>
      <c r="D79" s="199" t="s">
        <v>3519</v>
      </c>
      <c r="E79" s="177" t="str">
        <f t="shared" si="1"/>
        <v>Lapsed</v>
      </c>
      <c r="F79" s="24">
        <v>1.0</v>
      </c>
      <c r="G79" s="200">
        <v>45150.0</v>
      </c>
      <c r="H79" s="180">
        <f t="shared" si="2"/>
        <v>45291</v>
      </c>
    </row>
    <row r="80">
      <c r="A80" s="202" t="s">
        <v>1221</v>
      </c>
      <c r="B80" s="202" t="s">
        <v>1177</v>
      </c>
      <c r="C80" s="183">
        <v>1113.0</v>
      </c>
      <c r="D80" s="199" t="s">
        <v>3517</v>
      </c>
      <c r="E80" s="177" t="str">
        <f t="shared" si="1"/>
        <v>Lapsed</v>
      </c>
      <c r="F80" s="24">
        <v>1.0</v>
      </c>
      <c r="G80" s="200">
        <v>45150.0</v>
      </c>
      <c r="H80" s="180">
        <f t="shared" si="2"/>
        <v>45291</v>
      </c>
    </row>
    <row r="81">
      <c r="A81" s="202" t="s">
        <v>450</v>
      </c>
      <c r="B81" s="202" t="s">
        <v>1011</v>
      </c>
      <c r="C81" s="183">
        <v>1112.0</v>
      </c>
      <c r="D81" s="199" t="s">
        <v>3517</v>
      </c>
      <c r="E81" s="177" t="str">
        <f t="shared" si="1"/>
        <v>Lapsed</v>
      </c>
      <c r="F81" s="24">
        <v>1.0</v>
      </c>
      <c r="G81" s="200">
        <v>45150.0</v>
      </c>
      <c r="H81" s="180">
        <f t="shared" si="2"/>
        <v>45291</v>
      </c>
    </row>
    <row r="82">
      <c r="A82" s="202" t="s">
        <v>1226</v>
      </c>
      <c r="B82" s="202" t="s">
        <v>1227</v>
      </c>
      <c r="C82" s="183">
        <v>1111.0</v>
      </c>
      <c r="D82" s="199" t="s">
        <v>3517</v>
      </c>
      <c r="E82" s="177" t="str">
        <f t="shared" si="1"/>
        <v>Lapsed</v>
      </c>
      <c r="F82" s="24">
        <v>1.0</v>
      </c>
      <c r="G82" s="200">
        <v>45149.0</v>
      </c>
      <c r="H82" s="180">
        <f t="shared" si="2"/>
        <v>45291</v>
      </c>
    </row>
    <row r="83">
      <c r="A83" s="202" t="s">
        <v>1230</v>
      </c>
      <c r="B83" s="202" t="s">
        <v>1231</v>
      </c>
      <c r="C83" s="183">
        <v>1110.0</v>
      </c>
      <c r="D83" s="199" t="s">
        <v>3517</v>
      </c>
      <c r="E83" s="177" t="str">
        <f t="shared" si="1"/>
        <v>Lapsed</v>
      </c>
      <c r="F83" s="24">
        <v>1.0</v>
      </c>
      <c r="G83" s="200">
        <v>45140.0</v>
      </c>
      <c r="H83" s="180">
        <f t="shared" si="2"/>
        <v>45291</v>
      </c>
    </row>
    <row r="84">
      <c r="A84" s="202" t="s">
        <v>1236</v>
      </c>
      <c r="B84" s="202" t="s">
        <v>1237</v>
      </c>
      <c r="C84" s="183">
        <v>1109.0</v>
      </c>
      <c r="D84" s="199" t="s">
        <v>3517</v>
      </c>
      <c r="E84" s="177" t="str">
        <f t="shared" si="1"/>
        <v>Lapsed</v>
      </c>
      <c r="F84" s="24">
        <v>1.0</v>
      </c>
      <c r="G84" s="201">
        <v>45123.0</v>
      </c>
      <c r="H84" s="180">
        <f t="shared" si="2"/>
        <v>45291</v>
      </c>
    </row>
    <row r="85">
      <c r="A85" s="202" t="s">
        <v>1240</v>
      </c>
      <c r="B85" s="202" t="s">
        <v>1193</v>
      </c>
      <c r="C85" s="183">
        <v>1108.0</v>
      </c>
      <c r="D85" s="199" t="s">
        <v>3517</v>
      </c>
      <c r="E85" s="177" t="str">
        <f t="shared" si="1"/>
        <v>Lapsed</v>
      </c>
      <c r="F85" s="24">
        <v>1.0</v>
      </c>
      <c r="G85" s="200">
        <v>45123.0</v>
      </c>
      <c r="H85" s="180">
        <f t="shared" si="2"/>
        <v>45291</v>
      </c>
    </row>
    <row r="86">
      <c r="A86" s="202" t="s">
        <v>1244</v>
      </c>
      <c r="B86" s="202" t="s">
        <v>1243</v>
      </c>
      <c r="C86" s="183">
        <v>1107.0</v>
      </c>
      <c r="D86" s="199" t="s">
        <v>3517</v>
      </c>
      <c r="E86" s="177" t="str">
        <f t="shared" si="1"/>
        <v>Lapsed</v>
      </c>
      <c r="F86" s="24">
        <v>1.0</v>
      </c>
      <c r="G86" s="200">
        <v>45123.0</v>
      </c>
      <c r="H86" s="180">
        <f t="shared" si="2"/>
        <v>45291</v>
      </c>
    </row>
    <row r="87">
      <c r="A87" s="202" t="s">
        <v>1247</v>
      </c>
      <c r="B87" s="202" t="s">
        <v>1248</v>
      </c>
      <c r="C87" s="183">
        <v>1106.0</v>
      </c>
      <c r="D87" s="199" t="s">
        <v>3517</v>
      </c>
      <c r="E87" s="177" t="str">
        <f t="shared" si="1"/>
        <v>Lapsed</v>
      </c>
      <c r="F87" s="24">
        <v>1.0</v>
      </c>
      <c r="G87" s="200">
        <v>45123.0</v>
      </c>
      <c r="H87" s="180">
        <f t="shared" si="2"/>
        <v>45291</v>
      </c>
    </row>
    <row r="88">
      <c r="A88" s="202" t="s">
        <v>1253</v>
      </c>
      <c r="B88" s="202" t="s">
        <v>1254</v>
      </c>
      <c r="C88" s="183">
        <v>1105.0</v>
      </c>
      <c r="D88" s="199" t="s">
        <v>3517</v>
      </c>
      <c r="E88" s="177" t="str">
        <f t="shared" si="1"/>
        <v>Lapsed</v>
      </c>
      <c r="F88" s="24">
        <v>1.0</v>
      </c>
      <c r="G88" s="200">
        <v>45123.0</v>
      </c>
      <c r="H88" s="180">
        <f t="shared" si="2"/>
        <v>45291</v>
      </c>
    </row>
    <row r="89">
      <c r="A89" s="202" t="s">
        <v>789</v>
      </c>
      <c r="B89" s="202" t="s">
        <v>1257</v>
      </c>
      <c r="C89" s="183">
        <v>1104.0</v>
      </c>
      <c r="D89" s="199" t="s">
        <v>3517</v>
      </c>
      <c r="E89" s="177" t="str">
        <f t="shared" si="1"/>
        <v>Lapsed</v>
      </c>
      <c r="F89" s="24">
        <v>1.0</v>
      </c>
      <c r="G89" s="200">
        <v>45123.0</v>
      </c>
      <c r="H89" s="180">
        <f t="shared" si="2"/>
        <v>45291</v>
      </c>
    </row>
    <row r="90">
      <c r="A90" s="204" t="s">
        <v>1261</v>
      </c>
      <c r="B90" s="204" t="s">
        <v>1262</v>
      </c>
      <c r="C90" s="183">
        <v>1103.0</v>
      </c>
      <c r="D90" s="199" t="s">
        <v>3517</v>
      </c>
      <c r="E90" s="177" t="str">
        <f t="shared" si="1"/>
        <v>Lapsed</v>
      </c>
      <c r="F90" s="24">
        <v>1.0</v>
      </c>
      <c r="G90" s="200">
        <v>45306.0</v>
      </c>
      <c r="H90" s="180">
        <f t="shared" si="2"/>
        <v>45656</v>
      </c>
    </row>
    <row r="91">
      <c r="A91" s="204" t="s">
        <v>1267</v>
      </c>
      <c r="B91" s="202" t="s">
        <v>1268</v>
      </c>
      <c r="C91" s="183">
        <v>1102.0</v>
      </c>
      <c r="D91" s="199" t="s">
        <v>3517</v>
      </c>
      <c r="E91" s="177" t="str">
        <f t="shared" si="1"/>
        <v>Lapsed</v>
      </c>
      <c r="F91" s="24">
        <v>1.0</v>
      </c>
      <c r="G91" s="200">
        <v>45123.0</v>
      </c>
      <c r="H91" s="180">
        <f t="shared" si="2"/>
        <v>45291</v>
      </c>
    </row>
    <row r="92">
      <c r="A92" s="202" t="s">
        <v>1271</v>
      </c>
      <c r="B92" s="202" t="s">
        <v>1272</v>
      </c>
      <c r="C92" s="183">
        <v>1101.0</v>
      </c>
      <c r="D92" s="199" t="s">
        <v>3517</v>
      </c>
      <c r="E92" s="177" t="str">
        <f t="shared" si="1"/>
        <v>Lapsed</v>
      </c>
      <c r="F92" s="24">
        <v>1.0</v>
      </c>
      <c r="G92" s="200">
        <v>45292.0</v>
      </c>
      <c r="H92" s="180">
        <f t="shared" si="2"/>
        <v>45656</v>
      </c>
    </row>
    <row r="93">
      <c r="A93" s="202" t="s">
        <v>1276</v>
      </c>
      <c r="B93" s="202" t="s">
        <v>1277</v>
      </c>
      <c r="C93" s="183">
        <v>1100.0</v>
      </c>
      <c r="D93" s="199" t="s">
        <v>3517</v>
      </c>
      <c r="E93" s="177" t="str">
        <f t="shared" si="1"/>
        <v>Lapsed</v>
      </c>
      <c r="F93" s="24">
        <v>1.0</v>
      </c>
      <c r="G93" s="200">
        <v>45123.0</v>
      </c>
      <c r="H93" s="180">
        <f t="shared" si="2"/>
        <v>45291</v>
      </c>
    </row>
    <row r="94">
      <c r="A94" s="202" t="s">
        <v>1282</v>
      </c>
      <c r="B94" s="202" t="s">
        <v>1283</v>
      </c>
      <c r="C94" s="183">
        <v>1099.0</v>
      </c>
      <c r="D94" s="199" t="s">
        <v>3517</v>
      </c>
      <c r="E94" s="177" t="str">
        <f t="shared" si="1"/>
        <v>Lapsed</v>
      </c>
      <c r="F94" s="24">
        <v>1.0</v>
      </c>
      <c r="G94" s="200">
        <v>45123.0</v>
      </c>
      <c r="H94" s="180">
        <f t="shared" si="2"/>
        <v>45291</v>
      </c>
    </row>
    <row r="95">
      <c r="A95" s="202" t="s">
        <v>613</v>
      </c>
      <c r="B95" s="202" t="s">
        <v>1286</v>
      </c>
      <c r="C95" s="183">
        <v>1098.0</v>
      </c>
      <c r="D95" s="199" t="s">
        <v>3517</v>
      </c>
      <c r="E95" s="177" t="str">
        <f t="shared" si="1"/>
        <v>Lapsed</v>
      </c>
      <c r="F95" s="24">
        <v>1.0</v>
      </c>
      <c r="G95" s="200">
        <v>45123.0</v>
      </c>
      <c r="H95" s="180">
        <f t="shared" si="2"/>
        <v>45291</v>
      </c>
    </row>
    <row r="96">
      <c r="A96" s="202" t="s">
        <v>1290</v>
      </c>
      <c r="B96" s="202" t="s">
        <v>1291</v>
      </c>
      <c r="C96" s="183">
        <v>1097.0</v>
      </c>
      <c r="D96" s="199" t="s">
        <v>3517</v>
      </c>
      <c r="E96" s="177" t="str">
        <f t="shared" si="1"/>
        <v>Lapsed</v>
      </c>
      <c r="F96" s="24">
        <v>1.0</v>
      </c>
      <c r="G96" s="200">
        <v>45406.0</v>
      </c>
      <c r="H96" s="180">
        <f t="shared" si="2"/>
        <v>45656</v>
      </c>
    </row>
    <row r="97">
      <c r="A97" s="202" t="s">
        <v>1295</v>
      </c>
      <c r="B97" s="202" t="s">
        <v>1296</v>
      </c>
      <c r="C97" s="183">
        <v>1096.0</v>
      </c>
      <c r="D97" s="199" t="s">
        <v>3517</v>
      </c>
      <c r="E97" s="177" t="str">
        <f t="shared" si="1"/>
        <v>Lapsed</v>
      </c>
      <c r="F97" s="24">
        <v>1.0</v>
      </c>
      <c r="G97" s="200">
        <v>45390.0</v>
      </c>
      <c r="H97" s="180">
        <f t="shared" si="2"/>
        <v>45656</v>
      </c>
    </row>
    <row r="98">
      <c r="A98" s="202" t="s">
        <v>1301</v>
      </c>
      <c r="B98" s="202" t="s">
        <v>1302</v>
      </c>
      <c r="C98" s="183">
        <v>1095.0</v>
      </c>
      <c r="D98" s="199" t="s">
        <v>3517</v>
      </c>
      <c r="E98" s="177" t="str">
        <f t="shared" si="1"/>
        <v>Lapsed</v>
      </c>
      <c r="F98" s="24">
        <v>1.0</v>
      </c>
      <c r="G98" s="200">
        <v>45080.0</v>
      </c>
      <c r="H98" s="180">
        <f t="shared" si="2"/>
        <v>45291</v>
      </c>
    </row>
    <row r="99">
      <c r="A99" s="202" t="s">
        <v>1305</v>
      </c>
      <c r="B99" s="202" t="s">
        <v>1306</v>
      </c>
      <c r="C99" s="183">
        <v>1094.0</v>
      </c>
      <c r="D99" s="199" t="s">
        <v>3517</v>
      </c>
      <c r="E99" s="177" t="str">
        <f t="shared" si="1"/>
        <v>Lapsed</v>
      </c>
      <c r="F99" s="24">
        <v>1.0</v>
      </c>
      <c r="G99" s="200">
        <v>45080.0</v>
      </c>
      <c r="H99" s="180">
        <f t="shared" si="2"/>
        <v>45291</v>
      </c>
    </row>
    <row r="100">
      <c r="A100" s="202" t="s">
        <v>1311</v>
      </c>
      <c r="B100" s="202" t="s">
        <v>1312</v>
      </c>
      <c r="C100" s="183">
        <v>1093.0</v>
      </c>
      <c r="D100" s="199" t="s">
        <v>3517</v>
      </c>
      <c r="E100" s="177" t="str">
        <f t="shared" si="1"/>
        <v>Lapsed</v>
      </c>
      <c r="F100" s="24">
        <v>1.0</v>
      </c>
      <c r="G100" s="200">
        <v>45080.0</v>
      </c>
      <c r="H100" s="180">
        <f t="shared" si="2"/>
        <v>45291</v>
      </c>
    </row>
    <row r="101">
      <c r="A101" s="202" t="s">
        <v>1313</v>
      </c>
      <c r="B101" s="202" t="s">
        <v>1314</v>
      </c>
      <c r="C101" s="183">
        <v>1092.0</v>
      </c>
      <c r="D101" s="199" t="s">
        <v>3517</v>
      </c>
      <c r="E101" s="177" t="str">
        <f t="shared" si="1"/>
        <v>Lapsed</v>
      </c>
      <c r="F101" s="24">
        <v>1.0</v>
      </c>
      <c r="G101" s="200">
        <v>45080.0</v>
      </c>
      <c r="H101" s="180">
        <f t="shared" si="2"/>
        <v>45291</v>
      </c>
    </row>
    <row r="102">
      <c r="A102" s="202" t="s">
        <v>1315</v>
      </c>
      <c r="B102" s="202" t="s">
        <v>1316</v>
      </c>
      <c r="C102" s="183">
        <v>1091.0</v>
      </c>
      <c r="D102" s="199" t="s">
        <v>3517</v>
      </c>
      <c r="E102" s="177" t="str">
        <f t="shared" si="1"/>
        <v>Lapsed</v>
      </c>
      <c r="F102" s="24">
        <v>1.0</v>
      </c>
      <c r="G102" s="200">
        <v>45080.0</v>
      </c>
      <c r="H102" s="180">
        <f t="shared" si="2"/>
        <v>45291</v>
      </c>
    </row>
    <row r="103">
      <c r="A103" s="202" t="s">
        <v>1319</v>
      </c>
      <c r="B103" s="202" t="s">
        <v>1320</v>
      </c>
      <c r="C103" s="183">
        <v>1090.0</v>
      </c>
      <c r="D103" s="199" t="s">
        <v>3517</v>
      </c>
      <c r="E103" s="177" t="str">
        <f t="shared" si="1"/>
        <v>Lapsed</v>
      </c>
      <c r="F103" s="24">
        <v>1.0</v>
      </c>
      <c r="G103" s="200">
        <v>45080.0</v>
      </c>
      <c r="H103" s="180">
        <f t="shared" si="2"/>
        <v>45291</v>
      </c>
    </row>
    <row r="104">
      <c r="A104" s="202" t="s">
        <v>1325</v>
      </c>
      <c r="B104" s="202" t="s">
        <v>1326</v>
      </c>
      <c r="C104" s="183">
        <v>1089.0</v>
      </c>
      <c r="D104" s="199" t="s">
        <v>3517</v>
      </c>
      <c r="E104" s="177" t="str">
        <f t="shared" si="1"/>
        <v>Lapsed</v>
      </c>
      <c r="F104" s="24">
        <v>1.0</v>
      </c>
      <c r="G104" s="200">
        <v>45079.0</v>
      </c>
      <c r="H104" s="180">
        <f t="shared" si="2"/>
        <v>45291</v>
      </c>
    </row>
    <row r="105">
      <c r="A105" s="202" t="s">
        <v>1328</v>
      </c>
      <c r="B105" s="202" t="s">
        <v>1329</v>
      </c>
      <c r="C105" s="183">
        <v>1088.0</v>
      </c>
      <c r="D105" s="199" t="s">
        <v>3517</v>
      </c>
      <c r="E105" s="177" t="str">
        <f t="shared" si="1"/>
        <v>Lapsed</v>
      </c>
      <c r="F105" s="24">
        <v>1.0</v>
      </c>
      <c r="G105" s="200">
        <v>45079.0</v>
      </c>
      <c r="H105" s="180">
        <f t="shared" si="2"/>
        <v>45291</v>
      </c>
    </row>
    <row r="106">
      <c r="A106" s="202" t="s">
        <v>1334</v>
      </c>
      <c r="B106" s="202" t="s">
        <v>1335</v>
      </c>
      <c r="C106" s="183">
        <v>1087.0</v>
      </c>
      <c r="D106" s="199" t="s">
        <v>3519</v>
      </c>
      <c r="E106" s="177" t="str">
        <f t="shared" si="1"/>
        <v>Lapsed</v>
      </c>
      <c r="F106" s="24">
        <v>1.0</v>
      </c>
      <c r="G106" s="200">
        <v>45079.0</v>
      </c>
      <c r="H106" s="180">
        <f t="shared" si="2"/>
        <v>45291</v>
      </c>
    </row>
    <row r="107">
      <c r="A107" s="202" t="s">
        <v>39</v>
      </c>
      <c r="B107" s="202" t="s">
        <v>1338</v>
      </c>
      <c r="C107" s="183">
        <v>1086.0</v>
      </c>
      <c r="D107" s="199" t="s">
        <v>3517</v>
      </c>
      <c r="E107" s="177" t="str">
        <f t="shared" si="1"/>
        <v>Lapsed</v>
      </c>
      <c r="F107" s="24">
        <v>1.0</v>
      </c>
      <c r="G107" s="200">
        <v>45087.0</v>
      </c>
      <c r="H107" s="180">
        <f t="shared" si="2"/>
        <v>45291</v>
      </c>
    </row>
    <row r="108">
      <c r="A108" s="202" t="s">
        <v>1341</v>
      </c>
      <c r="B108" s="202" t="s">
        <v>1342</v>
      </c>
      <c r="C108" s="183">
        <v>1085.0</v>
      </c>
      <c r="D108" s="199" t="s">
        <v>3517</v>
      </c>
      <c r="E108" s="177" t="str">
        <f t="shared" si="1"/>
        <v>Lapsed</v>
      </c>
      <c r="F108" s="24">
        <v>1.0</v>
      </c>
      <c r="G108" s="200">
        <v>45087.0</v>
      </c>
      <c r="H108" s="180">
        <f t="shared" si="2"/>
        <v>45291</v>
      </c>
    </row>
    <row r="109">
      <c r="A109" s="202" t="s">
        <v>1347</v>
      </c>
      <c r="B109" s="202" t="s">
        <v>1348</v>
      </c>
      <c r="C109" s="183">
        <v>1084.0</v>
      </c>
      <c r="D109" s="199" t="s">
        <v>3517</v>
      </c>
      <c r="E109" s="177" t="str">
        <f t="shared" si="1"/>
        <v>Lapsed</v>
      </c>
      <c r="F109" s="24">
        <v>1.0</v>
      </c>
      <c r="G109" s="200">
        <v>45358.0</v>
      </c>
      <c r="H109" s="180">
        <f t="shared" si="2"/>
        <v>45656</v>
      </c>
    </row>
    <row r="110">
      <c r="A110" s="202" t="s">
        <v>1164</v>
      </c>
      <c r="B110" s="202" t="s">
        <v>909</v>
      </c>
      <c r="C110" s="183">
        <v>1083.0</v>
      </c>
      <c r="D110" s="199" t="s">
        <v>3519</v>
      </c>
      <c r="E110" s="177" t="str">
        <f t="shared" si="1"/>
        <v>Lapsed</v>
      </c>
      <c r="F110" s="24">
        <v>1.0</v>
      </c>
      <c r="G110" s="200">
        <v>45068.0</v>
      </c>
      <c r="H110" s="180">
        <f t="shared" si="2"/>
        <v>45291</v>
      </c>
    </row>
    <row r="111">
      <c r="A111" s="202" t="s">
        <v>86</v>
      </c>
      <c r="B111" s="202" t="s">
        <v>1352</v>
      </c>
      <c r="C111" s="183">
        <v>1082.0</v>
      </c>
      <c r="D111" s="199" t="s">
        <v>3517</v>
      </c>
      <c r="E111" s="184" t="s">
        <v>3525</v>
      </c>
      <c r="F111" s="108">
        <v>3.0</v>
      </c>
      <c r="G111" s="200">
        <v>45068.0</v>
      </c>
      <c r="H111" s="180">
        <f t="shared" si="2"/>
        <v>46022</v>
      </c>
    </row>
    <row r="112">
      <c r="A112" s="202" t="s">
        <v>1355</v>
      </c>
      <c r="B112" s="202" t="s">
        <v>1356</v>
      </c>
      <c r="C112" s="183">
        <v>1081.0</v>
      </c>
      <c r="D112" s="199" t="s">
        <v>3517</v>
      </c>
      <c r="E112" s="177" t="str">
        <f t="shared" ref="E112:E612" si="3">IF(H112&gt;TODAY(), "Active","Lapsed")</f>
        <v>Lapsed</v>
      </c>
      <c r="F112" s="24">
        <v>1.0</v>
      </c>
      <c r="G112" s="200">
        <v>45407.0</v>
      </c>
      <c r="H112" s="180">
        <f t="shared" si="2"/>
        <v>45656</v>
      </c>
    </row>
    <row r="113">
      <c r="A113" s="202" t="s">
        <v>1117</v>
      </c>
      <c r="B113" s="202" t="s">
        <v>1359</v>
      </c>
      <c r="C113" s="183">
        <v>1080.0</v>
      </c>
      <c r="D113" s="199" t="s">
        <v>3517</v>
      </c>
      <c r="E113" s="177" t="str">
        <f t="shared" si="3"/>
        <v>Lapsed</v>
      </c>
      <c r="F113" s="24">
        <v>1.0</v>
      </c>
      <c r="G113" s="200">
        <v>45055.0</v>
      </c>
      <c r="H113" s="180">
        <f t="shared" si="2"/>
        <v>45291</v>
      </c>
    </row>
    <row r="114">
      <c r="A114" s="202" t="s">
        <v>326</v>
      </c>
      <c r="B114" s="202" t="s">
        <v>1364</v>
      </c>
      <c r="C114" s="183">
        <v>1079.0</v>
      </c>
      <c r="D114" s="199" t="s">
        <v>3517</v>
      </c>
      <c r="E114" s="177" t="str">
        <f t="shared" si="3"/>
        <v>Lapsed</v>
      </c>
      <c r="F114" s="24">
        <v>1.0</v>
      </c>
      <c r="G114" s="200">
        <v>45055.0</v>
      </c>
      <c r="H114" s="180">
        <f t="shared" si="2"/>
        <v>45291</v>
      </c>
    </row>
    <row r="115">
      <c r="A115" s="202" t="s">
        <v>1370</v>
      </c>
      <c r="B115" s="202" t="s">
        <v>1136</v>
      </c>
      <c r="C115" s="183">
        <v>1078.0</v>
      </c>
      <c r="D115" s="199" t="s">
        <v>3519</v>
      </c>
      <c r="E115" s="177" t="str">
        <f t="shared" si="3"/>
        <v>Lapsed</v>
      </c>
      <c r="F115" s="24">
        <v>1.0</v>
      </c>
      <c r="G115" s="200">
        <v>45355.0</v>
      </c>
      <c r="H115" s="180">
        <f t="shared" si="2"/>
        <v>45656</v>
      </c>
    </row>
    <row r="116">
      <c r="A116" s="202" t="s">
        <v>984</v>
      </c>
      <c r="B116" s="202" t="s">
        <v>1136</v>
      </c>
      <c r="C116" s="183">
        <v>1077.0</v>
      </c>
      <c r="D116" s="199" t="s">
        <v>3519</v>
      </c>
      <c r="E116" s="177" t="str">
        <f t="shared" si="3"/>
        <v>Lapsed</v>
      </c>
      <c r="F116" s="24">
        <v>1.0</v>
      </c>
      <c r="G116" s="200">
        <v>45355.0</v>
      </c>
      <c r="H116" s="180">
        <f t="shared" si="2"/>
        <v>45656</v>
      </c>
    </row>
    <row r="117">
      <c r="A117" s="202" t="s">
        <v>1371</v>
      </c>
      <c r="B117" s="202" t="s">
        <v>1136</v>
      </c>
      <c r="C117" s="183">
        <v>1076.0</v>
      </c>
      <c r="D117" s="199" t="s">
        <v>3517</v>
      </c>
      <c r="E117" s="177" t="str">
        <f t="shared" si="3"/>
        <v>Lapsed</v>
      </c>
      <c r="F117" s="24">
        <v>1.0</v>
      </c>
      <c r="G117" s="200">
        <v>45355.0</v>
      </c>
      <c r="H117" s="180">
        <f t="shared" si="2"/>
        <v>45656</v>
      </c>
    </row>
    <row r="118">
      <c r="A118" s="202" t="s">
        <v>1372</v>
      </c>
      <c r="B118" s="202" t="s">
        <v>1373</v>
      </c>
      <c r="C118" s="183">
        <v>1075.0</v>
      </c>
      <c r="D118" s="199" t="s">
        <v>3517</v>
      </c>
      <c r="E118" s="177" t="str">
        <f t="shared" si="3"/>
        <v>Lapsed</v>
      </c>
      <c r="F118" s="24">
        <v>1.0</v>
      </c>
      <c r="G118" s="200">
        <v>45357.0</v>
      </c>
      <c r="H118" s="180">
        <f t="shared" si="2"/>
        <v>45656</v>
      </c>
    </row>
    <row r="119">
      <c r="A119" s="202" t="s">
        <v>1379</v>
      </c>
      <c r="B119" s="202" t="s">
        <v>1380</v>
      </c>
      <c r="C119" s="183">
        <v>1074.0</v>
      </c>
      <c r="D119" s="199" t="s">
        <v>3517</v>
      </c>
      <c r="E119" s="177" t="str">
        <f t="shared" si="3"/>
        <v>Lapsed</v>
      </c>
      <c r="F119" s="24">
        <v>1.0</v>
      </c>
      <c r="G119" s="200">
        <v>45041.0</v>
      </c>
      <c r="H119" s="180">
        <f t="shared" si="2"/>
        <v>45291</v>
      </c>
    </row>
    <row r="120">
      <c r="A120" s="202" t="s">
        <v>1383</v>
      </c>
      <c r="B120" s="205" t="s">
        <v>248</v>
      </c>
      <c r="C120" s="183">
        <v>1073.0</v>
      </c>
      <c r="D120" s="199" t="s">
        <v>3517</v>
      </c>
      <c r="E120" s="177" t="str">
        <f t="shared" si="3"/>
        <v>Lapsed</v>
      </c>
      <c r="F120" s="24">
        <v>1.0</v>
      </c>
      <c r="G120" s="200">
        <v>45042.0</v>
      </c>
      <c r="H120" s="180">
        <f t="shared" si="2"/>
        <v>45291</v>
      </c>
    </row>
    <row r="121">
      <c r="A121" s="202" t="s">
        <v>1200</v>
      </c>
      <c r="B121" s="202" t="s">
        <v>1385</v>
      </c>
      <c r="C121" s="183">
        <v>1072.0</v>
      </c>
      <c r="D121" s="199" t="s">
        <v>3517</v>
      </c>
      <c r="E121" s="177" t="str">
        <f t="shared" si="3"/>
        <v>Lapsed</v>
      </c>
      <c r="F121" s="24">
        <v>1.0</v>
      </c>
      <c r="G121" s="200">
        <v>45043.0</v>
      </c>
      <c r="H121" s="180">
        <f t="shared" si="2"/>
        <v>45291</v>
      </c>
    </row>
    <row r="122">
      <c r="A122" s="202" t="s">
        <v>423</v>
      </c>
      <c r="B122" s="202" t="s">
        <v>1385</v>
      </c>
      <c r="C122" s="183">
        <v>1071.0</v>
      </c>
      <c r="D122" s="199" t="s">
        <v>3517</v>
      </c>
      <c r="E122" s="177" t="str">
        <f t="shared" si="3"/>
        <v>Lapsed</v>
      </c>
      <c r="F122" s="24">
        <v>1.0</v>
      </c>
      <c r="G122" s="200">
        <v>45043.0</v>
      </c>
      <c r="H122" s="180">
        <f t="shared" si="2"/>
        <v>45291</v>
      </c>
    </row>
    <row r="123">
      <c r="A123" s="202" t="s">
        <v>1085</v>
      </c>
      <c r="B123" s="202" t="s">
        <v>623</v>
      </c>
      <c r="C123" s="183">
        <v>1070.0</v>
      </c>
      <c r="D123" s="199" t="s">
        <v>3517</v>
      </c>
      <c r="E123" s="177" t="str">
        <f t="shared" si="3"/>
        <v>Lapsed</v>
      </c>
      <c r="F123" s="24">
        <v>1.0</v>
      </c>
      <c r="G123" s="200">
        <v>45407.0</v>
      </c>
      <c r="H123" s="180">
        <f t="shared" si="2"/>
        <v>45656</v>
      </c>
    </row>
    <row r="124">
      <c r="A124" s="202" t="s">
        <v>1394</v>
      </c>
      <c r="B124" s="202" t="s">
        <v>1395</v>
      </c>
      <c r="C124" s="183">
        <v>1069.0</v>
      </c>
      <c r="D124" s="199" t="s">
        <v>3517</v>
      </c>
      <c r="E124" s="177" t="str">
        <f t="shared" si="3"/>
        <v>Lapsed</v>
      </c>
      <c r="F124" s="24">
        <v>1.0</v>
      </c>
      <c r="G124" s="200">
        <v>45043.0</v>
      </c>
      <c r="H124" s="180">
        <f t="shared" si="2"/>
        <v>45291</v>
      </c>
    </row>
    <row r="125">
      <c r="A125" s="202" t="s">
        <v>1401</v>
      </c>
      <c r="B125" s="202" t="s">
        <v>1402</v>
      </c>
      <c r="C125" s="183">
        <v>1068.0</v>
      </c>
      <c r="D125" s="199" t="s">
        <v>3517</v>
      </c>
      <c r="E125" s="177" t="str">
        <f t="shared" si="3"/>
        <v>Lapsed</v>
      </c>
      <c r="F125" s="24">
        <v>1.0</v>
      </c>
      <c r="G125" s="200">
        <v>45357.0</v>
      </c>
      <c r="H125" s="180">
        <f t="shared" si="2"/>
        <v>45656</v>
      </c>
    </row>
    <row r="126">
      <c r="A126" s="202" t="s">
        <v>1164</v>
      </c>
      <c r="B126" s="202" t="s">
        <v>1011</v>
      </c>
      <c r="C126" s="183">
        <v>1067.0</v>
      </c>
      <c r="D126" s="199" t="s">
        <v>3519</v>
      </c>
      <c r="E126" s="177" t="str">
        <f t="shared" si="3"/>
        <v>Lapsed</v>
      </c>
      <c r="F126" s="24">
        <v>1.0</v>
      </c>
      <c r="G126" s="200">
        <v>45041.0</v>
      </c>
      <c r="H126" s="180">
        <f t="shared" si="2"/>
        <v>45291</v>
      </c>
    </row>
    <row r="127">
      <c r="A127" s="202" t="s">
        <v>488</v>
      </c>
      <c r="B127" s="202" t="s">
        <v>1104</v>
      </c>
      <c r="C127" s="183">
        <v>1066.0</v>
      </c>
      <c r="D127" s="199" t="s">
        <v>3519</v>
      </c>
      <c r="E127" s="177" t="str">
        <f t="shared" si="3"/>
        <v>Lapsed</v>
      </c>
      <c r="F127" s="24">
        <v>1.0</v>
      </c>
      <c r="G127" s="200">
        <v>45407.0</v>
      </c>
      <c r="H127" s="180">
        <f t="shared" si="2"/>
        <v>45656</v>
      </c>
    </row>
    <row r="128">
      <c r="A128" s="202" t="s">
        <v>1412</v>
      </c>
      <c r="B128" s="202" t="s">
        <v>1413</v>
      </c>
      <c r="C128" s="183">
        <v>1065.0</v>
      </c>
      <c r="D128" s="199" t="s">
        <v>3517</v>
      </c>
      <c r="E128" s="177" t="str">
        <f t="shared" si="3"/>
        <v>Active</v>
      </c>
      <c r="F128" s="24">
        <v>3.0</v>
      </c>
      <c r="G128" s="200">
        <v>45342.0</v>
      </c>
      <c r="H128" s="180">
        <f t="shared" si="2"/>
        <v>46387</v>
      </c>
    </row>
    <row r="129">
      <c r="A129" s="202" t="s">
        <v>677</v>
      </c>
      <c r="B129" s="202" t="s">
        <v>1418</v>
      </c>
      <c r="C129" s="183">
        <v>1064.0</v>
      </c>
      <c r="D129" s="199" t="s">
        <v>3517</v>
      </c>
      <c r="E129" s="177" t="str">
        <f t="shared" si="3"/>
        <v>Lapsed</v>
      </c>
      <c r="F129" s="24">
        <v>1.0</v>
      </c>
      <c r="G129" s="200">
        <v>45451.0</v>
      </c>
      <c r="H129" s="180">
        <f t="shared" si="2"/>
        <v>45656</v>
      </c>
    </row>
    <row r="130">
      <c r="A130" s="202" t="s">
        <v>1421</v>
      </c>
      <c r="B130" s="202" t="s">
        <v>1422</v>
      </c>
      <c r="C130" s="183">
        <v>1063.0</v>
      </c>
      <c r="D130" s="199" t="s">
        <v>3517</v>
      </c>
      <c r="E130" s="177" t="str">
        <f t="shared" si="3"/>
        <v>Lapsed</v>
      </c>
      <c r="F130" s="24">
        <v>1.0</v>
      </c>
      <c r="G130" s="200">
        <v>45299.0</v>
      </c>
      <c r="H130" s="180">
        <f t="shared" si="2"/>
        <v>45656</v>
      </c>
    </row>
    <row r="131">
      <c r="A131" s="202" t="s">
        <v>1425</v>
      </c>
      <c r="B131" s="202" t="s">
        <v>1426</v>
      </c>
      <c r="C131" s="183">
        <v>1062.0</v>
      </c>
      <c r="D131" s="199" t="s">
        <v>3517</v>
      </c>
      <c r="E131" s="177" t="str">
        <f t="shared" si="3"/>
        <v>Lapsed</v>
      </c>
      <c r="F131" s="24">
        <v>1.0</v>
      </c>
      <c r="G131" s="200">
        <v>45007.0</v>
      </c>
      <c r="H131" s="180">
        <f t="shared" si="2"/>
        <v>45291</v>
      </c>
    </row>
    <row r="132">
      <c r="A132" s="202" t="s">
        <v>1429</v>
      </c>
      <c r="B132" s="202" t="s">
        <v>1430</v>
      </c>
      <c r="C132" s="183">
        <v>1061.0</v>
      </c>
      <c r="D132" s="199" t="s">
        <v>3517</v>
      </c>
      <c r="E132" s="177" t="str">
        <f t="shared" si="3"/>
        <v>Lapsed</v>
      </c>
      <c r="F132" s="24">
        <v>1.0</v>
      </c>
      <c r="G132" s="200">
        <v>44906.0</v>
      </c>
      <c r="H132" s="180">
        <f t="shared" si="2"/>
        <v>44926</v>
      </c>
    </row>
    <row r="133">
      <c r="A133" s="202" t="s">
        <v>86</v>
      </c>
      <c r="B133" s="202" t="s">
        <v>1435</v>
      </c>
      <c r="C133" s="183">
        <v>1060.0</v>
      </c>
      <c r="D133" s="199" t="s">
        <v>3517</v>
      </c>
      <c r="E133" s="177" t="str">
        <f t="shared" si="3"/>
        <v>Lapsed</v>
      </c>
      <c r="F133" s="24">
        <v>1.0</v>
      </c>
      <c r="G133" s="200">
        <v>44834.0</v>
      </c>
      <c r="H133" s="180">
        <f t="shared" si="2"/>
        <v>44926</v>
      </c>
    </row>
    <row r="134">
      <c r="A134" s="202" t="s">
        <v>1440</v>
      </c>
      <c r="B134" s="202" t="s">
        <v>1441</v>
      </c>
      <c r="C134" s="183">
        <v>1059.0</v>
      </c>
      <c r="D134" s="199" t="s">
        <v>3517</v>
      </c>
      <c r="E134" s="177" t="str">
        <f t="shared" si="3"/>
        <v>Lapsed</v>
      </c>
      <c r="F134" s="24">
        <v>1.0</v>
      </c>
      <c r="G134" s="200">
        <v>44834.0</v>
      </c>
      <c r="H134" s="180">
        <f t="shared" si="2"/>
        <v>44926</v>
      </c>
    </row>
    <row r="135">
      <c r="A135" s="202" t="s">
        <v>1446</v>
      </c>
      <c r="B135" s="202" t="s">
        <v>1447</v>
      </c>
      <c r="C135" s="183">
        <v>1058.0</v>
      </c>
      <c r="D135" s="199" t="s">
        <v>3517</v>
      </c>
      <c r="E135" s="177" t="str">
        <f t="shared" si="3"/>
        <v>Lapsed</v>
      </c>
      <c r="F135" s="24">
        <v>1.0</v>
      </c>
      <c r="G135" s="200">
        <v>45044.0</v>
      </c>
      <c r="H135" s="180">
        <f t="shared" si="2"/>
        <v>45291</v>
      </c>
    </row>
    <row r="136">
      <c r="A136" s="202" t="s">
        <v>1450</v>
      </c>
      <c r="B136" s="202" t="s">
        <v>1451</v>
      </c>
      <c r="C136" s="183">
        <v>1057.0</v>
      </c>
      <c r="D136" s="199" t="s">
        <v>3517</v>
      </c>
      <c r="E136" s="177" t="str">
        <f t="shared" si="3"/>
        <v>Lapsed</v>
      </c>
      <c r="F136" s="24">
        <v>1.0</v>
      </c>
      <c r="G136" s="200">
        <v>44841.0</v>
      </c>
      <c r="H136" s="180">
        <f t="shared" si="2"/>
        <v>44926</v>
      </c>
    </row>
    <row r="137">
      <c r="A137" s="202" t="s">
        <v>1454</v>
      </c>
      <c r="B137" s="202" t="s">
        <v>1451</v>
      </c>
      <c r="C137" s="183">
        <v>1056.0</v>
      </c>
      <c r="D137" s="199" t="s">
        <v>3517</v>
      </c>
      <c r="E137" s="177" t="str">
        <f t="shared" si="3"/>
        <v>Lapsed</v>
      </c>
      <c r="F137" s="24">
        <v>1.0</v>
      </c>
      <c r="G137" s="200">
        <v>45059.0</v>
      </c>
      <c r="H137" s="180">
        <f t="shared" si="2"/>
        <v>45291</v>
      </c>
    </row>
    <row r="138">
      <c r="A138" s="202" t="s">
        <v>1457</v>
      </c>
      <c r="B138" s="202" t="s">
        <v>1458</v>
      </c>
      <c r="C138" s="183">
        <v>1055.0</v>
      </c>
      <c r="D138" s="199" t="s">
        <v>3519</v>
      </c>
      <c r="E138" s="177" t="str">
        <f t="shared" si="3"/>
        <v>Lapsed</v>
      </c>
      <c r="F138" s="24">
        <v>1.0</v>
      </c>
      <c r="G138" s="200">
        <v>44820.0</v>
      </c>
      <c r="H138" s="180">
        <f t="shared" si="2"/>
        <v>44926</v>
      </c>
    </row>
    <row r="139">
      <c r="A139" s="202" t="s">
        <v>1462</v>
      </c>
      <c r="B139" s="202" t="s">
        <v>1463</v>
      </c>
      <c r="C139" s="183">
        <v>1054.0</v>
      </c>
      <c r="D139" s="199" t="s">
        <v>3517</v>
      </c>
      <c r="E139" s="177" t="str">
        <f t="shared" si="3"/>
        <v>Lapsed</v>
      </c>
      <c r="F139" s="24">
        <v>1.0</v>
      </c>
      <c r="G139" s="200">
        <v>44810.0</v>
      </c>
      <c r="H139" s="180">
        <f t="shared" si="2"/>
        <v>44926</v>
      </c>
    </row>
    <row r="140">
      <c r="A140" s="202" t="s">
        <v>1466</v>
      </c>
      <c r="B140" s="202" t="s">
        <v>446</v>
      </c>
      <c r="C140" s="183">
        <v>1053.0</v>
      </c>
      <c r="D140" s="199" t="s">
        <v>3517</v>
      </c>
      <c r="E140" s="177" t="str">
        <f t="shared" si="3"/>
        <v>Lapsed</v>
      </c>
      <c r="F140" s="24">
        <v>1.0</v>
      </c>
      <c r="G140" s="200">
        <v>44798.0</v>
      </c>
      <c r="H140" s="180">
        <f t="shared" si="2"/>
        <v>44926</v>
      </c>
    </row>
    <row r="141">
      <c r="A141" s="202" t="s">
        <v>597</v>
      </c>
      <c r="B141" s="202" t="s">
        <v>1467</v>
      </c>
      <c r="C141" s="183">
        <v>1052.0</v>
      </c>
      <c r="D141" s="199" t="s">
        <v>3517</v>
      </c>
      <c r="E141" s="177" t="str">
        <f t="shared" si="3"/>
        <v>Lapsed</v>
      </c>
      <c r="F141" s="24">
        <v>1.0</v>
      </c>
      <c r="G141" s="200">
        <v>44786.0</v>
      </c>
      <c r="H141" s="180">
        <f t="shared" si="2"/>
        <v>44926</v>
      </c>
    </row>
    <row r="142">
      <c r="A142" s="202" t="s">
        <v>1470</v>
      </c>
      <c r="B142" s="202" t="s">
        <v>1471</v>
      </c>
      <c r="C142" s="183">
        <v>1051.0</v>
      </c>
      <c r="D142" s="199" t="s">
        <v>3517</v>
      </c>
      <c r="E142" s="177" t="str">
        <f t="shared" si="3"/>
        <v>Lapsed</v>
      </c>
      <c r="F142" s="24">
        <v>1.0</v>
      </c>
      <c r="G142" s="200">
        <v>45292.0</v>
      </c>
      <c r="H142" s="180">
        <f t="shared" si="2"/>
        <v>45656</v>
      </c>
    </row>
    <row r="143">
      <c r="A143" s="202" t="s">
        <v>1474</v>
      </c>
      <c r="B143" s="202" t="s">
        <v>1475</v>
      </c>
      <c r="C143" s="183">
        <v>1050.0</v>
      </c>
      <c r="D143" s="199" t="s">
        <v>3517</v>
      </c>
      <c r="E143" s="177" t="str">
        <f t="shared" si="3"/>
        <v>Lapsed</v>
      </c>
      <c r="F143" s="24">
        <v>1.0</v>
      </c>
      <c r="G143" s="200">
        <v>44956.0</v>
      </c>
      <c r="H143" s="180">
        <f t="shared" si="2"/>
        <v>45291</v>
      </c>
    </row>
    <row r="144">
      <c r="A144" s="202" t="s">
        <v>1479</v>
      </c>
      <c r="B144" s="202" t="s">
        <v>1480</v>
      </c>
      <c r="C144" s="183">
        <v>1049.0</v>
      </c>
      <c r="D144" s="199" t="s">
        <v>3517</v>
      </c>
      <c r="E144" s="177" t="str">
        <f t="shared" si="3"/>
        <v>Lapsed</v>
      </c>
      <c r="F144" s="24">
        <v>1.0</v>
      </c>
      <c r="G144" s="200">
        <v>44786.0</v>
      </c>
      <c r="H144" s="180">
        <f t="shared" si="2"/>
        <v>44926</v>
      </c>
    </row>
    <row r="145">
      <c r="A145" s="202" t="s">
        <v>1485</v>
      </c>
      <c r="B145" s="202" t="s">
        <v>1486</v>
      </c>
      <c r="C145" s="183">
        <v>1048.0</v>
      </c>
      <c r="D145" s="199" t="s">
        <v>3519</v>
      </c>
      <c r="E145" s="177" t="str">
        <f t="shared" si="3"/>
        <v>Lapsed</v>
      </c>
      <c r="F145" s="24">
        <v>1.0</v>
      </c>
      <c r="G145" s="200">
        <v>44786.0</v>
      </c>
      <c r="H145" s="180">
        <f t="shared" si="2"/>
        <v>44926</v>
      </c>
    </row>
    <row r="146">
      <c r="A146" s="202" t="s">
        <v>1491</v>
      </c>
      <c r="B146" s="202" t="s">
        <v>1492</v>
      </c>
      <c r="C146" s="183">
        <v>1047.0</v>
      </c>
      <c r="D146" s="199" t="s">
        <v>3517</v>
      </c>
      <c r="E146" s="177" t="str">
        <f t="shared" si="3"/>
        <v>Lapsed</v>
      </c>
      <c r="F146" s="24">
        <v>1.0</v>
      </c>
      <c r="G146" s="200">
        <v>44786.0</v>
      </c>
      <c r="H146" s="180">
        <f t="shared" si="2"/>
        <v>44926</v>
      </c>
    </row>
    <row r="147">
      <c r="A147" s="202" t="s">
        <v>1498</v>
      </c>
      <c r="B147" s="202" t="s">
        <v>1499</v>
      </c>
      <c r="C147" s="183">
        <v>1046.0</v>
      </c>
      <c r="D147" s="199" t="s">
        <v>3517</v>
      </c>
      <c r="E147" s="177" t="str">
        <f t="shared" si="3"/>
        <v>Lapsed</v>
      </c>
      <c r="F147" s="24">
        <v>1.0</v>
      </c>
      <c r="G147" s="200">
        <v>44759.0</v>
      </c>
      <c r="H147" s="180">
        <f t="shared" si="2"/>
        <v>44926</v>
      </c>
    </row>
    <row r="148">
      <c r="A148" s="202" t="s">
        <v>1506</v>
      </c>
      <c r="B148" s="202" t="s">
        <v>1507</v>
      </c>
      <c r="C148" s="183">
        <v>1045.0</v>
      </c>
      <c r="D148" s="199" t="s">
        <v>3517</v>
      </c>
      <c r="E148" s="177" t="str">
        <f t="shared" si="3"/>
        <v>Lapsed</v>
      </c>
      <c r="F148" s="24">
        <v>1.0</v>
      </c>
      <c r="G148" s="200">
        <v>44751.0</v>
      </c>
      <c r="H148" s="180">
        <f t="shared" si="2"/>
        <v>44926</v>
      </c>
    </row>
    <row r="149">
      <c r="A149" s="202" t="s">
        <v>1510</v>
      </c>
      <c r="B149" s="202" t="s">
        <v>1507</v>
      </c>
      <c r="C149" s="183">
        <v>1044.0</v>
      </c>
      <c r="D149" s="199" t="s">
        <v>3517</v>
      </c>
      <c r="E149" s="177" t="str">
        <f t="shared" si="3"/>
        <v>Lapsed</v>
      </c>
      <c r="F149" s="24">
        <v>1.0</v>
      </c>
      <c r="G149" s="200">
        <v>44751.0</v>
      </c>
      <c r="H149" s="180">
        <f t="shared" si="2"/>
        <v>44926</v>
      </c>
    </row>
    <row r="150">
      <c r="A150" s="202" t="s">
        <v>1512</v>
      </c>
      <c r="B150" s="202" t="s">
        <v>1513</v>
      </c>
      <c r="C150" s="183">
        <v>1043.0</v>
      </c>
      <c r="D150" s="199" t="s">
        <v>3517</v>
      </c>
      <c r="E150" s="177" t="str">
        <f t="shared" si="3"/>
        <v>Lapsed</v>
      </c>
      <c r="F150" s="24">
        <v>1.0</v>
      </c>
      <c r="G150" s="200">
        <v>45390.0</v>
      </c>
      <c r="H150" s="180">
        <f t="shared" si="2"/>
        <v>45656</v>
      </c>
    </row>
    <row r="151">
      <c r="A151" s="202" t="s">
        <v>1240</v>
      </c>
      <c r="B151" s="202" t="s">
        <v>495</v>
      </c>
      <c r="C151" s="183">
        <v>1042.0</v>
      </c>
      <c r="D151" s="199" t="s">
        <v>3517</v>
      </c>
      <c r="E151" s="177" t="str">
        <f t="shared" si="3"/>
        <v>Lapsed</v>
      </c>
      <c r="F151" s="24">
        <v>1.0</v>
      </c>
      <c r="G151" s="200">
        <v>45296.0</v>
      </c>
      <c r="H151" s="180">
        <f t="shared" si="2"/>
        <v>45656</v>
      </c>
    </row>
    <row r="152">
      <c r="A152" s="202" t="s">
        <v>1514</v>
      </c>
      <c r="B152" s="202" t="s">
        <v>1515</v>
      </c>
      <c r="C152" s="183">
        <v>1041.0</v>
      </c>
      <c r="D152" s="199" t="s">
        <v>3517</v>
      </c>
      <c r="E152" s="177" t="str">
        <f t="shared" si="3"/>
        <v>Lapsed</v>
      </c>
      <c r="F152" s="24">
        <v>1.0</v>
      </c>
      <c r="G152" s="200">
        <v>45123.0</v>
      </c>
      <c r="H152" s="180">
        <f t="shared" si="2"/>
        <v>45291</v>
      </c>
    </row>
    <row r="153">
      <c r="A153" s="202" t="s">
        <v>326</v>
      </c>
      <c r="B153" s="202" t="s">
        <v>1520</v>
      </c>
      <c r="C153" s="183">
        <v>1040.0</v>
      </c>
      <c r="D153" s="199" t="s">
        <v>3517</v>
      </c>
      <c r="E153" s="177" t="str">
        <f t="shared" si="3"/>
        <v>Lapsed</v>
      </c>
      <c r="F153" s="24">
        <v>1.0</v>
      </c>
      <c r="G153" s="200">
        <v>44751.0</v>
      </c>
      <c r="H153" s="180">
        <f t="shared" si="2"/>
        <v>44926</v>
      </c>
    </row>
    <row r="154">
      <c r="A154" s="202" t="s">
        <v>630</v>
      </c>
      <c r="B154" s="202" t="s">
        <v>1522</v>
      </c>
      <c r="C154" s="183">
        <v>1039.0</v>
      </c>
      <c r="D154" s="199" t="s">
        <v>3519</v>
      </c>
      <c r="E154" s="177" t="str">
        <f t="shared" si="3"/>
        <v>Lapsed</v>
      </c>
      <c r="F154" s="24">
        <v>1.0</v>
      </c>
      <c r="G154" s="200">
        <v>44751.0</v>
      </c>
      <c r="H154" s="180">
        <f t="shared" si="2"/>
        <v>44926</v>
      </c>
    </row>
    <row r="155">
      <c r="A155" s="202" t="s">
        <v>1527</v>
      </c>
      <c r="B155" s="202" t="s">
        <v>1528</v>
      </c>
      <c r="C155" s="183">
        <v>1038.0</v>
      </c>
      <c r="D155" s="199" t="s">
        <v>3519</v>
      </c>
      <c r="E155" s="177" t="str">
        <f t="shared" si="3"/>
        <v>Lapsed</v>
      </c>
      <c r="F155" s="24">
        <v>1.0</v>
      </c>
      <c r="G155" s="200">
        <v>44751.0</v>
      </c>
      <c r="H155" s="180">
        <f t="shared" si="2"/>
        <v>44926</v>
      </c>
    </row>
    <row r="156">
      <c r="A156" s="202" t="s">
        <v>1533</v>
      </c>
      <c r="B156" s="202" t="s">
        <v>1534</v>
      </c>
      <c r="C156" s="183">
        <v>1037.0</v>
      </c>
      <c r="D156" s="199" t="s">
        <v>3517</v>
      </c>
      <c r="E156" s="177" t="str">
        <f t="shared" si="3"/>
        <v>Lapsed</v>
      </c>
      <c r="F156" s="24">
        <v>1.0</v>
      </c>
      <c r="G156" s="200">
        <v>44751.0</v>
      </c>
      <c r="H156" s="180">
        <f t="shared" si="2"/>
        <v>44926</v>
      </c>
    </row>
    <row r="157">
      <c r="A157" s="202" t="s">
        <v>1539</v>
      </c>
      <c r="B157" s="202" t="s">
        <v>1540</v>
      </c>
      <c r="C157" s="183">
        <v>1036.0</v>
      </c>
      <c r="D157" s="199" t="s">
        <v>3517</v>
      </c>
      <c r="E157" s="177" t="str">
        <f t="shared" si="3"/>
        <v>Lapsed</v>
      </c>
      <c r="F157" s="24">
        <v>1.0</v>
      </c>
      <c r="G157" s="200">
        <v>45447.0</v>
      </c>
      <c r="H157" s="180">
        <f t="shared" si="2"/>
        <v>45656</v>
      </c>
    </row>
    <row r="158">
      <c r="A158" s="202" t="s">
        <v>1545</v>
      </c>
      <c r="B158" s="202" t="s">
        <v>1540</v>
      </c>
      <c r="C158" s="183">
        <v>1036.0</v>
      </c>
      <c r="D158" s="199" t="s">
        <v>3517</v>
      </c>
      <c r="E158" s="177" t="str">
        <f t="shared" si="3"/>
        <v>Lapsed</v>
      </c>
      <c r="F158" s="24">
        <v>1.0</v>
      </c>
      <c r="G158" s="200">
        <v>44751.0</v>
      </c>
      <c r="H158" s="180">
        <f t="shared" si="2"/>
        <v>44926</v>
      </c>
    </row>
    <row r="159">
      <c r="A159" s="202" t="s">
        <v>1546</v>
      </c>
      <c r="B159" s="202" t="s">
        <v>1547</v>
      </c>
      <c r="C159" s="183">
        <v>1035.0</v>
      </c>
      <c r="D159" s="199" t="s">
        <v>3517</v>
      </c>
      <c r="E159" s="177" t="str">
        <f t="shared" si="3"/>
        <v>Lapsed</v>
      </c>
      <c r="F159" s="24">
        <v>1.0</v>
      </c>
      <c r="G159" s="200">
        <v>44722.0</v>
      </c>
      <c r="H159" s="180">
        <f t="shared" si="2"/>
        <v>44926</v>
      </c>
    </row>
    <row r="160">
      <c r="A160" s="202" t="s">
        <v>1551</v>
      </c>
      <c r="B160" s="202" t="s">
        <v>1552</v>
      </c>
      <c r="C160" s="183">
        <v>1034.0</v>
      </c>
      <c r="D160" s="175" t="s">
        <v>3517</v>
      </c>
      <c r="E160" s="177" t="str">
        <f t="shared" si="3"/>
        <v>Lapsed</v>
      </c>
      <c r="F160" s="24">
        <v>1.0</v>
      </c>
      <c r="G160" s="200">
        <v>44700.0</v>
      </c>
      <c r="H160" s="180">
        <f t="shared" si="2"/>
        <v>44926</v>
      </c>
    </row>
    <row r="161">
      <c r="A161" s="202" t="s">
        <v>1555</v>
      </c>
      <c r="B161" s="202" t="s">
        <v>1556</v>
      </c>
      <c r="C161" s="183">
        <v>1033.0</v>
      </c>
      <c r="D161" s="199" t="s">
        <v>3517</v>
      </c>
      <c r="E161" s="177" t="str">
        <f t="shared" si="3"/>
        <v>Lapsed</v>
      </c>
      <c r="F161" s="24">
        <v>1.0</v>
      </c>
      <c r="G161" s="200">
        <v>44722.0</v>
      </c>
      <c r="H161" s="180">
        <f t="shared" si="2"/>
        <v>44926</v>
      </c>
    </row>
    <row r="162">
      <c r="A162" s="202" t="s">
        <v>560</v>
      </c>
      <c r="B162" s="202" t="s">
        <v>1562</v>
      </c>
      <c r="C162" s="183">
        <v>1032.0</v>
      </c>
      <c r="D162" s="199" t="s">
        <v>3519</v>
      </c>
      <c r="E162" s="177" t="str">
        <f t="shared" si="3"/>
        <v>Lapsed</v>
      </c>
      <c r="F162" s="24">
        <v>1.0</v>
      </c>
      <c r="G162" s="200">
        <v>44722.0</v>
      </c>
      <c r="H162" s="180">
        <f t="shared" si="2"/>
        <v>44926</v>
      </c>
    </row>
    <row r="163">
      <c r="A163" s="202" t="s">
        <v>1565</v>
      </c>
      <c r="B163" s="202" t="s">
        <v>1566</v>
      </c>
      <c r="C163" s="183">
        <v>1031.0</v>
      </c>
      <c r="D163" s="199" t="s">
        <v>3517</v>
      </c>
      <c r="E163" s="177" t="str">
        <f t="shared" si="3"/>
        <v>Lapsed</v>
      </c>
      <c r="F163" s="24">
        <v>1.0</v>
      </c>
      <c r="G163" s="200">
        <v>44724.0</v>
      </c>
      <c r="H163" s="180">
        <f t="shared" si="2"/>
        <v>44926</v>
      </c>
    </row>
    <row r="164">
      <c r="A164" s="202" t="s">
        <v>1570</v>
      </c>
      <c r="B164" s="202" t="s">
        <v>1571</v>
      </c>
      <c r="C164" s="183">
        <v>1030.0</v>
      </c>
      <c r="D164" s="199" t="s">
        <v>3517</v>
      </c>
      <c r="E164" s="177" t="str">
        <f t="shared" si="3"/>
        <v>Lapsed</v>
      </c>
      <c r="F164" s="24">
        <v>1.0</v>
      </c>
      <c r="G164" s="200">
        <v>44722.0</v>
      </c>
      <c r="H164" s="180">
        <f t="shared" si="2"/>
        <v>44926</v>
      </c>
    </row>
    <row r="165">
      <c r="A165" s="202" t="s">
        <v>1574</v>
      </c>
      <c r="B165" s="202" t="s">
        <v>1575</v>
      </c>
      <c r="C165" s="183">
        <v>1029.0</v>
      </c>
      <c r="D165" s="199" t="s">
        <v>3517</v>
      </c>
      <c r="E165" s="177" t="str">
        <f t="shared" si="3"/>
        <v>Lapsed</v>
      </c>
      <c r="F165" s="24">
        <v>1.0</v>
      </c>
      <c r="G165" s="200">
        <v>44703.0</v>
      </c>
      <c r="H165" s="180">
        <f t="shared" si="2"/>
        <v>44926</v>
      </c>
    </row>
    <row r="166">
      <c r="A166" s="202" t="s">
        <v>1341</v>
      </c>
      <c r="B166" s="202" t="s">
        <v>802</v>
      </c>
      <c r="C166" s="183">
        <v>1028.0</v>
      </c>
      <c r="D166" s="199" t="s">
        <v>3517</v>
      </c>
      <c r="E166" s="177" t="str">
        <f t="shared" si="3"/>
        <v>Lapsed</v>
      </c>
      <c r="F166" s="24">
        <v>1.0</v>
      </c>
      <c r="G166" s="200">
        <v>45068.0</v>
      </c>
      <c r="H166" s="180">
        <f t="shared" si="2"/>
        <v>45291</v>
      </c>
    </row>
    <row r="167">
      <c r="A167" s="202" t="s">
        <v>1582</v>
      </c>
      <c r="B167" s="202" t="s">
        <v>1583</v>
      </c>
      <c r="C167" s="183">
        <v>1027.0</v>
      </c>
      <c r="D167" s="199" t="s">
        <v>3519</v>
      </c>
      <c r="E167" s="177" t="str">
        <f t="shared" si="3"/>
        <v>Lapsed</v>
      </c>
      <c r="F167" s="24">
        <v>1.0</v>
      </c>
      <c r="G167" s="200">
        <v>45068.0</v>
      </c>
      <c r="H167" s="180">
        <f t="shared" si="2"/>
        <v>45291</v>
      </c>
    </row>
    <row r="168">
      <c r="A168" s="202" t="s">
        <v>1586</v>
      </c>
      <c r="B168" s="202" t="s">
        <v>1587</v>
      </c>
      <c r="C168" s="183">
        <v>1026.0</v>
      </c>
      <c r="D168" s="202" t="s">
        <v>3517</v>
      </c>
      <c r="E168" s="177" t="str">
        <f t="shared" si="3"/>
        <v>Lapsed</v>
      </c>
      <c r="F168" s="24">
        <v>1.0</v>
      </c>
      <c r="G168" s="200">
        <v>44703.0</v>
      </c>
      <c r="H168" s="180">
        <f t="shared" si="2"/>
        <v>44926</v>
      </c>
    </row>
    <row r="169">
      <c r="A169" s="202" t="s">
        <v>1589</v>
      </c>
      <c r="B169" s="202" t="s">
        <v>503</v>
      </c>
      <c r="C169" s="183">
        <v>1025.0</v>
      </c>
      <c r="D169" s="202" t="s">
        <v>3519</v>
      </c>
      <c r="E169" s="177" t="str">
        <f t="shared" si="3"/>
        <v>Lapsed</v>
      </c>
      <c r="F169" s="24">
        <v>1.0</v>
      </c>
      <c r="G169" s="200">
        <v>44703.0</v>
      </c>
      <c r="H169" s="180">
        <f t="shared" si="2"/>
        <v>44926</v>
      </c>
    </row>
    <row r="170">
      <c r="A170" s="202" t="s">
        <v>1592</v>
      </c>
      <c r="B170" s="202" t="s">
        <v>1593</v>
      </c>
      <c r="C170" s="183">
        <v>1024.0</v>
      </c>
      <c r="D170" s="202" t="s">
        <v>3519</v>
      </c>
      <c r="E170" s="177" t="str">
        <f t="shared" si="3"/>
        <v>Lapsed</v>
      </c>
      <c r="F170" s="24">
        <v>1.0</v>
      </c>
      <c r="G170" s="200">
        <v>44703.0</v>
      </c>
      <c r="H170" s="180">
        <f t="shared" si="2"/>
        <v>44926</v>
      </c>
    </row>
    <row r="171">
      <c r="A171" s="202" t="s">
        <v>1598</v>
      </c>
      <c r="B171" s="202" t="s">
        <v>1599</v>
      </c>
      <c r="C171" s="183">
        <v>1023.0</v>
      </c>
      <c r="D171" s="202" t="s">
        <v>3519</v>
      </c>
      <c r="E171" s="177" t="str">
        <f t="shared" si="3"/>
        <v>Lapsed</v>
      </c>
      <c r="F171" s="24">
        <v>1.0</v>
      </c>
      <c r="G171" s="200">
        <v>45044.0</v>
      </c>
      <c r="H171" s="180">
        <f t="shared" si="2"/>
        <v>45291</v>
      </c>
    </row>
    <row r="172">
      <c r="A172" s="202" t="s">
        <v>1602</v>
      </c>
      <c r="B172" s="202" t="s">
        <v>1599</v>
      </c>
      <c r="C172" s="183">
        <v>1022.0</v>
      </c>
      <c r="D172" s="202" t="s">
        <v>3519</v>
      </c>
      <c r="E172" s="177" t="str">
        <f t="shared" si="3"/>
        <v>Lapsed</v>
      </c>
      <c r="F172" s="24">
        <v>1.0</v>
      </c>
      <c r="G172" s="200">
        <v>45044.0</v>
      </c>
      <c r="H172" s="180">
        <f t="shared" si="2"/>
        <v>45291</v>
      </c>
    </row>
    <row r="173">
      <c r="A173" s="202" t="s">
        <v>1603</v>
      </c>
      <c r="B173" s="202" t="s">
        <v>1604</v>
      </c>
      <c r="C173" s="183">
        <v>1021.0</v>
      </c>
      <c r="D173" s="202" t="s">
        <v>3517</v>
      </c>
      <c r="E173" s="177" t="str">
        <f t="shared" si="3"/>
        <v>Lapsed</v>
      </c>
      <c r="F173" s="24">
        <v>1.0</v>
      </c>
      <c r="G173" s="200">
        <v>45366.0</v>
      </c>
      <c r="H173" s="180">
        <f t="shared" si="2"/>
        <v>45656</v>
      </c>
    </row>
    <row r="174">
      <c r="A174" s="202" t="s">
        <v>677</v>
      </c>
      <c r="B174" s="202" t="s">
        <v>1607</v>
      </c>
      <c r="C174" s="183">
        <v>1020.0</v>
      </c>
      <c r="D174" s="202" t="s">
        <v>3517</v>
      </c>
      <c r="E174" s="177" t="str">
        <f t="shared" si="3"/>
        <v>Lapsed</v>
      </c>
      <c r="F174" s="24">
        <v>1.0</v>
      </c>
      <c r="G174" s="200">
        <v>44703.0</v>
      </c>
      <c r="H174" s="180">
        <f t="shared" si="2"/>
        <v>44926</v>
      </c>
    </row>
    <row r="175">
      <c r="A175" s="202" t="s">
        <v>1551</v>
      </c>
      <c r="B175" s="175" t="s">
        <v>1611</v>
      </c>
      <c r="C175" s="183">
        <v>1019.0</v>
      </c>
      <c r="D175" s="202" t="s">
        <v>3517</v>
      </c>
      <c r="E175" s="177" t="str">
        <f t="shared" si="3"/>
        <v>Lapsed</v>
      </c>
      <c r="F175" s="24">
        <v>1.0</v>
      </c>
      <c r="G175" s="200">
        <v>44703.0</v>
      </c>
      <c r="H175" s="180">
        <f t="shared" si="2"/>
        <v>44926</v>
      </c>
    </row>
    <row r="176">
      <c r="A176" s="202" t="s">
        <v>943</v>
      </c>
      <c r="B176" s="202" t="s">
        <v>1613</v>
      </c>
      <c r="C176" s="183">
        <v>1018.0</v>
      </c>
      <c r="D176" s="202" t="s">
        <v>3517</v>
      </c>
      <c r="E176" s="177" t="str">
        <f t="shared" si="3"/>
        <v>Lapsed</v>
      </c>
      <c r="F176" s="24">
        <v>1.0</v>
      </c>
      <c r="G176" s="200">
        <v>44703.0</v>
      </c>
      <c r="H176" s="180">
        <f t="shared" si="2"/>
        <v>44926</v>
      </c>
    </row>
    <row r="177">
      <c r="A177" s="202" t="s">
        <v>1355</v>
      </c>
      <c r="B177" s="202" t="s">
        <v>1616</v>
      </c>
      <c r="C177" s="183">
        <v>1017.0</v>
      </c>
      <c r="D177" s="202" t="s">
        <v>3517</v>
      </c>
      <c r="E177" s="177" t="str">
        <f t="shared" si="3"/>
        <v>Lapsed</v>
      </c>
      <c r="F177" s="24">
        <v>1.0</v>
      </c>
      <c r="G177" s="200">
        <v>45451.0</v>
      </c>
      <c r="H177" s="180">
        <f t="shared" si="2"/>
        <v>45656</v>
      </c>
    </row>
    <row r="178">
      <c r="A178" s="202" t="s">
        <v>423</v>
      </c>
      <c r="B178" s="202" t="s">
        <v>1619</v>
      </c>
      <c r="C178" s="183">
        <v>1016.0</v>
      </c>
      <c r="D178" s="202" t="s">
        <v>3517</v>
      </c>
      <c r="E178" s="177" t="str">
        <f t="shared" si="3"/>
        <v>Lapsed</v>
      </c>
      <c r="F178" s="24">
        <v>1.0</v>
      </c>
      <c r="G178" s="200">
        <v>44703.0</v>
      </c>
      <c r="H178" s="180">
        <f t="shared" si="2"/>
        <v>44926</v>
      </c>
    </row>
    <row r="179">
      <c r="A179" s="202" t="s">
        <v>1230</v>
      </c>
      <c r="B179" s="202" t="s">
        <v>1622</v>
      </c>
      <c r="C179" s="183">
        <v>1015.0</v>
      </c>
      <c r="D179" s="202" t="s">
        <v>3517</v>
      </c>
      <c r="E179" s="177" t="str">
        <f t="shared" si="3"/>
        <v>Lapsed</v>
      </c>
      <c r="F179" s="24">
        <v>1.0</v>
      </c>
      <c r="G179" s="200">
        <v>44703.0</v>
      </c>
      <c r="H179" s="180">
        <f t="shared" si="2"/>
        <v>44926</v>
      </c>
    </row>
    <row r="180">
      <c r="A180" s="202" t="s">
        <v>326</v>
      </c>
      <c r="B180" s="202" t="s">
        <v>433</v>
      </c>
      <c r="C180" s="183">
        <v>1014.0</v>
      </c>
      <c r="D180" s="202" t="s">
        <v>3519</v>
      </c>
      <c r="E180" s="177" t="str">
        <f t="shared" si="3"/>
        <v>Lapsed</v>
      </c>
      <c r="F180" s="24">
        <v>1.0</v>
      </c>
      <c r="G180" s="200">
        <v>44703.0</v>
      </c>
      <c r="H180" s="180">
        <f t="shared" si="2"/>
        <v>44926</v>
      </c>
    </row>
    <row r="181">
      <c r="A181" s="202" t="s">
        <v>1099</v>
      </c>
      <c r="B181" s="202" t="s">
        <v>1100</v>
      </c>
      <c r="C181" s="183">
        <v>1013.0</v>
      </c>
      <c r="D181" s="202" t="s">
        <v>3517</v>
      </c>
      <c r="E181" s="177" t="str">
        <f t="shared" si="3"/>
        <v>Lapsed</v>
      </c>
      <c r="F181" s="24">
        <v>1.0</v>
      </c>
      <c r="G181" s="200">
        <v>44713.0</v>
      </c>
      <c r="H181" s="180">
        <f t="shared" si="2"/>
        <v>44926</v>
      </c>
    </row>
    <row r="182">
      <c r="A182" s="202" t="s">
        <v>1631</v>
      </c>
      <c r="B182" s="202" t="s">
        <v>1632</v>
      </c>
      <c r="C182" s="183">
        <v>1012.0</v>
      </c>
      <c r="D182" s="202" t="s">
        <v>3517</v>
      </c>
      <c r="E182" s="177" t="str">
        <f t="shared" si="3"/>
        <v>Lapsed</v>
      </c>
      <c r="F182" s="24">
        <v>1.0</v>
      </c>
      <c r="G182" s="200">
        <v>44713.0</v>
      </c>
      <c r="H182" s="180">
        <f t="shared" si="2"/>
        <v>44926</v>
      </c>
    </row>
    <row r="183">
      <c r="A183" s="202" t="s">
        <v>1638</v>
      </c>
      <c r="B183" s="202" t="s">
        <v>1639</v>
      </c>
      <c r="C183" s="183">
        <v>1011.0</v>
      </c>
      <c r="D183" s="202" t="s">
        <v>3517</v>
      </c>
      <c r="E183" s="177" t="str">
        <f t="shared" si="3"/>
        <v>Lapsed</v>
      </c>
      <c r="F183" s="24">
        <v>1.0</v>
      </c>
      <c r="G183" s="200">
        <v>45451.0</v>
      </c>
      <c r="H183" s="180">
        <f t="shared" si="2"/>
        <v>45656</v>
      </c>
    </row>
    <row r="184">
      <c r="A184" s="202" t="s">
        <v>133</v>
      </c>
      <c r="B184" s="202" t="s">
        <v>1643</v>
      </c>
      <c r="C184" s="183">
        <v>1010.0</v>
      </c>
      <c r="D184" s="202" t="s">
        <v>3519</v>
      </c>
      <c r="E184" s="177" t="str">
        <f t="shared" si="3"/>
        <v>Lapsed</v>
      </c>
      <c r="F184" s="24">
        <v>1.0</v>
      </c>
      <c r="G184" s="200">
        <v>44714.0</v>
      </c>
      <c r="H184" s="180">
        <f t="shared" si="2"/>
        <v>44926</v>
      </c>
    </row>
    <row r="185">
      <c r="A185" s="202" t="s">
        <v>1647</v>
      </c>
      <c r="B185" s="202" t="s">
        <v>709</v>
      </c>
      <c r="C185" s="183">
        <v>1009.0</v>
      </c>
      <c r="D185" s="202" t="s">
        <v>3519</v>
      </c>
      <c r="E185" s="177" t="str">
        <f t="shared" si="3"/>
        <v>Active</v>
      </c>
      <c r="F185" s="24">
        <v>3.0</v>
      </c>
      <c r="G185" s="200">
        <v>45351.0</v>
      </c>
      <c r="H185" s="180">
        <f t="shared" si="2"/>
        <v>46387</v>
      </c>
    </row>
    <row r="186">
      <c r="A186" s="202" t="s">
        <v>1649</v>
      </c>
      <c r="B186" s="202" t="s">
        <v>1650</v>
      </c>
      <c r="C186" s="183">
        <v>1008.0</v>
      </c>
      <c r="D186" s="202" t="s">
        <v>3517</v>
      </c>
      <c r="E186" s="177" t="str">
        <f t="shared" si="3"/>
        <v>Lapsed</v>
      </c>
      <c r="F186" s="24">
        <v>1.0</v>
      </c>
      <c r="G186" s="200">
        <v>44692.0</v>
      </c>
      <c r="H186" s="180">
        <f t="shared" si="2"/>
        <v>44926</v>
      </c>
    </row>
    <row r="187">
      <c r="A187" s="202" t="s">
        <v>1654</v>
      </c>
      <c r="B187" s="202" t="s">
        <v>32</v>
      </c>
      <c r="C187" s="183">
        <v>1007.0</v>
      </c>
      <c r="D187" s="202" t="s">
        <v>3519</v>
      </c>
      <c r="E187" s="177" t="str">
        <f t="shared" si="3"/>
        <v>Lapsed</v>
      </c>
      <c r="F187" s="24">
        <v>1.0</v>
      </c>
      <c r="G187" s="200">
        <v>45205.0</v>
      </c>
      <c r="H187" s="180">
        <f t="shared" si="2"/>
        <v>45291</v>
      </c>
    </row>
    <row r="188">
      <c r="A188" s="202" t="s">
        <v>1656</v>
      </c>
      <c r="B188" s="202" t="s">
        <v>1657</v>
      </c>
      <c r="C188" s="183">
        <v>1006.0</v>
      </c>
      <c r="D188" s="202" t="s">
        <v>3517</v>
      </c>
      <c r="E188" s="177" t="str">
        <f t="shared" si="3"/>
        <v>Lapsed</v>
      </c>
      <c r="F188" s="24">
        <v>1.0</v>
      </c>
      <c r="G188" s="200">
        <v>44692.0</v>
      </c>
      <c r="H188" s="180">
        <f t="shared" si="2"/>
        <v>44926</v>
      </c>
    </row>
    <row r="189">
      <c r="A189" s="202" t="s">
        <v>1661</v>
      </c>
      <c r="B189" s="202" t="s">
        <v>1662</v>
      </c>
      <c r="C189" s="183">
        <v>1005.0</v>
      </c>
      <c r="D189" s="202" t="s">
        <v>3517</v>
      </c>
      <c r="E189" s="177" t="str">
        <f t="shared" si="3"/>
        <v>Lapsed</v>
      </c>
      <c r="F189" s="24">
        <v>1.0</v>
      </c>
      <c r="G189" s="200">
        <v>44692.0</v>
      </c>
      <c r="H189" s="180">
        <f t="shared" si="2"/>
        <v>44926</v>
      </c>
    </row>
    <row r="190">
      <c r="A190" s="202" t="s">
        <v>1668</v>
      </c>
      <c r="B190" s="198" t="s">
        <v>1669</v>
      </c>
      <c r="C190" s="183">
        <v>1004.0</v>
      </c>
      <c r="D190" s="202" t="s">
        <v>3519</v>
      </c>
      <c r="E190" s="177" t="str">
        <f t="shared" si="3"/>
        <v>Lapsed</v>
      </c>
      <c r="F190" s="24">
        <v>1.0</v>
      </c>
      <c r="G190" s="200">
        <v>45205.0</v>
      </c>
      <c r="H190" s="180">
        <f t="shared" si="2"/>
        <v>45291</v>
      </c>
    </row>
    <row r="191">
      <c r="A191" s="202" t="s">
        <v>1678</v>
      </c>
      <c r="B191" s="202" t="s">
        <v>1674</v>
      </c>
      <c r="C191" s="183">
        <v>1002.0</v>
      </c>
      <c r="D191" s="202" t="s">
        <v>3517</v>
      </c>
      <c r="E191" s="177" t="str">
        <f t="shared" si="3"/>
        <v>Lapsed</v>
      </c>
      <c r="F191" s="24">
        <v>1.0</v>
      </c>
      <c r="G191" s="200">
        <v>45123.0</v>
      </c>
      <c r="H191" s="180">
        <f t="shared" si="2"/>
        <v>45291</v>
      </c>
    </row>
    <row r="192">
      <c r="A192" s="202" t="s">
        <v>1680</v>
      </c>
      <c r="B192" s="202" t="s">
        <v>1674</v>
      </c>
      <c r="C192" s="183">
        <v>1002.0</v>
      </c>
      <c r="D192" s="202" t="s">
        <v>3519</v>
      </c>
      <c r="E192" s="177" t="str">
        <f t="shared" si="3"/>
        <v>Lapsed</v>
      </c>
      <c r="F192" s="24">
        <v>1.0</v>
      </c>
      <c r="G192" s="200">
        <v>45195.0</v>
      </c>
      <c r="H192" s="180">
        <f t="shared" si="2"/>
        <v>45291</v>
      </c>
    </row>
    <row r="193">
      <c r="A193" s="198" t="s">
        <v>1682</v>
      </c>
      <c r="B193" s="202" t="s">
        <v>1683</v>
      </c>
      <c r="C193" s="183">
        <v>1001.0</v>
      </c>
      <c r="D193" s="202" t="s">
        <v>3517</v>
      </c>
      <c r="E193" s="177" t="str">
        <f t="shared" si="3"/>
        <v>Lapsed</v>
      </c>
      <c r="F193" s="24">
        <v>1.0</v>
      </c>
      <c r="G193" s="200">
        <v>44692.0</v>
      </c>
      <c r="H193" s="180">
        <f t="shared" si="2"/>
        <v>44926</v>
      </c>
    </row>
    <row r="194">
      <c r="A194" s="202" t="s">
        <v>1687</v>
      </c>
      <c r="B194" s="202" t="s">
        <v>1688</v>
      </c>
      <c r="C194" s="183">
        <v>1000.0</v>
      </c>
      <c r="D194" s="202" t="s">
        <v>3517</v>
      </c>
      <c r="E194" s="177" t="str">
        <f t="shared" si="3"/>
        <v>Lapsed</v>
      </c>
      <c r="F194" s="24">
        <v>1.0</v>
      </c>
      <c r="G194" s="200">
        <v>45407.0</v>
      </c>
      <c r="H194" s="180">
        <f t="shared" si="2"/>
        <v>45656</v>
      </c>
    </row>
    <row r="195">
      <c r="A195" s="202" t="s">
        <v>1694</v>
      </c>
      <c r="B195" s="202" t="s">
        <v>3526</v>
      </c>
      <c r="C195" s="183">
        <v>999.0</v>
      </c>
      <c r="D195" s="202" t="s">
        <v>3517</v>
      </c>
      <c r="E195" s="177" t="str">
        <f t="shared" si="3"/>
        <v>Lapsed</v>
      </c>
      <c r="F195" s="24">
        <v>1.0</v>
      </c>
      <c r="G195" s="200">
        <v>45292.0</v>
      </c>
      <c r="H195" s="180">
        <f t="shared" si="2"/>
        <v>45656</v>
      </c>
    </row>
    <row r="196">
      <c r="A196" s="198" t="s">
        <v>1699</v>
      </c>
      <c r="B196" s="202" t="s">
        <v>1700</v>
      </c>
      <c r="C196" s="183">
        <v>998.0</v>
      </c>
      <c r="D196" s="202" t="s">
        <v>3517</v>
      </c>
      <c r="E196" s="177" t="str">
        <f t="shared" si="3"/>
        <v>Lapsed</v>
      </c>
      <c r="F196" s="24">
        <v>1.0</v>
      </c>
      <c r="G196" s="200">
        <v>44692.0</v>
      </c>
      <c r="H196" s="180">
        <f t="shared" si="2"/>
        <v>44926</v>
      </c>
    </row>
    <row r="197">
      <c r="A197" s="202" t="s">
        <v>1603</v>
      </c>
      <c r="B197" s="202" t="s">
        <v>1704</v>
      </c>
      <c r="C197" s="183">
        <v>997.0</v>
      </c>
      <c r="D197" s="202" t="s">
        <v>3517</v>
      </c>
      <c r="E197" s="177" t="str">
        <f t="shared" si="3"/>
        <v>Lapsed</v>
      </c>
      <c r="F197" s="24">
        <v>1.0</v>
      </c>
      <c r="G197" s="200">
        <v>44692.0</v>
      </c>
      <c r="H197" s="180">
        <f t="shared" si="2"/>
        <v>44926</v>
      </c>
    </row>
    <row r="198">
      <c r="A198" s="198" t="s">
        <v>1708</v>
      </c>
      <c r="B198" s="202" t="s">
        <v>1709</v>
      </c>
      <c r="C198" s="183">
        <v>996.0</v>
      </c>
      <c r="D198" s="202" t="s">
        <v>3519</v>
      </c>
      <c r="E198" s="177" t="str">
        <f t="shared" si="3"/>
        <v>Lapsed</v>
      </c>
      <c r="F198" s="24">
        <v>1.0</v>
      </c>
      <c r="G198" s="200">
        <v>44692.0</v>
      </c>
      <c r="H198" s="180">
        <f t="shared" si="2"/>
        <v>44926</v>
      </c>
    </row>
    <row r="199">
      <c r="A199" s="202" t="s">
        <v>1027</v>
      </c>
      <c r="B199" s="202" t="s">
        <v>1713</v>
      </c>
      <c r="C199" s="183">
        <v>995.0</v>
      </c>
      <c r="D199" s="202" t="s">
        <v>3517</v>
      </c>
      <c r="E199" s="177" t="str">
        <f t="shared" si="3"/>
        <v>Lapsed</v>
      </c>
      <c r="F199" s="24">
        <v>1.0</v>
      </c>
      <c r="G199" s="200">
        <v>45396.0</v>
      </c>
      <c r="H199" s="180">
        <f t="shared" si="2"/>
        <v>45656</v>
      </c>
    </row>
    <row r="200">
      <c r="A200" s="202" t="s">
        <v>1717</v>
      </c>
      <c r="B200" s="202" t="s">
        <v>1718</v>
      </c>
      <c r="C200" s="183">
        <v>994.0</v>
      </c>
      <c r="D200" s="202" t="s">
        <v>3517</v>
      </c>
      <c r="E200" s="177" t="str">
        <f t="shared" si="3"/>
        <v>Lapsed</v>
      </c>
      <c r="F200" s="24">
        <v>1.0</v>
      </c>
      <c r="G200" s="200">
        <v>44662.0</v>
      </c>
      <c r="H200" s="180">
        <f t="shared" si="2"/>
        <v>44926</v>
      </c>
    </row>
    <row r="201">
      <c r="A201" s="175" t="s">
        <v>1722</v>
      </c>
      <c r="B201" s="175" t="s">
        <v>1723</v>
      </c>
      <c r="C201" s="176">
        <v>993.0</v>
      </c>
      <c r="D201" s="175" t="s">
        <v>3517</v>
      </c>
      <c r="E201" s="177" t="str">
        <f t="shared" si="3"/>
        <v>Lapsed</v>
      </c>
      <c r="F201" s="24">
        <v>1.0</v>
      </c>
      <c r="G201" s="200">
        <v>44645.0</v>
      </c>
      <c r="H201" s="180">
        <f t="shared" si="2"/>
        <v>44926</v>
      </c>
    </row>
    <row r="202">
      <c r="A202" s="175" t="s">
        <v>1728</v>
      </c>
      <c r="B202" s="175" t="s">
        <v>1729</v>
      </c>
      <c r="C202" s="176">
        <v>992.0</v>
      </c>
      <c r="D202" s="175" t="s">
        <v>3517</v>
      </c>
      <c r="E202" s="177" t="str">
        <f t="shared" si="3"/>
        <v>Lapsed</v>
      </c>
      <c r="F202" s="24">
        <v>1.0</v>
      </c>
      <c r="G202" s="200">
        <v>45407.0</v>
      </c>
      <c r="H202" s="180">
        <f t="shared" si="2"/>
        <v>45656</v>
      </c>
    </row>
    <row r="203">
      <c r="A203" s="175" t="s">
        <v>1733</v>
      </c>
      <c r="B203" s="175" t="s">
        <v>1734</v>
      </c>
      <c r="C203" s="206">
        <v>991.0</v>
      </c>
      <c r="D203" s="175" t="s">
        <v>3517</v>
      </c>
      <c r="E203" s="177" t="str">
        <f t="shared" si="3"/>
        <v>Lapsed</v>
      </c>
      <c r="F203" s="24">
        <v>1.0</v>
      </c>
      <c r="G203" s="200">
        <v>44514.0</v>
      </c>
      <c r="H203" s="180">
        <f t="shared" si="2"/>
        <v>44561</v>
      </c>
    </row>
    <row r="204">
      <c r="A204" s="175" t="s">
        <v>1738</v>
      </c>
      <c r="B204" s="175" t="s">
        <v>202</v>
      </c>
      <c r="C204" s="206">
        <v>990.0</v>
      </c>
      <c r="D204" s="175" t="s">
        <v>3517</v>
      </c>
      <c r="E204" s="177" t="str">
        <f t="shared" si="3"/>
        <v>Lapsed</v>
      </c>
      <c r="F204" s="24">
        <v>1.0</v>
      </c>
      <c r="G204" s="200">
        <v>44938.0</v>
      </c>
      <c r="H204" s="180">
        <f t="shared" si="2"/>
        <v>45291</v>
      </c>
    </row>
    <row r="205">
      <c r="A205" s="175" t="s">
        <v>922</v>
      </c>
      <c r="B205" s="175" t="s">
        <v>1743</v>
      </c>
      <c r="C205" s="176">
        <v>989.0</v>
      </c>
      <c r="D205" s="175" t="s">
        <v>3517</v>
      </c>
      <c r="E205" s="177" t="str">
        <f t="shared" si="3"/>
        <v>Lapsed</v>
      </c>
      <c r="F205" s="24">
        <v>1.0</v>
      </c>
      <c r="G205" s="200">
        <v>45319.0</v>
      </c>
      <c r="H205" s="180">
        <f t="shared" si="2"/>
        <v>45656</v>
      </c>
    </row>
    <row r="206">
      <c r="A206" s="175" t="s">
        <v>1748</v>
      </c>
      <c r="B206" s="175" t="s">
        <v>1749</v>
      </c>
      <c r="C206" s="206">
        <v>988.0</v>
      </c>
      <c r="D206" s="175" t="s">
        <v>3519</v>
      </c>
      <c r="E206" s="177" t="str">
        <f t="shared" si="3"/>
        <v>Lapsed</v>
      </c>
      <c r="F206" s="24">
        <v>1.0</v>
      </c>
      <c r="G206" s="200">
        <v>44493.0</v>
      </c>
      <c r="H206" s="180">
        <f t="shared" si="2"/>
        <v>44561</v>
      </c>
    </row>
    <row r="207">
      <c r="A207" s="175" t="s">
        <v>1753</v>
      </c>
      <c r="B207" s="175" t="s">
        <v>1201</v>
      </c>
      <c r="C207" s="187">
        <v>987.0</v>
      </c>
      <c r="D207" s="175" t="s">
        <v>3517</v>
      </c>
      <c r="E207" s="177" t="str">
        <f t="shared" si="3"/>
        <v>Lapsed</v>
      </c>
      <c r="F207" s="24">
        <v>1.0</v>
      </c>
      <c r="G207" s="200">
        <v>45451.0</v>
      </c>
      <c r="H207" s="180">
        <f t="shared" si="2"/>
        <v>45656</v>
      </c>
    </row>
    <row r="208">
      <c r="A208" s="175" t="s">
        <v>1756</v>
      </c>
      <c r="B208" s="175" t="s">
        <v>1757</v>
      </c>
      <c r="C208" s="176">
        <v>986.0</v>
      </c>
      <c r="D208" s="175" t="s">
        <v>3519</v>
      </c>
      <c r="E208" s="177" t="str">
        <f t="shared" si="3"/>
        <v>Lapsed</v>
      </c>
      <c r="F208" s="24">
        <v>1.0</v>
      </c>
      <c r="G208" s="200">
        <v>44495.0</v>
      </c>
      <c r="H208" s="180">
        <f t="shared" si="2"/>
        <v>44561</v>
      </c>
    </row>
    <row r="209">
      <c r="A209" s="175" t="s">
        <v>1761</v>
      </c>
      <c r="B209" s="175" t="s">
        <v>1762</v>
      </c>
      <c r="C209" s="176">
        <v>985.0</v>
      </c>
      <c r="D209" s="175" t="s">
        <v>3517</v>
      </c>
      <c r="E209" s="177" t="str">
        <f t="shared" si="3"/>
        <v>Lapsed</v>
      </c>
      <c r="F209" s="24">
        <v>1.0</v>
      </c>
      <c r="G209" s="200">
        <v>44494.0</v>
      </c>
      <c r="H209" s="180">
        <f t="shared" si="2"/>
        <v>44561</v>
      </c>
    </row>
    <row r="210">
      <c r="A210" s="175" t="s">
        <v>1766</v>
      </c>
      <c r="B210" s="175" t="s">
        <v>1767</v>
      </c>
      <c r="C210" s="187">
        <v>984.0</v>
      </c>
      <c r="D210" s="175" t="s">
        <v>3519</v>
      </c>
      <c r="E210" s="177" t="str">
        <f t="shared" si="3"/>
        <v>Lapsed</v>
      </c>
      <c r="F210" s="24">
        <v>1.0</v>
      </c>
      <c r="G210" s="200">
        <v>44477.0</v>
      </c>
      <c r="H210" s="180">
        <f t="shared" si="2"/>
        <v>44561</v>
      </c>
    </row>
    <row r="211">
      <c r="A211" s="175" t="s">
        <v>1771</v>
      </c>
      <c r="B211" s="175" t="s">
        <v>1767</v>
      </c>
      <c r="C211" s="187">
        <v>983.0</v>
      </c>
      <c r="D211" s="175" t="s">
        <v>3519</v>
      </c>
      <c r="E211" s="177" t="str">
        <f t="shared" si="3"/>
        <v>Lapsed</v>
      </c>
      <c r="F211" s="24">
        <v>1.0</v>
      </c>
      <c r="G211" s="200">
        <v>45406.0</v>
      </c>
      <c r="H211" s="180">
        <f t="shared" si="2"/>
        <v>45656</v>
      </c>
    </row>
    <row r="212">
      <c r="A212" s="175" t="s">
        <v>1772</v>
      </c>
      <c r="B212" s="175" t="s">
        <v>439</v>
      </c>
      <c r="C212" s="176">
        <v>982.0</v>
      </c>
      <c r="D212" s="175" t="s">
        <v>3517</v>
      </c>
      <c r="E212" s="177" t="str">
        <f t="shared" si="3"/>
        <v>Lapsed</v>
      </c>
      <c r="F212" s="24">
        <v>1.0</v>
      </c>
      <c r="G212" s="200">
        <v>44478.0</v>
      </c>
      <c r="H212" s="180">
        <f t="shared" si="2"/>
        <v>44561</v>
      </c>
    </row>
    <row r="213">
      <c r="A213" s="175" t="s">
        <v>1777</v>
      </c>
      <c r="B213" s="175" t="s">
        <v>1778</v>
      </c>
      <c r="C213" s="176">
        <v>981.0</v>
      </c>
      <c r="D213" s="175" t="s">
        <v>3517</v>
      </c>
      <c r="E213" s="177" t="str">
        <f t="shared" si="3"/>
        <v>Lapsed</v>
      </c>
      <c r="F213" s="24">
        <v>1.0</v>
      </c>
      <c r="G213" s="200">
        <v>44477.0</v>
      </c>
      <c r="H213" s="180">
        <f t="shared" si="2"/>
        <v>44561</v>
      </c>
    </row>
    <row r="214">
      <c r="A214" s="175" t="s">
        <v>1783</v>
      </c>
      <c r="B214" s="175" t="s">
        <v>1784</v>
      </c>
      <c r="C214" s="176">
        <v>980.0</v>
      </c>
      <c r="D214" s="175" t="s">
        <v>3517</v>
      </c>
      <c r="E214" s="177" t="str">
        <f t="shared" si="3"/>
        <v>Lapsed</v>
      </c>
      <c r="F214" s="24">
        <v>1.0</v>
      </c>
      <c r="G214" s="200">
        <v>44477.0</v>
      </c>
      <c r="H214" s="180">
        <f t="shared" si="2"/>
        <v>44561</v>
      </c>
    </row>
    <row r="215">
      <c r="A215" s="175" t="s">
        <v>1315</v>
      </c>
      <c r="B215" s="175" t="s">
        <v>1788</v>
      </c>
      <c r="C215" s="176">
        <v>979.0</v>
      </c>
      <c r="D215" s="175" t="s">
        <v>3517</v>
      </c>
      <c r="E215" s="177" t="str">
        <f t="shared" si="3"/>
        <v>Lapsed</v>
      </c>
      <c r="F215" s="108">
        <v>3.0</v>
      </c>
      <c r="G215" s="200">
        <v>45019.0</v>
      </c>
      <c r="H215" s="180">
        <f t="shared" si="2"/>
        <v>46022</v>
      </c>
    </row>
    <row r="216">
      <c r="A216" s="175" t="s">
        <v>1341</v>
      </c>
      <c r="B216" s="175" t="s">
        <v>1792</v>
      </c>
      <c r="C216" s="176">
        <v>978.0</v>
      </c>
      <c r="D216" s="175" t="s">
        <v>3517</v>
      </c>
      <c r="E216" s="177" t="str">
        <f t="shared" si="3"/>
        <v>Lapsed</v>
      </c>
      <c r="F216" s="24">
        <v>1.0</v>
      </c>
      <c r="G216" s="200">
        <v>44476.0</v>
      </c>
      <c r="H216" s="180">
        <f t="shared" si="2"/>
        <v>44561</v>
      </c>
    </row>
    <row r="217">
      <c r="A217" s="175" t="s">
        <v>1772</v>
      </c>
      <c r="B217" s="175" t="s">
        <v>1796</v>
      </c>
      <c r="C217" s="176">
        <v>977.0</v>
      </c>
      <c r="D217" s="175" t="s">
        <v>3517</v>
      </c>
      <c r="E217" s="177" t="str">
        <f t="shared" si="3"/>
        <v>Lapsed</v>
      </c>
      <c r="F217" s="24">
        <v>1.0</v>
      </c>
      <c r="G217" s="200">
        <v>44476.0</v>
      </c>
      <c r="H217" s="180">
        <f t="shared" si="2"/>
        <v>44561</v>
      </c>
    </row>
    <row r="218">
      <c r="A218" s="175" t="s">
        <v>1800</v>
      </c>
      <c r="B218" s="175" t="s">
        <v>1796</v>
      </c>
      <c r="C218" s="176">
        <v>976.0</v>
      </c>
      <c r="D218" s="175" t="s">
        <v>3519</v>
      </c>
      <c r="E218" s="177" t="str">
        <f t="shared" si="3"/>
        <v>Lapsed</v>
      </c>
      <c r="F218" s="24">
        <v>1.0</v>
      </c>
      <c r="G218" s="200">
        <v>44476.0</v>
      </c>
      <c r="H218" s="180">
        <f t="shared" si="2"/>
        <v>44561</v>
      </c>
    </row>
    <row r="219">
      <c r="A219" s="175" t="s">
        <v>1081</v>
      </c>
      <c r="B219" s="175" t="s">
        <v>1803</v>
      </c>
      <c r="C219" s="176">
        <v>975.0</v>
      </c>
      <c r="D219" s="175" t="s">
        <v>3517</v>
      </c>
      <c r="E219" s="177" t="str">
        <f t="shared" si="3"/>
        <v>Lapsed</v>
      </c>
      <c r="F219" s="24">
        <v>1.0</v>
      </c>
      <c r="G219" s="207">
        <v>45049.0</v>
      </c>
      <c r="H219" s="180">
        <f t="shared" si="2"/>
        <v>45291</v>
      </c>
    </row>
    <row r="220">
      <c r="A220" s="175" t="s">
        <v>1808</v>
      </c>
      <c r="B220" s="175" t="s">
        <v>1809</v>
      </c>
      <c r="C220" s="176">
        <v>974.0</v>
      </c>
      <c r="D220" s="175" t="s">
        <v>3517</v>
      </c>
      <c r="E220" s="177" t="str">
        <f t="shared" si="3"/>
        <v>Lapsed</v>
      </c>
      <c r="F220" s="24">
        <v>1.0</v>
      </c>
      <c r="G220" s="200">
        <v>44476.0</v>
      </c>
      <c r="H220" s="180">
        <f t="shared" si="2"/>
        <v>44561</v>
      </c>
    </row>
    <row r="221">
      <c r="A221" s="175" t="s">
        <v>1813</v>
      </c>
      <c r="B221" s="175" t="s">
        <v>1814</v>
      </c>
      <c r="C221" s="176">
        <v>973.0</v>
      </c>
      <c r="D221" s="175" t="s">
        <v>3517</v>
      </c>
      <c r="E221" s="177" t="str">
        <f t="shared" si="3"/>
        <v>Lapsed</v>
      </c>
      <c r="F221" s="24">
        <v>1.0</v>
      </c>
      <c r="G221" s="200">
        <v>44476.0</v>
      </c>
      <c r="H221" s="180">
        <f t="shared" si="2"/>
        <v>44561</v>
      </c>
    </row>
    <row r="222">
      <c r="A222" s="175" t="s">
        <v>1819</v>
      </c>
      <c r="B222" s="175" t="s">
        <v>1820</v>
      </c>
      <c r="C222" s="176">
        <v>972.0</v>
      </c>
      <c r="D222" s="175" t="s">
        <v>3517</v>
      </c>
      <c r="E222" s="177" t="str">
        <f t="shared" si="3"/>
        <v>Lapsed</v>
      </c>
      <c r="F222" s="24">
        <v>1.0</v>
      </c>
      <c r="G222" s="200">
        <v>44736.0</v>
      </c>
      <c r="H222" s="180">
        <f t="shared" si="2"/>
        <v>44926</v>
      </c>
    </row>
    <row r="223">
      <c r="A223" s="175" t="s">
        <v>561</v>
      </c>
      <c r="B223" s="175" t="s">
        <v>1824</v>
      </c>
      <c r="C223" s="187">
        <v>971.0</v>
      </c>
      <c r="D223" s="175" t="s">
        <v>3517</v>
      </c>
      <c r="E223" s="177" t="str">
        <f t="shared" si="3"/>
        <v>Lapsed</v>
      </c>
      <c r="F223" s="24">
        <v>1.0</v>
      </c>
      <c r="G223" s="200">
        <v>44703.0</v>
      </c>
      <c r="H223" s="180">
        <f t="shared" si="2"/>
        <v>44926</v>
      </c>
    </row>
    <row r="224">
      <c r="A224" s="175" t="s">
        <v>1828</v>
      </c>
      <c r="B224" s="175" t="s">
        <v>1829</v>
      </c>
      <c r="C224" s="176">
        <v>970.0</v>
      </c>
      <c r="D224" s="175" t="s">
        <v>3517</v>
      </c>
      <c r="E224" s="177" t="str">
        <f t="shared" si="3"/>
        <v>Lapsed</v>
      </c>
      <c r="F224" s="24">
        <v>1.0</v>
      </c>
      <c r="G224" s="200">
        <v>45159.0</v>
      </c>
      <c r="H224" s="180">
        <f t="shared" si="2"/>
        <v>45291</v>
      </c>
    </row>
    <row r="225">
      <c r="A225" s="175" t="s">
        <v>1833</v>
      </c>
      <c r="B225" s="175" t="s">
        <v>1834</v>
      </c>
      <c r="C225" s="176">
        <v>969.0</v>
      </c>
      <c r="D225" s="175" t="s">
        <v>3517</v>
      </c>
      <c r="E225" s="177" t="str">
        <f t="shared" si="3"/>
        <v>Lapsed</v>
      </c>
      <c r="F225" s="24">
        <v>1.0</v>
      </c>
      <c r="G225" s="200">
        <v>45406.0</v>
      </c>
      <c r="H225" s="180">
        <f t="shared" si="2"/>
        <v>45656</v>
      </c>
    </row>
    <row r="226">
      <c r="A226" s="175" t="s">
        <v>1839</v>
      </c>
      <c r="B226" s="175" t="s">
        <v>1840</v>
      </c>
      <c r="C226" s="176">
        <v>968.0</v>
      </c>
      <c r="D226" s="175" t="s">
        <v>3517</v>
      </c>
      <c r="E226" s="177" t="str">
        <f t="shared" si="3"/>
        <v>Lapsed</v>
      </c>
      <c r="F226" s="24">
        <v>1.0</v>
      </c>
      <c r="G226" s="200">
        <v>44467.0</v>
      </c>
      <c r="H226" s="180">
        <f t="shared" si="2"/>
        <v>44561</v>
      </c>
    </row>
    <row r="227">
      <c r="A227" s="175" t="s">
        <v>560</v>
      </c>
      <c r="B227" s="175" t="s">
        <v>1840</v>
      </c>
      <c r="C227" s="176">
        <v>967.0</v>
      </c>
      <c r="D227" s="175" t="s">
        <v>3519</v>
      </c>
      <c r="E227" s="177" t="str">
        <f t="shared" si="3"/>
        <v>Lapsed</v>
      </c>
      <c r="F227" s="24">
        <v>1.0</v>
      </c>
      <c r="G227" s="200">
        <v>44467.0</v>
      </c>
      <c r="H227" s="180">
        <f t="shared" si="2"/>
        <v>44561</v>
      </c>
    </row>
    <row r="228">
      <c r="A228" s="175" t="s">
        <v>1844</v>
      </c>
      <c r="B228" s="175" t="s">
        <v>260</v>
      </c>
      <c r="C228" s="176">
        <v>966.0</v>
      </c>
      <c r="D228" s="175" t="s">
        <v>3517</v>
      </c>
      <c r="E228" s="177" t="str">
        <f t="shared" si="3"/>
        <v>Lapsed</v>
      </c>
      <c r="F228" s="24">
        <v>1.0</v>
      </c>
      <c r="G228" s="200">
        <v>44467.0</v>
      </c>
      <c r="H228" s="180">
        <f t="shared" si="2"/>
        <v>44561</v>
      </c>
    </row>
    <row r="229">
      <c r="A229" s="175" t="s">
        <v>1847</v>
      </c>
      <c r="B229" s="175" t="s">
        <v>1848</v>
      </c>
      <c r="C229" s="176">
        <v>965.0</v>
      </c>
      <c r="D229" s="175" t="s">
        <v>3517</v>
      </c>
      <c r="E229" s="177" t="str">
        <f t="shared" si="3"/>
        <v>Lapsed</v>
      </c>
      <c r="F229" s="24">
        <v>1.0</v>
      </c>
      <c r="G229" s="200">
        <v>44470.0</v>
      </c>
      <c r="H229" s="180">
        <f t="shared" si="2"/>
        <v>44561</v>
      </c>
    </row>
    <row r="230">
      <c r="A230" s="175" t="s">
        <v>485</v>
      </c>
      <c r="B230" s="175" t="s">
        <v>1853</v>
      </c>
      <c r="C230" s="187">
        <v>964.0</v>
      </c>
      <c r="D230" s="175" t="s">
        <v>3517</v>
      </c>
      <c r="E230" s="177" t="str">
        <f t="shared" si="3"/>
        <v>Lapsed</v>
      </c>
      <c r="F230" s="24">
        <v>1.0</v>
      </c>
      <c r="G230" s="200">
        <v>45407.0</v>
      </c>
      <c r="H230" s="180">
        <f t="shared" si="2"/>
        <v>45656</v>
      </c>
    </row>
    <row r="231">
      <c r="A231" s="175" t="s">
        <v>1858</v>
      </c>
      <c r="B231" s="175" t="s">
        <v>1859</v>
      </c>
      <c r="C231" s="176">
        <v>963.0</v>
      </c>
      <c r="D231" s="175" t="s">
        <v>3517</v>
      </c>
      <c r="E231" s="177" t="str">
        <f t="shared" si="3"/>
        <v>Lapsed</v>
      </c>
      <c r="F231" s="24">
        <v>1.0</v>
      </c>
      <c r="G231" s="200">
        <v>44442.0</v>
      </c>
      <c r="H231" s="180">
        <f t="shared" si="2"/>
        <v>44561</v>
      </c>
    </row>
    <row r="232">
      <c r="A232" s="186" t="s">
        <v>1862</v>
      </c>
      <c r="B232" s="186" t="s">
        <v>1863</v>
      </c>
      <c r="C232" s="187">
        <v>962.0</v>
      </c>
      <c r="D232" s="186" t="s">
        <v>3517</v>
      </c>
      <c r="E232" s="177" t="str">
        <f t="shared" si="3"/>
        <v>Lapsed</v>
      </c>
      <c r="F232" s="24">
        <v>1.0</v>
      </c>
      <c r="G232" s="200">
        <v>45044.0</v>
      </c>
      <c r="H232" s="180">
        <f t="shared" si="2"/>
        <v>45291</v>
      </c>
    </row>
    <row r="233">
      <c r="A233" s="175" t="s">
        <v>1867</v>
      </c>
      <c r="B233" s="175" t="s">
        <v>1868</v>
      </c>
      <c r="C233" s="176">
        <v>961.0</v>
      </c>
      <c r="D233" s="175" t="s">
        <v>3517</v>
      </c>
      <c r="E233" s="177" t="str">
        <f t="shared" si="3"/>
        <v>Lapsed</v>
      </c>
      <c r="F233" s="24">
        <v>1.0</v>
      </c>
      <c r="G233" s="200">
        <v>44429.0</v>
      </c>
      <c r="H233" s="180">
        <f t="shared" si="2"/>
        <v>44561</v>
      </c>
    </row>
    <row r="234">
      <c r="A234" s="175" t="s">
        <v>46</v>
      </c>
      <c r="B234" s="175" t="s">
        <v>1767</v>
      </c>
      <c r="C234" s="187">
        <v>960.0</v>
      </c>
      <c r="D234" s="202" t="s">
        <v>3519</v>
      </c>
      <c r="E234" s="177" t="str">
        <f t="shared" si="3"/>
        <v>Lapsed</v>
      </c>
      <c r="F234" s="24">
        <v>1.0</v>
      </c>
      <c r="G234" s="200">
        <v>45406.0</v>
      </c>
      <c r="H234" s="180">
        <f t="shared" si="2"/>
        <v>45656</v>
      </c>
    </row>
    <row r="235">
      <c r="A235" s="175" t="s">
        <v>1359</v>
      </c>
      <c r="B235" s="175" t="s">
        <v>1872</v>
      </c>
      <c r="C235" s="176">
        <v>959.0</v>
      </c>
      <c r="D235" s="175" t="s">
        <v>3517</v>
      </c>
      <c r="E235" s="177" t="str">
        <f t="shared" si="3"/>
        <v>Lapsed</v>
      </c>
      <c r="F235" s="24">
        <v>1.0</v>
      </c>
      <c r="G235" s="200">
        <v>45312.0</v>
      </c>
      <c r="H235" s="180">
        <f t="shared" si="2"/>
        <v>45656</v>
      </c>
    </row>
    <row r="236">
      <c r="A236" s="175" t="s">
        <v>1876</v>
      </c>
      <c r="B236" s="175" t="s">
        <v>1877</v>
      </c>
      <c r="C236" s="176">
        <v>958.0</v>
      </c>
      <c r="D236" s="175" t="s">
        <v>3517</v>
      </c>
      <c r="E236" s="177" t="str">
        <f t="shared" si="3"/>
        <v>Lapsed</v>
      </c>
      <c r="F236" s="24">
        <v>1.0</v>
      </c>
      <c r="G236" s="200">
        <v>45406.0</v>
      </c>
      <c r="H236" s="180">
        <f t="shared" si="2"/>
        <v>45656</v>
      </c>
    </row>
    <row r="237">
      <c r="A237" s="175" t="s">
        <v>1881</v>
      </c>
      <c r="B237" s="175" t="s">
        <v>1882</v>
      </c>
      <c r="C237" s="187">
        <v>957.0</v>
      </c>
      <c r="D237" s="175" t="s">
        <v>3517</v>
      </c>
      <c r="E237" s="177" t="str">
        <f t="shared" si="3"/>
        <v>Lapsed</v>
      </c>
      <c r="F237" s="24">
        <v>1.0</v>
      </c>
      <c r="G237" s="200">
        <v>44428.0</v>
      </c>
      <c r="H237" s="180">
        <f t="shared" si="2"/>
        <v>44561</v>
      </c>
    </row>
    <row r="238">
      <c r="A238" s="175" t="s">
        <v>1886</v>
      </c>
      <c r="B238" s="175" t="s">
        <v>1887</v>
      </c>
      <c r="C238" s="176">
        <v>956.0</v>
      </c>
      <c r="D238" s="175" t="s">
        <v>3517</v>
      </c>
      <c r="E238" s="177" t="str">
        <f t="shared" si="3"/>
        <v>Lapsed</v>
      </c>
      <c r="F238" s="24">
        <v>1.0</v>
      </c>
      <c r="G238" s="200">
        <v>44428.0</v>
      </c>
      <c r="H238" s="180">
        <f t="shared" si="2"/>
        <v>44561</v>
      </c>
    </row>
    <row r="239">
      <c r="A239" s="175" t="s">
        <v>1891</v>
      </c>
      <c r="B239" s="175" t="s">
        <v>1892</v>
      </c>
      <c r="C239" s="176">
        <v>955.0</v>
      </c>
      <c r="D239" s="175" t="s">
        <v>3519</v>
      </c>
      <c r="E239" s="177" t="str">
        <f t="shared" si="3"/>
        <v>Lapsed</v>
      </c>
      <c r="F239" s="24">
        <v>1.0</v>
      </c>
      <c r="G239" s="200">
        <v>44429.0</v>
      </c>
      <c r="H239" s="180">
        <f t="shared" si="2"/>
        <v>44561</v>
      </c>
    </row>
    <row r="240">
      <c r="A240" s="175" t="s">
        <v>738</v>
      </c>
      <c r="B240" s="175" t="s">
        <v>80</v>
      </c>
      <c r="C240" s="176">
        <v>954.0</v>
      </c>
      <c r="D240" s="175" t="s">
        <v>3517</v>
      </c>
      <c r="E240" s="177" t="str">
        <f t="shared" si="3"/>
        <v>Lapsed</v>
      </c>
      <c r="F240" s="24">
        <v>1.0</v>
      </c>
      <c r="G240" s="200">
        <v>44429.0</v>
      </c>
      <c r="H240" s="180">
        <f t="shared" si="2"/>
        <v>44561</v>
      </c>
    </row>
    <row r="241">
      <c r="A241" s="175" t="s">
        <v>1379</v>
      </c>
      <c r="B241" s="175" t="s">
        <v>1547</v>
      </c>
      <c r="C241" s="176">
        <v>953.0</v>
      </c>
      <c r="D241" s="175" t="s">
        <v>3517</v>
      </c>
      <c r="E241" s="177" t="str">
        <f t="shared" si="3"/>
        <v>Lapsed</v>
      </c>
      <c r="F241" s="24">
        <v>1.0</v>
      </c>
      <c r="G241" s="200">
        <v>44429.0</v>
      </c>
      <c r="H241" s="180">
        <f t="shared" si="2"/>
        <v>44561</v>
      </c>
    </row>
    <row r="242">
      <c r="A242" s="175" t="s">
        <v>450</v>
      </c>
      <c r="B242" s="175" t="s">
        <v>1901</v>
      </c>
      <c r="C242" s="187">
        <v>952.0</v>
      </c>
      <c r="D242" s="175" t="s">
        <v>3517</v>
      </c>
      <c r="E242" s="177" t="str">
        <f t="shared" si="3"/>
        <v>Lapsed</v>
      </c>
      <c r="F242" s="24">
        <v>1.0</v>
      </c>
      <c r="G242" s="200">
        <v>45068.0</v>
      </c>
      <c r="H242" s="180">
        <f t="shared" si="2"/>
        <v>45291</v>
      </c>
    </row>
    <row r="243">
      <c r="A243" s="175" t="s">
        <v>1117</v>
      </c>
      <c r="B243" s="175" t="s">
        <v>1905</v>
      </c>
      <c r="C243" s="176">
        <v>951.0</v>
      </c>
      <c r="D243" s="175" t="s">
        <v>3517</v>
      </c>
      <c r="E243" s="177" t="str">
        <f t="shared" si="3"/>
        <v>Lapsed</v>
      </c>
      <c r="F243" s="24">
        <v>1.0</v>
      </c>
      <c r="G243" s="200">
        <v>44429.0</v>
      </c>
      <c r="H243" s="180">
        <f t="shared" si="2"/>
        <v>44561</v>
      </c>
    </row>
    <row r="244">
      <c r="A244" s="175" t="s">
        <v>1498</v>
      </c>
      <c r="B244" s="175" t="s">
        <v>1909</v>
      </c>
      <c r="C244" s="176">
        <v>950.0</v>
      </c>
      <c r="D244" s="208" t="s">
        <v>3517</v>
      </c>
      <c r="E244" s="177" t="str">
        <f t="shared" si="3"/>
        <v>Lapsed</v>
      </c>
      <c r="F244" s="24">
        <v>1.0</v>
      </c>
      <c r="G244" s="200">
        <v>45123.0</v>
      </c>
      <c r="H244" s="180">
        <f t="shared" si="2"/>
        <v>45291</v>
      </c>
    </row>
    <row r="245">
      <c r="A245" s="175" t="s">
        <v>1565</v>
      </c>
      <c r="B245" s="175" t="s">
        <v>1913</v>
      </c>
      <c r="C245" s="176">
        <v>949.0</v>
      </c>
      <c r="D245" s="175" t="s">
        <v>3517</v>
      </c>
      <c r="E245" s="177" t="str">
        <f t="shared" si="3"/>
        <v>Lapsed</v>
      </c>
      <c r="F245" s="24">
        <v>1.0</v>
      </c>
      <c r="G245" s="200">
        <v>44330.0</v>
      </c>
      <c r="H245" s="180">
        <f t="shared" si="2"/>
        <v>44561</v>
      </c>
    </row>
    <row r="246">
      <c r="A246" s="175" t="s">
        <v>1918</v>
      </c>
      <c r="B246" s="175" t="s">
        <v>1599</v>
      </c>
      <c r="C246" s="176">
        <v>948.0</v>
      </c>
      <c r="D246" s="175" t="s">
        <v>3519</v>
      </c>
      <c r="E246" s="177" t="str">
        <f t="shared" si="3"/>
        <v>Lapsed</v>
      </c>
      <c r="F246" s="24">
        <v>1.0</v>
      </c>
      <c r="G246" s="200">
        <v>44703.0</v>
      </c>
      <c r="H246" s="180">
        <f t="shared" si="2"/>
        <v>44926</v>
      </c>
    </row>
    <row r="247">
      <c r="A247" s="175" t="s">
        <v>1921</v>
      </c>
      <c r="B247" s="175" t="s">
        <v>1792</v>
      </c>
      <c r="C247" s="176">
        <v>947.0</v>
      </c>
      <c r="D247" s="175" t="s">
        <v>3517</v>
      </c>
      <c r="E247" s="177" t="str">
        <f t="shared" si="3"/>
        <v>Lapsed</v>
      </c>
      <c r="F247" s="24">
        <v>1.0</v>
      </c>
      <c r="G247" s="200">
        <v>44786.0</v>
      </c>
      <c r="H247" s="180">
        <f t="shared" si="2"/>
        <v>44926</v>
      </c>
    </row>
    <row r="248">
      <c r="A248" s="175" t="s">
        <v>1925</v>
      </c>
      <c r="B248" s="175" t="s">
        <v>1926</v>
      </c>
      <c r="C248" s="176">
        <v>946.0</v>
      </c>
      <c r="D248" s="175" t="s">
        <v>3517</v>
      </c>
      <c r="E248" s="177" t="str">
        <f t="shared" si="3"/>
        <v>Lapsed</v>
      </c>
      <c r="F248" s="24">
        <v>1.0</v>
      </c>
      <c r="G248" s="200">
        <v>44330.0</v>
      </c>
      <c r="H248" s="180">
        <f t="shared" si="2"/>
        <v>44561</v>
      </c>
    </row>
    <row r="249">
      <c r="A249" s="175" t="s">
        <v>1927</v>
      </c>
      <c r="B249" s="175" t="s">
        <v>1928</v>
      </c>
      <c r="C249" s="176">
        <v>945.0</v>
      </c>
      <c r="D249" s="175" t="s">
        <v>3517</v>
      </c>
      <c r="E249" s="177" t="str">
        <f t="shared" si="3"/>
        <v>Lapsed</v>
      </c>
      <c r="F249" s="24">
        <v>1.0</v>
      </c>
      <c r="G249" s="200">
        <v>44424.0</v>
      </c>
      <c r="H249" s="180">
        <f t="shared" si="2"/>
        <v>44561</v>
      </c>
    </row>
    <row r="250">
      <c r="A250" s="175" t="s">
        <v>1931</v>
      </c>
      <c r="B250" s="175" t="s">
        <v>1301</v>
      </c>
      <c r="C250" s="176">
        <v>944.0</v>
      </c>
      <c r="D250" s="175" t="s">
        <v>3519</v>
      </c>
      <c r="E250" s="177" t="str">
        <f t="shared" si="3"/>
        <v>Lapsed</v>
      </c>
      <c r="F250" s="24">
        <v>1.0</v>
      </c>
      <c r="G250" s="200">
        <v>44978.0</v>
      </c>
      <c r="H250" s="180">
        <f t="shared" si="2"/>
        <v>45291</v>
      </c>
    </row>
    <row r="251">
      <c r="A251" s="175" t="s">
        <v>1935</v>
      </c>
      <c r="B251" s="175" t="s">
        <v>1936</v>
      </c>
      <c r="C251" s="176">
        <v>943.0</v>
      </c>
      <c r="D251" s="175" t="s">
        <v>3519</v>
      </c>
      <c r="E251" s="177" t="str">
        <f t="shared" si="3"/>
        <v>Lapsed</v>
      </c>
      <c r="F251" s="24">
        <v>1.0</v>
      </c>
      <c r="G251" s="200">
        <v>44423.0</v>
      </c>
      <c r="H251" s="180">
        <f t="shared" si="2"/>
        <v>44561</v>
      </c>
    </row>
    <row r="252">
      <c r="A252" s="175" t="s">
        <v>789</v>
      </c>
      <c r="B252" s="175" t="s">
        <v>1941</v>
      </c>
      <c r="C252" s="176">
        <v>942.0</v>
      </c>
      <c r="D252" s="175" t="s">
        <v>3519</v>
      </c>
      <c r="E252" s="177" t="str">
        <f t="shared" si="3"/>
        <v>Lapsed</v>
      </c>
      <c r="F252" s="24">
        <v>1.0</v>
      </c>
      <c r="G252" s="200">
        <v>45406.0</v>
      </c>
      <c r="H252" s="180">
        <f t="shared" si="2"/>
        <v>45656</v>
      </c>
    </row>
    <row r="253">
      <c r="A253" s="175" t="s">
        <v>922</v>
      </c>
      <c r="B253" s="175" t="s">
        <v>1945</v>
      </c>
      <c r="C253" s="176">
        <v>941.0</v>
      </c>
      <c r="D253" s="175" t="s">
        <v>3517</v>
      </c>
      <c r="E253" s="177" t="str">
        <f t="shared" si="3"/>
        <v>Lapsed</v>
      </c>
      <c r="F253" s="24">
        <v>1.0</v>
      </c>
      <c r="G253" s="200">
        <v>44419.0</v>
      </c>
      <c r="H253" s="180">
        <f t="shared" si="2"/>
        <v>44561</v>
      </c>
    </row>
    <row r="254">
      <c r="A254" s="175" t="s">
        <v>1950</v>
      </c>
      <c r="B254" s="175" t="s">
        <v>1951</v>
      </c>
      <c r="C254" s="176">
        <v>940.0</v>
      </c>
      <c r="D254" s="175" t="s">
        <v>3519</v>
      </c>
      <c r="E254" s="177" t="str">
        <f t="shared" si="3"/>
        <v>Lapsed</v>
      </c>
      <c r="F254" s="24">
        <v>1.0</v>
      </c>
      <c r="G254" s="200">
        <v>44423.0</v>
      </c>
      <c r="H254" s="180">
        <f t="shared" si="2"/>
        <v>44561</v>
      </c>
    </row>
    <row r="255">
      <c r="A255" s="175" t="s">
        <v>1602</v>
      </c>
      <c r="B255" s="175" t="s">
        <v>1749</v>
      </c>
      <c r="C255" s="176">
        <v>939.0</v>
      </c>
      <c r="D255" s="175" t="s">
        <v>3517</v>
      </c>
      <c r="E255" s="177" t="str">
        <f t="shared" si="3"/>
        <v>Lapsed</v>
      </c>
      <c r="F255" s="24">
        <v>1.0</v>
      </c>
      <c r="G255" s="200">
        <v>44387.0</v>
      </c>
      <c r="H255" s="180">
        <f t="shared" si="2"/>
        <v>44561</v>
      </c>
    </row>
    <row r="256">
      <c r="A256" s="175" t="s">
        <v>1958</v>
      </c>
      <c r="B256" s="175" t="s">
        <v>1959</v>
      </c>
      <c r="C256" s="176">
        <v>938.0</v>
      </c>
      <c r="D256" s="175" t="s">
        <v>3519</v>
      </c>
      <c r="E256" s="177" t="str">
        <f t="shared" si="3"/>
        <v>Lapsed</v>
      </c>
      <c r="F256" s="24">
        <v>1.0</v>
      </c>
      <c r="G256" s="200">
        <v>44386.0</v>
      </c>
      <c r="H256" s="180">
        <f t="shared" si="2"/>
        <v>44561</v>
      </c>
    </row>
    <row r="257">
      <c r="A257" s="175" t="s">
        <v>284</v>
      </c>
      <c r="B257" s="175" t="s">
        <v>1963</v>
      </c>
      <c r="C257" s="176">
        <v>937.0</v>
      </c>
      <c r="D257" s="175" t="s">
        <v>3517</v>
      </c>
      <c r="E257" s="177" t="str">
        <f t="shared" si="3"/>
        <v>Lapsed</v>
      </c>
      <c r="F257" s="24">
        <v>1.0</v>
      </c>
      <c r="G257" s="200">
        <v>44388.0</v>
      </c>
      <c r="H257" s="180">
        <f t="shared" si="2"/>
        <v>44561</v>
      </c>
    </row>
    <row r="258">
      <c r="A258" s="175" t="s">
        <v>1967</v>
      </c>
      <c r="B258" s="175" t="s">
        <v>1968</v>
      </c>
      <c r="C258" s="176">
        <v>936.0</v>
      </c>
      <c r="D258" s="175" t="s">
        <v>3517</v>
      </c>
      <c r="E258" s="177" t="str">
        <f t="shared" si="3"/>
        <v>Lapsed</v>
      </c>
      <c r="F258" s="24">
        <v>1.0</v>
      </c>
      <c r="G258" s="200">
        <v>44377.0</v>
      </c>
      <c r="H258" s="180">
        <f t="shared" si="2"/>
        <v>44561</v>
      </c>
    </row>
    <row r="259">
      <c r="A259" s="175" t="s">
        <v>1973</v>
      </c>
      <c r="B259" s="175" t="s">
        <v>1974</v>
      </c>
      <c r="C259" s="176">
        <v>935.0</v>
      </c>
      <c r="D259" s="175" t="s">
        <v>3517</v>
      </c>
      <c r="E259" s="177" t="str">
        <f t="shared" si="3"/>
        <v>Lapsed</v>
      </c>
      <c r="F259" s="24">
        <v>1.0</v>
      </c>
      <c r="G259" s="200">
        <v>44386.0</v>
      </c>
      <c r="H259" s="180">
        <f t="shared" si="2"/>
        <v>44561</v>
      </c>
    </row>
    <row r="260">
      <c r="A260" s="175" t="s">
        <v>1979</v>
      </c>
      <c r="B260" s="175" t="s">
        <v>1980</v>
      </c>
      <c r="C260" s="176">
        <v>934.0</v>
      </c>
      <c r="D260" s="175" t="s">
        <v>3519</v>
      </c>
      <c r="E260" s="177" t="str">
        <f t="shared" si="3"/>
        <v>Lapsed</v>
      </c>
      <c r="F260" s="24">
        <v>1.0</v>
      </c>
      <c r="G260" s="200">
        <v>44386.0</v>
      </c>
      <c r="H260" s="180">
        <f t="shared" si="2"/>
        <v>44561</v>
      </c>
    </row>
    <row r="261">
      <c r="A261" s="175" t="s">
        <v>1984</v>
      </c>
      <c r="B261" s="175" t="s">
        <v>1985</v>
      </c>
      <c r="C261" s="176">
        <v>932.0</v>
      </c>
      <c r="D261" s="175" t="s">
        <v>3517</v>
      </c>
      <c r="E261" s="177" t="str">
        <f t="shared" si="3"/>
        <v>Lapsed</v>
      </c>
      <c r="F261" s="24">
        <v>1.0</v>
      </c>
      <c r="G261" s="200">
        <v>44368.0</v>
      </c>
      <c r="H261" s="180">
        <f t="shared" si="2"/>
        <v>44561</v>
      </c>
    </row>
    <row r="262">
      <c r="A262" s="175" t="s">
        <v>450</v>
      </c>
      <c r="B262" s="175" t="s">
        <v>1989</v>
      </c>
      <c r="C262" s="206">
        <v>931.0</v>
      </c>
      <c r="D262" s="175" t="s">
        <v>3517</v>
      </c>
      <c r="E262" s="177" t="str">
        <f t="shared" si="3"/>
        <v>Lapsed</v>
      </c>
      <c r="F262" s="24">
        <v>1.0</v>
      </c>
      <c r="G262" s="200">
        <v>44372.0</v>
      </c>
      <c r="H262" s="180">
        <f t="shared" si="2"/>
        <v>44561</v>
      </c>
    </row>
    <row r="263">
      <c r="A263" s="175" t="s">
        <v>1993</v>
      </c>
      <c r="B263" s="175" t="s">
        <v>1994</v>
      </c>
      <c r="C263" s="176">
        <v>930.0</v>
      </c>
      <c r="D263" s="175" t="s">
        <v>3519</v>
      </c>
      <c r="E263" s="177" t="str">
        <f t="shared" si="3"/>
        <v>Lapsed</v>
      </c>
      <c r="F263" s="24">
        <v>1.0</v>
      </c>
      <c r="G263" s="200">
        <v>44367.0</v>
      </c>
      <c r="H263" s="180">
        <f t="shared" si="2"/>
        <v>44561</v>
      </c>
    </row>
    <row r="264">
      <c r="A264" s="175" t="s">
        <v>1931</v>
      </c>
      <c r="B264" s="175" t="s">
        <v>1998</v>
      </c>
      <c r="C264" s="187">
        <v>929.0</v>
      </c>
      <c r="D264" s="175" t="s">
        <v>3517</v>
      </c>
      <c r="E264" s="177" t="str">
        <f t="shared" si="3"/>
        <v>Lapsed</v>
      </c>
      <c r="F264" s="24">
        <v>1.0</v>
      </c>
      <c r="G264" s="200">
        <v>44367.0</v>
      </c>
      <c r="H264" s="180">
        <f t="shared" si="2"/>
        <v>44561</v>
      </c>
    </row>
    <row r="265">
      <c r="A265" s="186" t="s">
        <v>1226</v>
      </c>
      <c r="B265" s="186" t="s">
        <v>1593</v>
      </c>
      <c r="C265" s="187">
        <v>928.0</v>
      </c>
      <c r="D265" s="186" t="s">
        <v>3517</v>
      </c>
      <c r="E265" s="177" t="str">
        <f t="shared" si="3"/>
        <v>Lapsed</v>
      </c>
      <c r="F265" s="24">
        <v>1.0</v>
      </c>
      <c r="G265" s="200">
        <v>44341.0</v>
      </c>
      <c r="H265" s="180">
        <f t="shared" si="2"/>
        <v>44561</v>
      </c>
    </row>
    <row r="266">
      <c r="A266" s="175" t="s">
        <v>922</v>
      </c>
      <c r="B266" s="175" t="s">
        <v>2006</v>
      </c>
      <c r="C266" s="187">
        <v>927.0</v>
      </c>
      <c r="D266" s="175" t="s">
        <v>3517</v>
      </c>
      <c r="E266" s="177" t="str">
        <f t="shared" si="3"/>
        <v>Lapsed</v>
      </c>
      <c r="F266" s="24">
        <v>1.0</v>
      </c>
      <c r="G266" s="200">
        <v>44346.0</v>
      </c>
      <c r="H266" s="180">
        <f t="shared" si="2"/>
        <v>44561</v>
      </c>
    </row>
    <row r="267">
      <c r="A267" s="175" t="s">
        <v>2008</v>
      </c>
      <c r="B267" s="175" t="s">
        <v>2009</v>
      </c>
      <c r="C267" s="187">
        <v>926.0</v>
      </c>
      <c r="D267" s="175" t="s">
        <v>3517</v>
      </c>
      <c r="E267" s="177" t="str">
        <f t="shared" si="3"/>
        <v>Lapsed</v>
      </c>
      <c r="F267" s="24">
        <v>1.0</v>
      </c>
      <c r="G267" s="200">
        <v>44330.0</v>
      </c>
      <c r="H267" s="180">
        <f t="shared" si="2"/>
        <v>44561</v>
      </c>
    </row>
    <row r="268">
      <c r="A268" s="175" t="s">
        <v>1565</v>
      </c>
      <c r="B268" s="175" t="s">
        <v>614</v>
      </c>
      <c r="C268" s="187">
        <v>925.0</v>
      </c>
      <c r="D268" s="175" t="s">
        <v>3517</v>
      </c>
      <c r="E268" s="177" t="str">
        <f t="shared" si="3"/>
        <v>Lapsed</v>
      </c>
      <c r="F268" s="24">
        <v>1.0</v>
      </c>
      <c r="G268" s="200">
        <v>44331.0</v>
      </c>
      <c r="H268" s="180">
        <f t="shared" si="2"/>
        <v>44561</v>
      </c>
    </row>
    <row r="269">
      <c r="A269" s="175" t="s">
        <v>2016</v>
      </c>
      <c r="B269" s="175" t="s">
        <v>2017</v>
      </c>
      <c r="C269" s="187">
        <v>924.0</v>
      </c>
      <c r="D269" s="175" t="s">
        <v>3517</v>
      </c>
      <c r="E269" s="177" t="str">
        <f t="shared" si="3"/>
        <v>Lapsed</v>
      </c>
      <c r="F269" s="24">
        <v>1.0</v>
      </c>
      <c r="G269" s="200">
        <v>44318.0</v>
      </c>
      <c r="H269" s="180">
        <f t="shared" si="2"/>
        <v>44561</v>
      </c>
    </row>
    <row r="270">
      <c r="A270" s="175" t="s">
        <v>550</v>
      </c>
      <c r="B270" s="175" t="s">
        <v>495</v>
      </c>
      <c r="C270" s="187">
        <v>923.0</v>
      </c>
      <c r="D270" s="175" t="s">
        <v>3519</v>
      </c>
      <c r="E270" s="177" t="str">
        <f t="shared" si="3"/>
        <v>Lapsed</v>
      </c>
      <c r="F270" s="24">
        <v>1.0</v>
      </c>
      <c r="G270" s="200">
        <v>44318.0</v>
      </c>
      <c r="H270" s="180">
        <f t="shared" si="2"/>
        <v>44561</v>
      </c>
    </row>
    <row r="271">
      <c r="A271" s="175" t="s">
        <v>2025</v>
      </c>
      <c r="B271" s="202" t="s">
        <v>2026</v>
      </c>
      <c r="C271" s="187">
        <v>922.0</v>
      </c>
      <c r="D271" s="175" t="s">
        <v>3517</v>
      </c>
      <c r="E271" s="177" t="str">
        <f t="shared" si="3"/>
        <v>Lapsed</v>
      </c>
      <c r="F271" s="24">
        <v>1.0</v>
      </c>
      <c r="G271" s="200">
        <v>44820.0</v>
      </c>
      <c r="H271" s="180">
        <f t="shared" si="2"/>
        <v>44926</v>
      </c>
    </row>
    <row r="272">
      <c r="A272" s="175" t="s">
        <v>2030</v>
      </c>
      <c r="B272" s="175" t="s">
        <v>2031</v>
      </c>
      <c r="C272" s="187">
        <v>921.0</v>
      </c>
      <c r="D272" s="175" t="s">
        <v>3517</v>
      </c>
      <c r="E272" s="177" t="str">
        <f t="shared" si="3"/>
        <v>Lapsed</v>
      </c>
      <c r="F272" s="24">
        <v>1.0</v>
      </c>
      <c r="G272" s="200">
        <v>45451.0</v>
      </c>
      <c r="H272" s="180">
        <f t="shared" si="2"/>
        <v>45656</v>
      </c>
    </row>
    <row r="273">
      <c r="A273" s="175" t="s">
        <v>2035</v>
      </c>
      <c r="B273" s="175" t="s">
        <v>2036</v>
      </c>
      <c r="C273" s="187">
        <v>920.0</v>
      </c>
      <c r="D273" s="175" t="s">
        <v>3517</v>
      </c>
      <c r="E273" s="177" t="str">
        <f t="shared" si="3"/>
        <v>Lapsed</v>
      </c>
      <c r="F273" s="24">
        <v>1.0</v>
      </c>
      <c r="G273" s="200">
        <v>44317.0</v>
      </c>
      <c r="H273" s="180">
        <f t="shared" si="2"/>
        <v>44561</v>
      </c>
    </row>
    <row r="274">
      <c r="A274" s="175" t="s">
        <v>2040</v>
      </c>
      <c r="B274" s="175" t="s">
        <v>817</v>
      </c>
      <c r="C274" s="187">
        <v>919.0</v>
      </c>
      <c r="D274" s="175" t="s">
        <v>3517</v>
      </c>
      <c r="E274" s="177" t="str">
        <f t="shared" si="3"/>
        <v>Lapsed</v>
      </c>
      <c r="F274" s="24">
        <v>1.0</v>
      </c>
      <c r="G274" s="200">
        <v>44317.0</v>
      </c>
      <c r="H274" s="180">
        <f t="shared" si="2"/>
        <v>44561</v>
      </c>
    </row>
    <row r="275">
      <c r="A275" s="175" t="s">
        <v>2044</v>
      </c>
      <c r="B275" s="175" t="s">
        <v>2045</v>
      </c>
      <c r="C275" s="187">
        <v>918.0</v>
      </c>
      <c r="D275" s="175" t="s">
        <v>3517</v>
      </c>
      <c r="E275" s="177" t="str">
        <f t="shared" si="3"/>
        <v>Lapsed</v>
      </c>
      <c r="F275" s="24">
        <v>1.0</v>
      </c>
      <c r="G275" s="200">
        <v>44318.0</v>
      </c>
      <c r="H275" s="180">
        <f t="shared" si="2"/>
        <v>44561</v>
      </c>
    </row>
    <row r="276">
      <c r="A276" s="175" t="s">
        <v>2049</v>
      </c>
      <c r="B276" s="175" t="s">
        <v>2050</v>
      </c>
      <c r="C276" s="187">
        <v>917.0</v>
      </c>
      <c r="D276" s="175" t="s">
        <v>3517</v>
      </c>
      <c r="E276" s="177" t="str">
        <f t="shared" si="3"/>
        <v>Lapsed</v>
      </c>
      <c r="F276" s="24">
        <v>1.0</v>
      </c>
      <c r="G276" s="200">
        <v>44316.0</v>
      </c>
      <c r="H276" s="180">
        <f t="shared" si="2"/>
        <v>44561</v>
      </c>
    </row>
    <row r="277">
      <c r="A277" s="175" t="s">
        <v>1931</v>
      </c>
      <c r="B277" s="175" t="s">
        <v>2053</v>
      </c>
      <c r="C277" s="187">
        <v>916.0</v>
      </c>
      <c r="D277" s="175" t="s">
        <v>3517</v>
      </c>
      <c r="E277" s="177" t="str">
        <f t="shared" si="3"/>
        <v>Lapsed</v>
      </c>
      <c r="F277" s="24">
        <v>1.0</v>
      </c>
      <c r="G277" s="200">
        <v>44318.0</v>
      </c>
      <c r="H277" s="180">
        <f t="shared" si="2"/>
        <v>44561</v>
      </c>
    </row>
    <row r="278">
      <c r="A278" s="175" t="s">
        <v>2057</v>
      </c>
      <c r="B278" s="175" t="s">
        <v>2058</v>
      </c>
      <c r="C278" s="187">
        <v>915.0</v>
      </c>
      <c r="D278" s="175" t="s">
        <v>3517</v>
      </c>
      <c r="E278" s="177" t="str">
        <f t="shared" si="3"/>
        <v>Lapsed</v>
      </c>
      <c r="F278" s="24">
        <v>1.0</v>
      </c>
      <c r="G278" s="200">
        <v>44318.0</v>
      </c>
      <c r="H278" s="180">
        <f t="shared" si="2"/>
        <v>44561</v>
      </c>
    </row>
    <row r="279">
      <c r="A279" s="175" t="s">
        <v>1498</v>
      </c>
      <c r="B279" s="175" t="s">
        <v>811</v>
      </c>
      <c r="C279" s="187">
        <v>914.0</v>
      </c>
      <c r="D279" s="175" t="s">
        <v>3517</v>
      </c>
      <c r="E279" s="177" t="str">
        <f t="shared" si="3"/>
        <v>Lapsed</v>
      </c>
      <c r="F279" s="24">
        <v>1.0</v>
      </c>
      <c r="G279" s="200">
        <v>44927.0</v>
      </c>
      <c r="H279" s="180">
        <f t="shared" si="2"/>
        <v>45291</v>
      </c>
    </row>
    <row r="280">
      <c r="A280" s="175" t="s">
        <v>1372</v>
      </c>
      <c r="B280" s="175" t="s">
        <v>2066</v>
      </c>
      <c r="C280" s="187">
        <v>913.0</v>
      </c>
      <c r="D280" s="175" t="s">
        <v>3517</v>
      </c>
      <c r="E280" s="177" t="str">
        <f t="shared" si="3"/>
        <v>Lapsed</v>
      </c>
      <c r="F280" s="24">
        <v>1.0</v>
      </c>
      <c r="G280" s="200">
        <v>44319.0</v>
      </c>
      <c r="H280" s="180">
        <f t="shared" si="2"/>
        <v>44561</v>
      </c>
    </row>
    <row r="281">
      <c r="A281" s="175" t="s">
        <v>2071</v>
      </c>
      <c r="B281" s="175" t="s">
        <v>1901</v>
      </c>
      <c r="C281" s="187">
        <v>912.0</v>
      </c>
      <c r="D281" s="175" t="s">
        <v>3519</v>
      </c>
      <c r="E281" s="177" t="str">
        <f t="shared" si="3"/>
        <v>Lapsed</v>
      </c>
      <c r="F281" s="24">
        <v>1.0</v>
      </c>
      <c r="G281" s="200">
        <v>45068.0</v>
      </c>
      <c r="H281" s="180">
        <f t="shared" si="2"/>
        <v>45291</v>
      </c>
    </row>
    <row r="282">
      <c r="A282" s="175" t="s">
        <v>2072</v>
      </c>
      <c r="B282" s="175" t="s">
        <v>2073</v>
      </c>
      <c r="C282" s="187">
        <v>911.0</v>
      </c>
      <c r="D282" s="175" t="s">
        <v>3519</v>
      </c>
      <c r="E282" s="177" t="str">
        <f t="shared" si="3"/>
        <v>Lapsed</v>
      </c>
      <c r="F282" s="24">
        <v>1.0</v>
      </c>
      <c r="G282" s="200">
        <v>45057.0</v>
      </c>
      <c r="H282" s="180">
        <f t="shared" si="2"/>
        <v>45291</v>
      </c>
    </row>
    <row r="283">
      <c r="A283" s="175" t="s">
        <v>501</v>
      </c>
      <c r="B283" s="175" t="s">
        <v>2077</v>
      </c>
      <c r="C283" s="176">
        <v>910.0</v>
      </c>
      <c r="D283" s="175" t="s">
        <v>3517</v>
      </c>
      <c r="E283" s="177" t="str">
        <f t="shared" si="3"/>
        <v>Lapsed</v>
      </c>
      <c r="F283" s="24">
        <v>1.0</v>
      </c>
      <c r="G283" s="201">
        <v>45319.0</v>
      </c>
      <c r="H283" s="180">
        <f t="shared" si="2"/>
        <v>45656</v>
      </c>
    </row>
    <row r="284">
      <c r="A284" s="175" t="s">
        <v>2081</v>
      </c>
      <c r="B284" s="175" t="s">
        <v>2082</v>
      </c>
      <c r="C284" s="176">
        <v>909.0</v>
      </c>
      <c r="D284" s="175" t="s">
        <v>3517</v>
      </c>
      <c r="E284" s="177" t="str">
        <f t="shared" si="3"/>
        <v>Lapsed</v>
      </c>
      <c r="F284" s="24">
        <v>1.0</v>
      </c>
      <c r="G284" s="200">
        <v>44311.0</v>
      </c>
      <c r="H284" s="180">
        <f t="shared" si="2"/>
        <v>44561</v>
      </c>
    </row>
    <row r="285">
      <c r="A285" s="175" t="s">
        <v>326</v>
      </c>
      <c r="B285" s="175" t="s">
        <v>2086</v>
      </c>
      <c r="C285" s="176">
        <v>908.0</v>
      </c>
      <c r="D285" s="175" t="s">
        <v>3517</v>
      </c>
      <c r="E285" s="177" t="str">
        <f t="shared" si="3"/>
        <v>Lapsed</v>
      </c>
      <c r="F285" s="24">
        <v>1.0</v>
      </c>
      <c r="G285" s="200">
        <v>44271.0</v>
      </c>
      <c r="H285" s="180">
        <f t="shared" si="2"/>
        <v>44561</v>
      </c>
    </row>
    <row r="286">
      <c r="A286" s="175" t="s">
        <v>2090</v>
      </c>
      <c r="B286" s="175" t="s">
        <v>2091</v>
      </c>
      <c r="C286" s="176">
        <v>907.0</v>
      </c>
      <c r="D286" s="175" t="s">
        <v>3517</v>
      </c>
      <c r="E286" s="177" t="str">
        <f t="shared" si="3"/>
        <v>Lapsed</v>
      </c>
      <c r="F286" s="24">
        <v>1.0</v>
      </c>
      <c r="G286" s="200">
        <v>44274.0</v>
      </c>
      <c r="H286" s="180">
        <f t="shared" si="2"/>
        <v>44561</v>
      </c>
    </row>
    <row r="287">
      <c r="A287" s="175" t="s">
        <v>2096</v>
      </c>
      <c r="B287" s="175" t="s">
        <v>2097</v>
      </c>
      <c r="C287" s="176">
        <v>906.0</v>
      </c>
      <c r="D287" s="175" t="s">
        <v>3517</v>
      </c>
      <c r="E287" s="177" t="str">
        <f t="shared" si="3"/>
        <v>Lapsed</v>
      </c>
      <c r="F287" s="24">
        <v>1.0</v>
      </c>
      <c r="G287" s="200">
        <v>44274.0</v>
      </c>
      <c r="H287" s="180">
        <f t="shared" si="2"/>
        <v>44561</v>
      </c>
    </row>
    <row r="288">
      <c r="A288" s="175" t="s">
        <v>2100</v>
      </c>
      <c r="B288" s="175" t="s">
        <v>2101</v>
      </c>
      <c r="C288" s="176">
        <v>905.0</v>
      </c>
      <c r="D288" s="175" t="s">
        <v>3519</v>
      </c>
      <c r="E288" s="177" t="str">
        <f t="shared" si="3"/>
        <v>Lapsed</v>
      </c>
      <c r="F288" s="24">
        <v>1.0</v>
      </c>
      <c r="G288" s="200">
        <v>44279.0</v>
      </c>
      <c r="H288" s="180">
        <f t="shared" si="2"/>
        <v>44561</v>
      </c>
    </row>
    <row r="289">
      <c r="A289" s="175" t="s">
        <v>2105</v>
      </c>
      <c r="B289" s="175" t="s">
        <v>2106</v>
      </c>
      <c r="C289" s="176">
        <v>904.0</v>
      </c>
      <c r="D289" s="208" t="s">
        <v>3517</v>
      </c>
      <c r="E289" s="177" t="str">
        <f t="shared" si="3"/>
        <v>Lapsed</v>
      </c>
      <c r="F289" s="24">
        <v>1.0</v>
      </c>
      <c r="G289" s="200">
        <v>45410.0</v>
      </c>
      <c r="H289" s="180">
        <f t="shared" si="2"/>
        <v>45656</v>
      </c>
    </row>
    <row r="290">
      <c r="A290" s="175" t="s">
        <v>2110</v>
      </c>
      <c r="B290" s="175" t="s">
        <v>2009</v>
      </c>
      <c r="C290" s="176">
        <v>903.0</v>
      </c>
      <c r="D290" s="175" t="s">
        <v>3519</v>
      </c>
      <c r="E290" s="177" t="str">
        <f t="shared" si="3"/>
        <v>Lapsed</v>
      </c>
      <c r="F290" s="24">
        <v>1.0</v>
      </c>
      <c r="G290" s="200">
        <v>44210.0</v>
      </c>
      <c r="H290" s="180">
        <f t="shared" si="2"/>
        <v>44561</v>
      </c>
    </row>
    <row r="291">
      <c r="A291" s="175" t="s">
        <v>672</v>
      </c>
      <c r="B291" s="175" t="s">
        <v>2114</v>
      </c>
      <c r="C291" s="176">
        <v>902.0</v>
      </c>
      <c r="D291" s="175" t="s">
        <v>3517</v>
      </c>
      <c r="E291" s="177" t="str">
        <f t="shared" si="3"/>
        <v>Lapsed</v>
      </c>
      <c r="F291" s="24">
        <v>1.0</v>
      </c>
      <c r="G291" s="200">
        <v>45451.0</v>
      </c>
      <c r="H291" s="180">
        <f t="shared" si="2"/>
        <v>45656</v>
      </c>
    </row>
    <row r="292">
      <c r="A292" s="186" t="s">
        <v>488</v>
      </c>
      <c r="B292" s="175" t="s">
        <v>2118</v>
      </c>
      <c r="C292" s="187">
        <v>901.0</v>
      </c>
      <c r="D292" s="175" t="s">
        <v>3517</v>
      </c>
      <c r="E292" s="177" t="str">
        <f t="shared" si="3"/>
        <v>Lapsed</v>
      </c>
      <c r="F292" s="24">
        <v>1.0</v>
      </c>
      <c r="G292" s="179">
        <v>44463.0</v>
      </c>
      <c r="H292" s="180">
        <f t="shared" si="2"/>
        <v>44561</v>
      </c>
    </row>
    <row r="293">
      <c r="A293" s="175" t="s">
        <v>2122</v>
      </c>
      <c r="B293" s="175" t="s">
        <v>2123</v>
      </c>
      <c r="C293" s="176">
        <v>900.0</v>
      </c>
      <c r="D293" s="175" t="s">
        <v>3517</v>
      </c>
      <c r="E293" s="177" t="str">
        <f t="shared" si="3"/>
        <v>Lapsed</v>
      </c>
      <c r="F293" s="24">
        <v>1.0</v>
      </c>
      <c r="G293" s="179">
        <v>44463.0</v>
      </c>
      <c r="H293" s="180">
        <f t="shared" si="2"/>
        <v>44561</v>
      </c>
    </row>
    <row r="294">
      <c r="A294" s="175" t="s">
        <v>1412</v>
      </c>
      <c r="B294" s="175" t="s">
        <v>2127</v>
      </c>
      <c r="C294" s="176">
        <v>899.0</v>
      </c>
      <c r="D294" s="175" t="s">
        <v>3517</v>
      </c>
      <c r="E294" s="177" t="str">
        <f t="shared" si="3"/>
        <v>Lapsed</v>
      </c>
      <c r="F294" s="24">
        <v>1.0</v>
      </c>
      <c r="G294" s="200">
        <v>44481.0</v>
      </c>
      <c r="H294" s="180">
        <f t="shared" si="2"/>
        <v>44561</v>
      </c>
    </row>
    <row r="295">
      <c r="A295" s="175" t="s">
        <v>308</v>
      </c>
      <c r="B295" s="175" t="s">
        <v>2131</v>
      </c>
      <c r="C295" s="176">
        <v>898.0</v>
      </c>
      <c r="D295" s="175" t="s">
        <v>3517</v>
      </c>
      <c r="E295" s="177" t="str">
        <f t="shared" si="3"/>
        <v>Lapsed</v>
      </c>
      <c r="F295" s="24">
        <v>1.0</v>
      </c>
      <c r="G295" s="200">
        <v>44751.0</v>
      </c>
      <c r="H295" s="180">
        <f t="shared" si="2"/>
        <v>44926</v>
      </c>
    </row>
    <row r="296">
      <c r="A296" s="175" t="s">
        <v>1200</v>
      </c>
      <c r="B296" s="175" t="s">
        <v>1749</v>
      </c>
      <c r="C296" s="176">
        <v>897.0</v>
      </c>
      <c r="D296" s="175" t="s">
        <v>3517</v>
      </c>
      <c r="E296" s="177" t="str">
        <f t="shared" si="3"/>
        <v>Lapsed</v>
      </c>
      <c r="F296" s="24">
        <v>1.0</v>
      </c>
      <c r="G296" s="200">
        <v>45306.0</v>
      </c>
      <c r="H296" s="180">
        <f t="shared" si="2"/>
        <v>45656</v>
      </c>
    </row>
    <row r="297">
      <c r="A297" s="175" t="s">
        <v>2138</v>
      </c>
      <c r="B297" s="175" t="s">
        <v>2139</v>
      </c>
      <c r="C297" s="176">
        <v>896.0</v>
      </c>
      <c r="D297" s="175" t="s">
        <v>3517</v>
      </c>
      <c r="E297" s="177" t="str">
        <f t="shared" si="3"/>
        <v>Lapsed</v>
      </c>
      <c r="F297" s="24">
        <v>1.0</v>
      </c>
      <c r="G297" s="179">
        <v>44463.0</v>
      </c>
      <c r="H297" s="180">
        <f t="shared" si="2"/>
        <v>44561</v>
      </c>
    </row>
    <row r="298">
      <c r="A298" s="175" t="s">
        <v>2144</v>
      </c>
      <c r="B298" s="175" t="s">
        <v>2145</v>
      </c>
      <c r="C298" s="176">
        <v>895.0</v>
      </c>
      <c r="D298" s="175" t="s">
        <v>3517</v>
      </c>
      <c r="E298" s="177" t="str">
        <f t="shared" si="3"/>
        <v>Lapsed</v>
      </c>
      <c r="F298" s="24">
        <v>1.0</v>
      </c>
      <c r="G298" s="179">
        <v>44463.0</v>
      </c>
      <c r="H298" s="180">
        <f t="shared" si="2"/>
        <v>44561</v>
      </c>
    </row>
    <row r="299">
      <c r="A299" s="175" t="s">
        <v>663</v>
      </c>
      <c r="B299" s="175" t="s">
        <v>237</v>
      </c>
      <c r="C299" s="176">
        <v>894.0</v>
      </c>
      <c r="D299" s="175" t="s">
        <v>3517</v>
      </c>
      <c r="E299" s="177" t="str">
        <f t="shared" si="3"/>
        <v>Lapsed</v>
      </c>
      <c r="F299" s="24">
        <v>1.0</v>
      </c>
      <c r="G299" s="200">
        <v>44751.0</v>
      </c>
      <c r="H299" s="180">
        <f t="shared" si="2"/>
        <v>44926</v>
      </c>
    </row>
    <row r="300">
      <c r="A300" s="175" t="s">
        <v>2152</v>
      </c>
      <c r="B300" s="175" t="s">
        <v>2153</v>
      </c>
      <c r="C300" s="176">
        <v>893.0</v>
      </c>
      <c r="D300" s="175" t="s">
        <v>3519</v>
      </c>
      <c r="E300" s="177" t="str">
        <f t="shared" si="3"/>
        <v>Lapsed</v>
      </c>
      <c r="F300" s="24">
        <v>1.0</v>
      </c>
      <c r="G300" s="179">
        <v>44463.0</v>
      </c>
      <c r="H300" s="180">
        <f t="shared" si="2"/>
        <v>44561</v>
      </c>
    </row>
    <row r="301">
      <c r="A301" s="175" t="s">
        <v>2157</v>
      </c>
      <c r="B301" s="175" t="s">
        <v>2158</v>
      </c>
      <c r="C301" s="176">
        <v>892.0</v>
      </c>
      <c r="D301" s="175" t="s">
        <v>3517</v>
      </c>
      <c r="E301" s="177" t="str">
        <f t="shared" si="3"/>
        <v>Lapsed</v>
      </c>
      <c r="F301" s="24">
        <v>1.0</v>
      </c>
      <c r="G301" s="200">
        <v>44786.0</v>
      </c>
      <c r="H301" s="180">
        <f t="shared" si="2"/>
        <v>44926</v>
      </c>
    </row>
    <row r="302">
      <c r="A302" s="175" t="s">
        <v>2160</v>
      </c>
      <c r="B302" s="175" t="s">
        <v>2163</v>
      </c>
      <c r="C302" s="176">
        <v>891.0</v>
      </c>
      <c r="D302" s="175" t="s">
        <v>3517</v>
      </c>
      <c r="E302" s="177" t="str">
        <f t="shared" si="3"/>
        <v>Lapsed</v>
      </c>
      <c r="F302" s="24">
        <v>1.0</v>
      </c>
      <c r="G302" s="200">
        <v>45150.0</v>
      </c>
      <c r="H302" s="180">
        <f t="shared" si="2"/>
        <v>45291</v>
      </c>
    </row>
    <row r="303">
      <c r="A303" s="175" t="s">
        <v>2166</v>
      </c>
      <c r="B303" s="175" t="s">
        <v>368</v>
      </c>
      <c r="C303" s="176">
        <v>890.0</v>
      </c>
      <c r="D303" s="175" t="s">
        <v>3519</v>
      </c>
      <c r="E303" s="177" t="str">
        <f t="shared" si="3"/>
        <v>Lapsed</v>
      </c>
      <c r="F303" s="24">
        <v>1.0</v>
      </c>
      <c r="G303" s="200">
        <v>44494.0</v>
      </c>
      <c r="H303" s="180">
        <f t="shared" si="2"/>
        <v>44561</v>
      </c>
    </row>
    <row r="304">
      <c r="A304" s="175" t="s">
        <v>2981</v>
      </c>
      <c r="B304" s="175" t="s">
        <v>2171</v>
      </c>
      <c r="C304" s="176">
        <v>889.0</v>
      </c>
      <c r="D304" s="175" t="s">
        <v>3517</v>
      </c>
      <c r="E304" s="177" t="str">
        <f t="shared" si="3"/>
        <v>Lapsed</v>
      </c>
      <c r="F304" s="24">
        <v>1.0</v>
      </c>
      <c r="G304" s="200">
        <v>45451.0</v>
      </c>
      <c r="H304" s="180">
        <f t="shared" si="2"/>
        <v>45656</v>
      </c>
    </row>
    <row r="305">
      <c r="A305" s="175" t="s">
        <v>2175</v>
      </c>
      <c r="B305" s="175" t="s">
        <v>2176</v>
      </c>
      <c r="C305" s="176">
        <v>888.0</v>
      </c>
      <c r="D305" s="175" t="s">
        <v>3517</v>
      </c>
      <c r="E305" s="177" t="str">
        <f t="shared" si="3"/>
        <v>Lapsed</v>
      </c>
      <c r="F305" s="24">
        <v>1.0</v>
      </c>
      <c r="G305" s="200">
        <v>45018.0</v>
      </c>
      <c r="H305" s="180">
        <f t="shared" si="2"/>
        <v>45291</v>
      </c>
    </row>
    <row r="306">
      <c r="A306" s="175" t="s">
        <v>2180</v>
      </c>
      <c r="B306" s="175" t="s">
        <v>1480</v>
      </c>
      <c r="C306" s="176">
        <v>887.0</v>
      </c>
      <c r="D306" s="175" t="s">
        <v>3517</v>
      </c>
      <c r="E306" s="177" t="str">
        <f t="shared" si="3"/>
        <v>Lapsed</v>
      </c>
      <c r="F306" s="24">
        <v>1.0</v>
      </c>
      <c r="G306" s="200">
        <v>44786.0</v>
      </c>
      <c r="H306" s="180">
        <f t="shared" si="2"/>
        <v>44926</v>
      </c>
    </row>
    <row r="307">
      <c r="A307" s="175" t="s">
        <v>2183</v>
      </c>
      <c r="B307" s="175" t="s">
        <v>2184</v>
      </c>
      <c r="C307" s="176">
        <v>886.0</v>
      </c>
      <c r="D307" s="175" t="s">
        <v>3517</v>
      </c>
      <c r="E307" s="177" t="str">
        <f t="shared" si="3"/>
        <v>Lapsed</v>
      </c>
      <c r="F307" s="24">
        <v>1.0</v>
      </c>
      <c r="G307" s="200">
        <v>44703.0</v>
      </c>
      <c r="H307" s="180">
        <f t="shared" si="2"/>
        <v>44926</v>
      </c>
    </row>
    <row r="308">
      <c r="A308" s="175" t="s">
        <v>2186</v>
      </c>
      <c r="B308" s="175" t="s">
        <v>1301</v>
      </c>
      <c r="C308" s="176">
        <v>885.0</v>
      </c>
      <c r="D308" s="175" t="s">
        <v>3519</v>
      </c>
      <c r="E308" s="177" t="str">
        <f t="shared" si="3"/>
        <v>Lapsed</v>
      </c>
      <c r="F308" s="24">
        <v>1.0</v>
      </c>
      <c r="G308" s="179">
        <v>44416.0</v>
      </c>
      <c r="H308" s="180">
        <f t="shared" si="2"/>
        <v>44561</v>
      </c>
    </row>
    <row r="309">
      <c r="A309" s="175" t="s">
        <v>2190</v>
      </c>
      <c r="B309" s="175" t="s">
        <v>1301</v>
      </c>
      <c r="C309" s="176">
        <v>884.0</v>
      </c>
      <c r="D309" s="175" t="s">
        <v>3517</v>
      </c>
      <c r="E309" s="177" t="str">
        <f t="shared" si="3"/>
        <v>Lapsed</v>
      </c>
      <c r="F309" s="24">
        <v>1.0</v>
      </c>
      <c r="G309" s="179">
        <v>44416.0</v>
      </c>
      <c r="H309" s="180">
        <f t="shared" si="2"/>
        <v>44561</v>
      </c>
    </row>
    <row r="310">
      <c r="A310" s="175" t="s">
        <v>2194</v>
      </c>
      <c r="B310" s="175" t="s">
        <v>2195</v>
      </c>
      <c r="C310" s="176">
        <v>883.0</v>
      </c>
      <c r="D310" s="175" t="s">
        <v>3517</v>
      </c>
      <c r="E310" s="177" t="str">
        <f t="shared" si="3"/>
        <v>Lapsed</v>
      </c>
      <c r="F310" s="24">
        <v>1.0</v>
      </c>
      <c r="G310" s="179">
        <v>44416.0</v>
      </c>
      <c r="H310" s="180">
        <f t="shared" si="2"/>
        <v>44561</v>
      </c>
    </row>
    <row r="311">
      <c r="A311" s="175" t="s">
        <v>1325</v>
      </c>
      <c r="B311" s="175" t="s">
        <v>2199</v>
      </c>
      <c r="C311" s="176">
        <v>882.0</v>
      </c>
      <c r="D311" s="175" t="s">
        <v>3517</v>
      </c>
      <c r="E311" s="177" t="str">
        <f t="shared" si="3"/>
        <v>Lapsed</v>
      </c>
      <c r="F311" s="24">
        <v>1.0</v>
      </c>
      <c r="G311" s="200">
        <v>44703.0</v>
      </c>
      <c r="H311" s="180">
        <f t="shared" si="2"/>
        <v>44926</v>
      </c>
    </row>
    <row r="312">
      <c r="A312" s="175" t="s">
        <v>2201</v>
      </c>
      <c r="B312" s="175" t="s">
        <v>2145</v>
      </c>
      <c r="C312" s="176">
        <v>881.0</v>
      </c>
      <c r="D312" s="175" t="s">
        <v>3517</v>
      </c>
      <c r="E312" s="177" t="str">
        <f t="shared" si="3"/>
        <v>Lapsed</v>
      </c>
      <c r="F312" s="24">
        <v>1.0</v>
      </c>
      <c r="G312" s="179">
        <v>44416.0</v>
      </c>
      <c r="H312" s="180">
        <f t="shared" si="2"/>
        <v>44561</v>
      </c>
    </row>
    <row r="313">
      <c r="A313" s="175" t="s">
        <v>2203</v>
      </c>
      <c r="B313" s="175" t="s">
        <v>2204</v>
      </c>
      <c r="C313" s="176">
        <v>880.0</v>
      </c>
      <c r="D313" s="175" t="s">
        <v>3517</v>
      </c>
      <c r="E313" s="177" t="str">
        <f t="shared" si="3"/>
        <v>Lapsed</v>
      </c>
      <c r="F313" s="24">
        <v>1.0</v>
      </c>
      <c r="G313" s="179">
        <v>44416.0</v>
      </c>
      <c r="H313" s="180">
        <f t="shared" si="2"/>
        <v>44561</v>
      </c>
    </row>
    <row r="314">
      <c r="A314" s="175" t="s">
        <v>2208</v>
      </c>
      <c r="B314" s="175" t="s">
        <v>1792</v>
      </c>
      <c r="C314" s="176">
        <v>879.0</v>
      </c>
      <c r="D314" s="175" t="s">
        <v>3517</v>
      </c>
      <c r="E314" s="177" t="str">
        <f t="shared" si="3"/>
        <v>Lapsed</v>
      </c>
      <c r="F314" s="24">
        <v>1.0</v>
      </c>
      <c r="G314" s="179">
        <v>44416.0</v>
      </c>
      <c r="H314" s="180">
        <f t="shared" si="2"/>
        <v>44561</v>
      </c>
    </row>
    <row r="315">
      <c r="A315" s="175" t="s">
        <v>2211</v>
      </c>
      <c r="B315" s="175" t="s">
        <v>1792</v>
      </c>
      <c r="C315" s="176">
        <v>878.0</v>
      </c>
      <c r="D315" s="202" t="s">
        <v>3517</v>
      </c>
      <c r="E315" s="177" t="str">
        <f t="shared" si="3"/>
        <v>Lapsed</v>
      </c>
      <c r="F315" s="24">
        <v>1.0</v>
      </c>
      <c r="G315" s="200">
        <v>44481.0</v>
      </c>
      <c r="H315" s="180">
        <f t="shared" si="2"/>
        <v>44561</v>
      </c>
    </row>
    <row r="316">
      <c r="A316" s="175" t="s">
        <v>712</v>
      </c>
      <c r="B316" s="175" t="s">
        <v>1302</v>
      </c>
      <c r="C316" s="176">
        <v>877.0</v>
      </c>
      <c r="D316" s="175" t="s">
        <v>3517</v>
      </c>
      <c r="E316" s="177" t="str">
        <f t="shared" si="3"/>
        <v>Lapsed</v>
      </c>
      <c r="F316" s="24">
        <v>1.0</v>
      </c>
      <c r="G316" s="179">
        <v>44416.0</v>
      </c>
      <c r="H316" s="180">
        <f t="shared" si="2"/>
        <v>44561</v>
      </c>
    </row>
    <row r="317">
      <c r="A317" s="175" t="s">
        <v>2217</v>
      </c>
      <c r="B317" s="175" t="s">
        <v>2218</v>
      </c>
      <c r="C317" s="176">
        <v>876.0</v>
      </c>
      <c r="D317" s="175" t="s">
        <v>3517</v>
      </c>
      <c r="E317" s="177" t="str">
        <f t="shared" si="3"/>
        <v>Lapsed</v>
      </c>
      <c r="F317" s="24">
        <v>1.0</v>
      </c>
      <c r="G317" s="200">
        <v>44937.0</v>
      </c>
      <c r="H317" s="180">
        <f t="shared" si="2"/>
        <v>45291</v>
      </c>
    </row>
    <row r="318">
      <c r="A318" s="175" t="s">
        <v>644</v>
      </c>
      <c r="B318" s="175" t="s">
        <v>1104</v>
      </c>
      <c r="C318" s="176">
        <v>875.0</v>
      </c>
      <c r="D318" s="175" t="s">
        <v>3517</v>
      </c>
      <c r="E318" s="177" t="str">
        <f t="shared" si="3"/>
        <v>Lapsed</v>
      </c>
      <c r="F318" s="24">
        <v>1.0</v>
      </c>
      <c r="G318" s="179">
        <v>44416.0</v>
      </c>
      <c r="H318" s="180">
        <f t="shared" si="2"/>
        <v>44561</v>
      </c>
    </row>
    <row r="319">
      <c r="A319" s="175" t="s">
        <v>2226</v>
      </c>
      <c r="B319" s="202" t="s">
        <v>2227</v>
      </c>
      <c r="C319" s="176">
        <v>874.0</v>
      </c>
      <c r="D319" s="175" t="s">
        <v>3517</v>
      </c>
      <c r="E319" s="177" t="str">
        <f t="shared" si="3"/>
        <v>Lapsed</v>
      </c>
      <c r="F319" s="24">
        <v>1.0</v>
      </c>
      <c r="G319" s="200">
        <v>44781.0</v>
      </c>
      <c r="H319" s="180">
        <f t="shared" si="2"/>
        <v>44926</v>
      </c>
    </row>
    <row r="320">
      <c r="A320" s="175" t="s">
        <v>2231</v>
      </c>
      <c r="B320" s="175" t="s">
        <v>2232</v>
      </c>
      <c r="C320" s="176">
        <v>873.0</v>
      </c>
      <c r="D320" s="175" t="s">
        <v>3517</v>
      </c>
      <c r="E320" s="177" t="str">
        <f t="shared" si="3"/>
        <v>Lapsed</v>
      </c>
      <c r="F320" s="24">
        <v>1.0</v>
      </c>
      <c r="G320" s="179">
        <v>44416.0</v>
      </c>
      <c r="H320" s="180">
        <f t="shared" si="2"/>
        <v>44561</v>
      </c>
    </row>
    <row r="321">
      <c r="A321" s="175" t="s">
        <v>154</v>
      </c>
      <c r="B321" s="175" t="s">
        <v>2236</v>
      </c>
      <c r="C321" s="176">
        <v>872.0</v>
      </c>
      <c r="D321" s="175" t="s">
        <v>3517</v>
      </c>
      <c r="E321" s="177" t="str">
        <f t="shared" si="3"/>
        <v>Lapsed</v>
      </c>
      <c r="F321" s="24">
        <v>1.0</v>
      </c>
      <c r="G321" s="179">
        <v>44416.0</v>
      </c>
      <c r="H321" s="180">
        <f t="shared" si="2"/>
        <v>44561</v>
      </c>
    </row>
    <row r="322">
      <c r="A322" s="175" t="s">
        <v>2240</v>
      </c>
      <c r="B322" s="175" t="s">
        <v>2241</v>
      </c>
      <c r="C322" s="176">
        <v>871.0</v>
      </c>
      <c r="D322" s="175" t="s">
        <v>3517</v>
      </c>
      <c r="E322" s="177" t="str">
        <f t="shared" si="3"/>
        <v>Lapsed</v>
      </c>
      <c r="F322" s="24">
        <v>1.0</v>
      </c>
      <c r="G322" s="179">
        <v>44416.0</v>
      </c>
      <c r="H322" s="180">
        <f t="shared" si="2"/>
        <v>44561</v>
      </c>
    </row>
    <row r="323">
      <c r="A323" s="175" t="s">
        <v>2246</v>
      </c>
      <c r="B323" s="175" t="s">
        <v>2247</v>
      </c>
      <c r="C323" s="176">
        <v>870.0</v>
      </c>
      <c r="D323" s="175" t="s">
        <v>3517</v>
      </c>
      <c r="E323" s="177" t="str">
        <f t="shared" si="3"/>
        <v>Lapsed</v>
      </c>
      <c r="F323" s="24">
        <v>1.0</v>
      </c>
      <c r="G323" s="179">
        <v>44416.0</v>
      </c>
      <c r="H323" s="180">
        <f t="shared" si="2"/>
        <v>44561</v>
      </c>
    </row>
    <row r="324">
      <c r="A324" s="175" t="s">
        <v>2250</v>
      </c>
      <c r="B324" s="175" t="s">
        <v>2251</v>
      </c>
      <c r="C324" s="176">
        <v>869.0</v>
      </c>
      <c r="D324" s="175" t="s">
        <v>3517</v>
      </c>
      <c r="E324" s="177" t="str">
        <f t="shared" si="3"/>
        <v>Lapsed</v>
      </c>
      <c r="F324" s="24">
        <v>1.0</v>
      </c>
      <c r="G324" s="179">
        <v>44416.0</v>
      </c>
      <c r="H324" s="180">
        <f t="shared" si="2"/>
        <v>44561</v>
      </c>
    </row>
    <row r="325">
      <c r="A325" s="175" t="s">
        <v>2255</v>
      </c>
      <c r="B325" s="175" t="s">
        <v>1385</v>
      </c>
      <c r="C325" s="176">
        <v>868.0</v>
      </c>
      <c r="D325" s="175" t="s">
        <v>3517</v>
      </c>
      <c r="E325" s="177" t="str">
        <f t="shared" si="3"/>
        <v>Lapsed</v>
      </c>
      <c r="F325" s="24">
        <v>1.0</v>
      </c>
      <c r="G325" s="200">
        <v>45407.0</v>
      </c>
      <c r="H325" s="180">
        <f t="shared" si="2"/>
        <v>45656</v>
      </c>
    </row>
    <row r="326">
      <c r="A326" s="175" t="s">
        <v>2258</v>
      </c>
      <c r="B326" s="175" t="s">
        <v>2259</v>
      </c>
      <c r="C326" s="176">
        <v>866.0</v>
      </c>
      <c r="D326" s="175" t="s">
        <v>3517</v>
      </c>
      <c r="E326" s="177" t="str">
        <f t="shared" si="3"/>
        <v>Lapsed</v>
      </c>
      <c r="F326" s="24">
        <v>1.0</v>
      </c>
      <c r="G326" s="200">
        <v>44751.0</v>
      </c>
      <c r="H326" s="180">
        <f t="shared" si="2"/>
        <v>44926</v>
      </c>
    </row>
    <row r="327">
      <c r="A327" s="175" t="s">
        <v>2264</v>
      </c>
      <c r="B327" s="175" t="s">
        <v>2265</v>
      </c>
      <c r="C327" s="176">
        <v>865.0</v>
      </c>
      <c r="D327" s="175" t="s">
        <v>3517</v>
      </c>
      <c r="E327" s="177" t="str">
        <f t="shared" si="3"/>
        <v>Lapsed</v>
      </c>
      <c r="F327" s="24">
        <v>1.0</v>
      </c>
      <c r="G327" s="179">
        <v>44375.0</v>
      </c>
      <c r="H327" s="180">
        <f t="shared" si="2"/>
        <v>44561</v>
      </c>
    </row>
    <row r="328">
      <c r="A328" s="175" t="s">
        <v>2270</v>
      </c>
      <c r="B328" s="175" t="s">
        <v>859</v>
      </c>
      <c r="C328" s="176">
        <v>864.0</v>
      </c>
      <c r="D328" s="175" t="s">
        <v>3517</v>
      </c>
      <c r="E328" s="177" t="str">
        <f t="shared" si="3"/>
        <v>Lapsed</v>
      </c>
      <c r="F328" s="24">
        <v>1.0</v>
      </c>
      <c r="G328" s="179">
        <v>44375.0</v>
      </c>
      <c r="H328" s="180">
        <f t="shared" si="2"/>
        <v>44561</v>
      </c>
    </row>
    <row r="329">
      <c r="A329" s="175" t="s">
        <v>747</v>
      </c>
      <c r="B329" s="175" t="s">
        <v>1301</v>
      </c>
      <c r="C329" s="176">
        <v>863.0</v>
      </c>
      <c r="D329" s="175" t="s">
        <v>3519</v>
      </c>
      <c r="E329" s="177" t="str">
        <f t="shared" si="3"/>
        <v>Lapsed</v>
      </c>
      <c r="F329" s="24">
        <v>1.0</v>
      </c>
      <c r="G329" s="179">
        <v>44375.0</v>
      </c>
      <c r="H329" s="180">
        <f t="shared" si="2"/>
        <v>44561</v>
      </c>
    </row>
    <row r="330">
      <c r="A330" s="175" t="s">
        <v>86</v>
      </c>
      <c r="B330" s="175" t="s">
        <v>1959</v>
      </c>
      <c r="C330" s="176">
        <v>862.0</v>
      </c>
      <c r="D330" s="175" t="s">
        <v>3517</v>
      </c>
      <c r="E330" s="177" t="str">
        <f t="shared" si="3"/>
        <v>Lapsed</v>
      </c>
      <c r="F330" s="24">
        <v>1.0</v>
      </c>
      <c r="G330" s="200">
        <v>44375.0</v>
      </c>
      <c r="H330" s="180">
        <f t="shared" si="2"/>
        <v>44561</v>
      </c>
    </row>
    <row r="331">
      <c r="A331" s="175" t="s">
        <v>2274</v>
      </c>
      <c r="B331" s="175" t="s">
        <v>2275</v>
      </c>
      <c r="C331" s="176">
        <v>861.0</v>
      </c>
      <c r="D331" s="175" t="s">
        <v>3519</v>
      </c>
      <c r="E331" s="177" t="str">
        <f t="shared" si="3"/>
        <v>Lapsed</v>
      </c>
      <c r="F331" s="24">
        <v>1.0</v>
      </c>
      <c r="G331" s="200">
        <v>44375.0</v>
      </c>
      <c r="H331" s="180">
        <f t="shared" si="2"/>
        <v>44561</v>
      </c>
    </row>
    <row r="332">
      <c r="A332" s="175" t="s">
        <v>2241</v>
      </c>
      <c r="B332" s="175" t="s">
        <v>2279</v>
      </c>
      <c r="C332" s="176">
        <v>860.0</v>
      </c>
      <c r="D332" s="175" t="s">
        <v>3517</v>
      </c>
      <c r="E332" s="177" t="str">
        <f t="shared" si="3"/>
        <v>Lapsed</v>
      </c>
      <c r="F332" s="24">
        <v>1.0</v>
      </c>
      <c r="G332" s="200">
        <v>44979.0</v>
      </c>
      <c r="H332" s="180">
        <f t="shared" si="2"/>
        <v>45291</v>
      </c>
    </row>
    <row r="333">
      <c r="A333" s="175" t="s">
        <v>2283</v>
      </c>
      <c r="B333" s="175" t="s">
        <v>2284</v>
      </c>
      <c r="C333" s="176">
        <v>859.0</v>
      </c>
      <c r="D333" s="175" t="s">
        <v>3517</v>
      </c>
      <c r="E333" s="177" t="str">
        <f t="shared" si="3"/>
        <v>Lapsed</v>
      </c>
      <c r="F333" s="24">
        <v>1.0</v>
      </c>
      <c r="G333" s="200">
        <v>45451.0</v>
      </c>
      <c r="H333" s="180">
        <f t="shared" si="2"/>
        <v>45656</v>
      </c>
    </row>
    <row r="334">
      <c r="A334" s="175" t="s">
        <v>2288</v>
      </c>
      <c r="B334" s="175" t="s">
        <v>2289</v>
      </c>
      <c r="C334" s="176">
        <v>858.0</v>
      </c>
      <c r="D334" s="175" t="s">
        <v>3517</v>
      </c>
      <c r="E334" s="177" t="str">
        <f t="shared" si="3"/>
        <v>Lapsed</v>
      </c>
      <c r="F334" s="24">
        <v>1.0</v>
      </c>
      <c r="G334" s="179">
        <v>44375.0</v>
      </c>
      <c r="H334" s="180">
        <f t="shared" si="2"/>
        <v>44561</v>
      </c>
    </row>
    <row r="335">
      <c r="A335" s="175" t="s">
        <v>2293</v>
      </c>
      <c r="B335" s="175" t="s">
        <v>2294</v>
      </c>
      <c r="C335" s="176">
        <v>857.0</v>
      </c>
      <c r="D335" s="175" t="s">
        <v>3517</v>
      </c>
      <c r="E335" s="177" t="str">
        <f t="shared" si="3"/>
        <v>Lapsed</v>
      </c>
      <c r="F335" s="24">
        <v>1.0</v>
      </c>
      <c r="G335" s="179">
        <v>44375.0</v>
      </c>
      <c r="H335" s="180">
        <f t="shared" si="2"/>
        <v>44561</v>
      </c>
    </row>
    <row r="336">
      <c r="A336" s="175" t="s">
        <v>2298</v>
      </c>
      <c r="B336" s="175" t="s">
        <v>2299</v>
      </c>
      <c r="C336" s="176">
        <v>856.0</v>
      </c>
      <c r="D336" s="175" t="s">
        <v>3519</v>
      </c>
      <c r="E336" s="177" t="str">
        <f t="shared" si="3"/>
        <v>Lapsed</v>
      </c>
      <c r="F336" s="24">
        <v>1.0</v>
      </c>
      <c r="G336" s="179">
        <v>44375.0</v>
      </c>
      <c r="H336" s="180">
        <f t="shared" si="2"/>
        <v>44561</v>
      </c>
    </row>
    <row r="337">
      <c r="A337" s="175" t="s">
        <v>2303</v>
      </c>
      <c r="B337" s="175" t="s">
        <v>2304</v>
      </c>
      <c r="C337" s="176">
        <v>855.0</v>
      </c>
      <c r="D337" s="175" t="s">
        <v>3517</v>
      </c>
      <c r="E337" s="177" t="str">
        <f t="shared" si="3"/>
        <v>Lapsed</v>
      </c>
      <c r="F337" s="24">
        <v>1.0</v>
      </c>
      <c r="G337" s="179">
        <v>44375.0</v>
      </c>
      <c r="H337" s="180">
        <f t="shared" si="2"/>
        <v>44561</v>
      </c>
    </row>
    <row r="338">
      <c r="A338" s="175" t="s">
        <v>2308</v>
      </c>
      <c r="B338" s="175" t="s">
        <v>2309</v>
      </c>
      <c r="C338" s="176">
        <v>854.0</v>
      </c>
      <c r="D338" s="175" t="s">
        <v>3517</v>
      </c>
      <c r="E338" s="177" t="str">
        <f t="shared" si="3"/>
        <v>Lapsed</v>
      </c>
      <c r="F338" s="24">
        <v>1.0</v>
      </c>
      <c r="G338" s="179">
        <v>44375.0</v>
      </c>
      <c r="H338" s="180">
        <f t="shared" si="2"/>
        <v>44561</v>
      </c>
    </row>
    <row r="339">
      <c r="A339" s="175" t="s">
        <v>326</v>
      </c>
      <c r="B339" s="175" t="s">
        <v>2314</v>
      </c>
      <c r="C339" s="176">
        <v>853.0</v>
      </c>
      <c r="D339" s="175" t="s">
        <v>3517</v>
      </c>
      <c r="E339" s="177" t="str">
        <f t="shared" si="3"/>
        <v>Lapsed</v>
      </c>
      <c r="F339" s="24">
        <v>1.0</v>
      </c>
      <c r="G339" s="200">
        <v>44375.0</v>
      </c>
      <c r="H339" s="180">
        <f t="shared" si="2"/>
        <v>44561</v>
      </c>
    </row>
    <row r="340">
      <c r="A340" s="175" t="s">
        <v>2319</v>
      </c>
      <c r="B340" s="175" t="s">
        <v>1968</v>
      </c>
      <c r="C340" s="176">
        <v>852.0</v>
      </c>
      <c r="D340" s="175" t="s">
        <v>3517</v>
      </c>
      <c r="E340" s="177" t="str">
        <f t="shared" si="3"/>
        <v>Lapsed</v>
      </c>
      <c r="F340" s="108">
        <v>3.0</v>
      </c>
      <c r="G340" s="200">
        <v>45043.0</v>
      </c>
      <c r="H340" s="180">
        <f t="shared" si="2"/>
        <v>46022</v>
      </c>
    </row>
    <row r="341">
      <c r="A341" s="175" t="s">
        <v>154</v>
      </c>
      <c r="B341" s="175" t="s">
        <v>2322</v>
      </c>
      <c r="C341" s="176">
        <v>851.0</v>
      </c>
      <c r="D341" s="175" t="s">
        <v>3517</v>
      </c>
      <c r="E341" s="177" t="str">
        <f t="shared" si="3"/>
        <v>Lapsed</v>
      </c>
      <c r="F341" s="24">
        <v>1.0</v>
      </c>
      <c r="G341" s="200">
        <v>44375.0</v>
      </c>
      <c r="H341" s="180">
        <f t="shared" si="2"/>
        <v>44561</v>
      </c>
    </row>
    <row r="342">
      <c r="A342" s="175" t="s">
        <v>943</v>
      </c>
      <c r="B342" s="175" t="s">
        <v>2326</v>
      </c>
      <c r="C342" s="176">
        <v>850.0</v>
      </c>
      <c r="D342" s="175" t="s">
        <v>3517</v>
      </c>
      <c r="E342" s="177" t="str">
        <f t="shared" si="3"/>
        <v>Lapsed</v>
      </c>
      <c r="F342" s="24">
        <v>1.0</v>
      </c>
      <c r="G342" s="179">
        <v>44375.0</v>
      </c>
      <c r="H342" s="180">
        <f t="shared" si="2"/>
        <v>44561</v>
      </c>
    </row>
    <row r="343">
      <c r="A343" s="175" t="s">
        <v>1230</v>
      </c>
      <c r="B343" s="175" t="s">
        <v>2331</v>
      </c>
      <c r="C343" s="176">
        <v>849.0</v>
      </c>
      <c r="D343" s="175" t="s">
        <v>3517</v>
      </c>
      <c r="E343" s="177" t="str">
        <f t="shared" si="3"/>
        <v>Lapsed</v>
      </c>
      <c r="F343" s="24">
        <v>1.0</v>
      </c>
      <c r="G343" s="179">
        <v>44375.0</v>
      </c>
      <c r="H343" s="180">
        <f t="shared" si="2"/>
        <v>44561</v>
      </c>
    </row>
    <row r="344">
      <c r="A344" s="175" t="s">
        <v>2335</v>
      </c>
      <c r="B344" s="175" t="s">
        <v>562</v>
      </c>
      <c r="C344" s="176">
        <v>848.0</v>
      </c>
      <c r="D344" s="175" t="s">
        <v>3517</v>
      </c>
      <c r="E344" s="177" t="str">
        <f t="shared" si="3"/>
        <v>Lapsed</v>
      </c>
      <c r="F344" s="24">
        <v>1.0</v>
      </c>
      <c r="G344" s="200">
        <v>44375.0</v>
      </c>
      <c r="H344" s="180">
        <f t="shared" si="2"/>
        <v>44561</v>
      </c>
    </row>
    <row r="345">
      <c r="A345" s="175" t="s">
        <v>2340</v>
      </c>
      <c r="B345" s="175" t="s">
        <v>1713</v>
      </c>
      <c r="C345" s="176">
        <v>847.0</v>
      </c>
      <c r="D345" s="175" t="s">
        <v>3517</v>
      </c>
      <c r="E345" s="177" t="str">
        <f t="shared" si="3"/>
        <v>Lapsed</v>
      </c>
      <c r="F345" s="24">
        <v>1.0</v>
      </c>
      <c r="G345" s="200">
        <v>44375.0</v>
      </c>
      <c r="H345" s="180">
        <f t="shared" si="2"/>
        <v>44561</v>
      </c>
    </row>
    <row r="346">
      <c r="A346" s="175" t="s">
        <v>2344</v>
      </c>
      <c r="B346" s="175" t="s">
        <v>2345</v>
      </c>
      <c r="C346" s="176">
        <v>846.0</v>
      </c>
      <c r="D346" s="175" t="s">
        <v>3517</v>
      </c>
      <c r="E346" s="177" t="str">
        <f t="shared" si="3"/>
        <v>Lapsed</v>
      </c>
      <c r="F346" s="24">
        <v>1.0</v>
      </c>
      <c r="G346" s="179">
        <v>44375.0</v>
      </c>
      <c r="H346" s="180">
        <f t="shared" si="2"/>
        <v>44561</v>
      </c>
    </row>
    <row r="347">
      <c r="A347" s="175" t="s">
        <v>2349</v>
      </c>
      <c r="B347" s="175" t="s">
        <v>887</v>
      </c>
      <c r="C347" s="176">
        <v>845.0</v>
      </c>
      <c r="D347" s="175" t="s">
        <v>3517</v>
      </c>
      <c r="E347" s="177" t="str">
        <f t="shared" si="3"/>
        <v>Lapsed</v>
      </c>
      <c r="F347" s="24">
        <v>1.0</v>
      </c>
      <c r="G347" s="179">
        <v>44375.0</v>
      </c>
      <c r="H347" s="180">
        <f t="shared" si="2"/>
        <v>44561</v>
      </c>
    </row>
    <row r="348">
      <c r="A348" s="175" t="s">
        <v>2353</v>
      </c>
      <c r="B348" s="175" t="s">
        <v>887</v>
      </c>
      <c r="C348" s="176">
        <v>844.0</v>
      </c>
      <c r="D348" s="175" t="s">
        <v>3517</v>
      </c>
      <c r="E348" s="177" t="str">
        <f t="shared" si="3"/>
        <v>Lapsed</v>
      </c>
      <c r="F348" s="24">
        <v>1.0</v>
      </c>
      <c r="G348" s="200">
        <v>45451.0</v>
      </c>
      <c r="H348" s="180">
        <f t="shared" si="2"/>
        <v>45656</v>
      </c>
    </row>
    <row r="349">
      <c r="A349" s="175" t="s">
        <v>2357</v>
      </c>
      <c r="B349" s="175" t="s">
        <v>2358</v>
      </c>
      <c r="C349" s="176">
        <v>843.0</v>
      </c>
      <c r="D349" s="175" t="s">
        <v>3519</v>
      </c>
      <c r="E349" s="177" t="str">
        <f t="shared" si="3"/>
        <v>Lapsed</v>
      </c>
      <c r="F349" s="24">
        <v>1.0</v>
      </c>
      <c r="G349" s="200">
        <v>44786.0</v>
      </c>
      <c r="H349" s="180">
        <f t="shared" si="2"/>
        <v>44926</v>
      </c>
    </row>
    <row r="350">
      <c r="A350" s="175" t="s">
        <v>2363</v>
      </c>
      <c r="B350" s="175" t="s">
        <v>2364</v>
      </c>
      <c r="C350" s="176">
        <v>842.0</v>
      </c>
      <c r="D350" s="175" t="s">
        <v>3519</v>
      </c>
      <c r="E350" s="177" t="str">
        <f t="shared" si="3"/>
        <v>Lapsed</v>
      </c>
      <c r="F350" s="24">
        <v>1.0</v>
      </c>
      <c r="G350" s="179">
        <v>44375.0</v>
      </c>
      <c r="H350" s="180">
        <f t="shared" si="2"/>
        <v>44561</v>
      </c>
    </row>
    <row r="351">
      <c r="A351" s="175" t="s">
        <v>2368</v>
      </c>
      <c r="B351" s="175" t="s">
        <v>2369</v>
      </c>
      <c r="C351" s="176">
        <v>841.0</v>
      </c>
      <c r="D351" s="175" t="s">
        <v>3517</v>
      </c>
      <c r="E351" s="177" t="str">
        <f t="shared" si="3"/>
        <v>Lapsed</v>
      </c>
      <c r="F351" s="24">
        <v>1.0</v>
      </c>
      <c r="G351" s="200">
        <v>45042.0</v>
      </c>
      <c r="H351" s="180">
        <f t="shared" si="2"/>
        <v>45291</v>
      </c>
    </row>
    <row r="352">
      <c r="A352" s="175" t="s">
        <v>450</v>
      </c>
      <c r="B352" s="175" t="s">
        <v>2373</v>
      </c>
      <c r="C352" s="176">
        <v>840.0</v>
      </c>
      <c r="D352" s="175" t="s">
        <v>3517</v>
      </c>
      <c r="E352" s="177" t="str">
        <f t="shared" si="3"/>
        <v>Lapsed</v>
      </c>
      <c r="F352" s="24">
        <v>1.0</v>
      </c>
      <c r="G352" s="207">
        <v>44375.0</v>
      </c>
      <c r="H352" s="180">
        <f t="shared" si="2"/>
        <v>44561</v>
      </c>
    </row>
    <row r="353">
      <c r="A353" s="175" t="s">
        <v>2377</v>
      </c>
      <c r="B353" s="175" t="s">
        <v>2378</v>
      </c>
      <c r="C353" s="176">
        <v>839.0</v>
      </c>
      <c r="D353" s="175" t="s">
        <v>3517</v>
      </c>
      <c r="E353" s="177" t="str">
        <f t="shared" si="3"/>
        <v>Lapsed</v>
      </c>
      <c r="F353" s="24">
        <v>1.0</v>
      </c>
      <c r="G353" s="200">
        <v>44375.0</v>
      </c>
      <c r="H353" s="180">
        <f t="shared" si="2"/>
        <v>44561</v>
      </c>
    </row>
    <row r="354">
      <c r="A354" s="175" t="s">
        <v>2382</v>
      </c>
      <c r="B354" s="175" t="s">
        <v>2383</v>
      </c>
      <c r="C354" s="176">
        <v>838.0</v>
      </c>
      <c r="D354" s="208" t="s">
        <v>3517</v>
      </c>
      <c r="E354" s="177" t="str">
        <f t="shared" si="3"/>
        <v>Lapsed</v>
      </c>
      <c r="F354" s="24">
        <v>1.0</v>
      </c>
      <c r="G354" s="179">
        <v>44375.0</v>
      </c>
      <c r="H354" s="180">
        <f t="shared" si="2"/>
        <v>44561</v>
      </c>
    </row>
    <row r="355">
      <c r="A355" s="175" t="s">
        <v>2388</v>
      </c>
      <c r="B355" s="175" t="s">
        <v>2389</v>
      </c>
      <c r="C355" s="176">
        <v>837.0</v>
      </c>
      <c r="D355" s="175" t="s">
        <v>3517</v>
      </c>
      <c r="E355" s="177" t="str">
        <f t="shared" si="3"/>
        <v>Lapsed</v>
      </c>
      <c r="F355" s="24">
        <v>1.0</v>
      </c>
      <c r="G355" s="179">
        <v>44235.0</v>
      </c>
      <c r="H355" s="180">
        <f t="shared" si="2"/>
        <v>44561</v>
      </c>
    </row>
    <row r="356">
      <c r="A356" s="175" t="s">
        <v>2393</v>
      </c>
      <c r="B356" s="175" t="s">
        <v>2394</v>
      </c>
      <c r="C356" s="176">
        <v>836.0</v>
      </c>
      <c r="D356" s="175" t="s">
        <v>3517</v>
      </c>
      <c r="E356" s="177" t="str">
        <f t="shared" si="3"/>
        <v>Lapsed</v>
      </c>
      <c r="F356" s="24">
        <v>1.0</v>
      </c>
      <c r="G356" s="200">
        <v>45406.0</v>
      </c>
      <c r="H356" s="180">
        <f t="shared" si="2"/>
        <v>45656</v>
      </c>
    </row>
    <row r="357">
      <c r="A357" s="175" t="s">
        <v>2398</v>
      </c>
      <c r="B357" s="175" t="s">
        <v>2110</v>
      </c>
      <c r="C357" s="176">
        <v>835.0</v>
      </c>
      <c r="D357" s="175" t="s">
        <v>3517</v>
      </c>
      <c r="E357" s="177" t="str">
        <f t="shared" si="3"/>
        <v>Lapsed</v>
      </c>
      <c r="F357" s="24">
        <v>1.0</v>
      </c>
      <c r="G357" s="200">
        <v>44235.0</v>
      </c>
      <c r="H357" s="180">
        <f t="shared" si="2"/>
        <v>44561</v>
      </c>
    </row>
    <row r="358">
      <c r="A358" s="175" t="s">
        <v>363</v>
      </c>
      <c r="B358" s="175" t="s">
        <v>2403</v>
      </c>
      <c r="C358" s="176">
        <v>834.0</v>
      </c>
      <c r="D358" s="202" t="s">
        <v>3517</v>
      </c>
      <c r="E358" s="177" t="str">
        <f t="shared" si="3"/>
        <v>Lapsed</v>
      </c>
      <c r="F358" s="158">
        <v>3.0</v>
      </c>
      <c r="G358" s="200">
        <v>45160.0</v>
      </c>
      <c r="H358" s="180">
        <f t="shared" si="2"/>
        <v>46022</v>
      </c>
    </row>
    <row r="359">
      <c r="A359" s="175" t="s">
        <v>2407</v>
      </c>
      <c r="B359" s="175" t="s">
        <v>2289</v>
      </c>
      <c r="C359" s="176">
        <v>833.0</v>
      </c>
      <c r="D359" s="175" t="s">
        <v>3517</v>
      </c>
      <c r="E359" s="177" t="str">
        <f t="shared" si="3"/>
        <v>Lapsed</v>
      </c>
      <c r="F359" s="24">
        <v>1.0</v>
      </c>
      <c r="G359" s="179">
        <v>44375.0</v>
      </c>
      <c r="H359" s="180">
        <f t="shared" si="2"/>
        <v>44561</v>
      </c>
    </row>
    <row r="360">
      <c r="A360" s="175" t="s">
        <v>2008</v>
      </c>
      <c r="B360" s="175" t="s">
        <v>2411</v>
      </c>
      <c r="C360" s="176">
        <v>832.0</v>
      </c>
      <c r="D360" s="175" t="s">
        <v>3517</v>
      </c>
      <c r="E360" s="177" t="str">
        <f t="shared" si="3"/>
        <v>Lapsed</v>
      </c>
      <c r="F360" s="24">
        <v>1.0</v>
      </c>
      <c r="G360" s="200">
        <v>45032.0</v>
      </c>
      <c r="H360" s="180">
        <f t="shared" si="2"/>
        <v>45291</v>
      </c>
    </row>
    <row r="361">
      <c r="A361" s="175" t="s">
        <v>1240</v>
      </c>
      <c r="B361" s="175" t="s">
        <v>2415</v>
      </c>
      <c r="C361" s="176">
        <v>831.0</v>
      </c>
      <c r="D361" s="175" t="s">
        <v>3517</v>
      </c>
      <c r="E361" s="177" t="str">
        <f t="shared" si="3"/>
        <v>Lapsed</v>
      </c>
      <c r="F361" s="24">
        <v>1.0</v>
      </c>
      <c r="G361" s="200">
        <v>44670.0</v>
      </c>
      <c r="H361" s="180">
        <f t="shared" si="2"/>
        <v>44926</v>
      </c>
    </row>
    <row r="362">
      <c r="A362" s="175" t="s">
        <v>295</v>
      </c>
      <c r="B362" s="175" t="s">
        <v>2419</v>
      </c>
      <c r="C362" s="176">
        <v>830.0</v>
      </c>
      <c r="D362" s="175" t="s">
        <v>3517</v>
      </c>
      <c r="E362" s="177" t="str">
        <f t="shared" si="3"/>
        <v>Lapsed</v>
      </c>
      <c r="F362" s="24">
        <v>1.0</v>
      </c>
      <c r="G362" s="207">
        <v>44481.0</v>
      </c>
      <c r="H362" s="180">
        <f t="shared" si="2"/>
        <v>44561</v>
      </c>
    </row>
    <row r="363">
      <c r="A363" s="175" t="s">
        <v>2423</v>
      </c>
      <c r="B363" s="175" t="s">
        <v>237</v>
      </c>
      <c r="C363" s="176">
        <v>829.0</v>
      </c>
      <c r="D363" s="175" t="s">
        <v>3517</v>
      </c>
      <c r="E363" s="177" t="str">
        <f t="shared" si="3"/>
        <v>Lapsed</v>
      </c>
      <c r="F363" s="24">
        <v>1.0</v>
      </c>
      <c r="G363" s="179"/>
      <c r="H363" s="180"/>
    </row>
    <row r="364">
      <c r="A364" s="175" t="s">
        <v>154</v>
      </c>
      <c r="B364" s="175" t="s">
        <v>2428</v>
      </c>
      <c r="C364" s="206">
        <v>828.0</v>
      </c>
      <c r="D364" s="175" t="s">
        <v>3517</v>
      </c>
      <c r="E364" s="177" t="str">
        <f t="shared" si="3"/>
        <v>Lapsed</v>
      </c>
      <c r="F364" s="24">
        <v>1.0</v>
      </c>
      <c r="G364" s="200">
        <v>45292.0</v>
      </c>
      <c r="H364" s="180">
        <f t="shared" ref="H364:H474" si="4">G364+ 365-(G364-date(year(G364)+F364-1,1,1)+1)</f>
        <v>45656</v>
      </c>
    </row>
    <row r="365">
      <c r="A365" s="175" t="s">
        <v>2432</v>
      </c>
      <c r="B365" s="175" t="s">
        <v>2433</v>
      </c>
      <c r="C365" s="176">
        <v>827.0</v>
      </c>
      <c r="D365" s="175" t="s">
        <v>3517</v>
      </c>
      <c r="E365" s="177" t="str">
        <f t="shared" si="3"/>
        <v>Lapsed</v>
      </c>
      <c r="F365" s="24">
        <v>1.0</v>
      </c>
      <c r="G365" s="200">
        <v>45292.0</v>
      </c>
      <c r="H365" s="180">
        <f t="shared" si="4"/>
        <v>45656</v>
      </c>
    </row>
    <row r="366">
      <c r="A366" s="175" t="s">
        <v>2437</v>
      </c>
      <c r="B366" s="175" t="s">
        <v>2438</v>
      </c>
      <c r="C366" s="176">
        <v>826.0</v>
      </c>
      <c r="D366" s="175" t="s">
        <v>3517</v>
      </c>
      <c r="E366" s="177" t="str">
        <f t="shared" si="3"/>
        <v>Lapsed</v>
      </c>
      <c r="F366" s="24">
        <v>1.0</v>
      </c>
      <c r="G366" s="200">
        <v>44356.0</v>
      </c>
      <c r="H366" s="180">
        <f t="shared" si="4"/>
        <v>44561</v>
      </c>
    </row>
    <row r="367">
      <c r="A367" s="175" t="s">
        <v>2442</v>
      </c>
      <c r="B367" s="175" t="s">
        <v>2443</v>
      </c>
      <c r="C367" s="176">
        <v>826.0</v>
      </c>
      <c r="D367" s="175" t="s">
        <v>3517</v>
      </c>
      <c r="E367" s="177" t="str">
        <f t="shared" si="3"/>
        <v>Lapsed</v>
      </c>
      <c r="F367" s="24">
        <v>1.0</v>
      </c>
      <c r="G367" s="179">
        <v>44354.0</v>
      </c>
      <c r="H367" s="180">
        <f t="shared" si="4"/>
        <v>44561</v>
      </c>
    </row>
    <row r="368">
      <c r="A368" s="175" t="s">
        <v>1041</v>
      </c>
      <c r="B368" s="175" t="s">
        <v>2448</v>
      </c>
      <c r="C368" s="176">
        <v>825.0</v>
      </c>
      <c r="D368" s="175" t="s">
        <v>3517</v>
      </c>
      <c r="E368" s="177" t="str">
        <f t="shared" si="3"/>
        <v>Lapsed</v>
      </c>
      <c r="F368" s="24">
        <v>1.0</v>
      </c>
      <c r="G368" s="200">
        <v>44351.0</v>
      </c>
      <c r="H368" s="180">
        <f t="shared" si="4"/>
        <v>44561</v>
      </c>
    </row>
    <row r="369">
      <c r="A369" s="175" t="s">
        <v>1813</v>
      </c>
      <c r="B369" s="175" t="s">
        <v>2453</v>
      </c>
      <c r="C369" s="176">
        <v>824.0</v>
      </c>
      <c r="D369" s="175" t="s">
        <v>3519</v>
      </c>
      <c r="E369" s="177" t="str">
        <f t="shared" si="3"/>
        <v>Lapsed</v>
      </c>
      <c r="F369" s="24">
        <v>1.0</v>
      </c>
      <c r="G369" s="200">
        <v>44320.0</v>
      </c>
      <c r="H369" s="180">
        <f t="shared" si="4"/>
        <v>44561</v>
      </c>
    </row>
    <row r="370">
      <c r="A370" s="175" t="s">
        <v>2457</v>
      </c>
      <c r="B370" s="175" t="s">
        <v>2458</v>
      </c>
      <c r="C370" s="206">
        <v>823.0</v>
      </c>
      <c r="D370" s="175" t="s">
        <v>3519</v>
      </c>
      <c r="E370" s="177" t="str">
        <f t="shared" si="3"/>
        <v>Lapsed</v>
      </c>
      <c r="F370" s="24">
        <v>1.0</v>
      </c>
      <c r="G370" s="179">
        <v>44375.0</v>
      </c>
      <c r="H370" s="180">
        <f t="shared" si="4"/>
        <v>44561</v>
      </c>
    </row>
    <row r="371">
      <c r="A371" s="175" t="s">
        <v>779</v>
      </c>
      <c r="B371" s="175" t="s">
        <v>1100</v>
      </c>
      <c r="C371" s="176">
        <v>822.0</v>
      </c>
      <c r="D371" s="202" t="s">
        <v>3517</v>
      </c>
      <c r="E371" s="177" t="str">
        <f t="shared" si="3"/>
        <v>Lapsed</v>
      </c>
      <c r="F371" s="24">
        <v>1.0</v>
      </c>
      <c r="G371" s="200">
        <v>45068.0</v>
      </c>
      <c r="H371" s="180">
        <f t="shared" si="4"/>
        <v>45291</v>
      </c>
    </row>
    <row r="372">
      <c r="A372" s="175" t="s">
        <v>2465</v>
      </c>
      <c r="B372" s="175" t="s">
        <v>1100</v>
      </c>
      <c r="C372" s="176">
        <v>821.0</v>
      </c>
      <c r="D372" s="175" t="s">
        <v>3519</v>
      </c>
      <c r="E372" s="177" t="str">
        <f t="shared" si="3"/>
        <v>Lapsed</v>
      </c>
      <c r="F372" s="24">
        <v>1.0</v>
      </c>
      <c r="G372" s="200">
        <v>44693.0</v>
      </c>
      <c r="H372" s="180">
        <f t="shared" si="4"/>
        <v>44926</v>
      </c>
    </row>
    <row r="373">
      <c r="A373" s="175" t="s">
        <v>450</v>
      </c>
      <c r="B373" s="175" t="s">
        <v>1100</v>
      </c>
      <c r="C373" s="176">
        <v>820.0</v>
      </c>
      <c r="D373" s="175" t="s">
        <v>3517</v>
      </c>
      <c r="E373" s="177" t="str">
        <f t="shared" si="3"/>
        <v>Lapsed</v>
      </c>
      <c r="F373" s="108">
        <v>3.0</v>
      </c>
      <c r="G373" s="200">
        <v>45058.0</v>
      </c>
      <c r="H373" s="180">
        <f t="shared" si="4"/>
        <v>46022</v>
      </c>
    </row>
    <row r="374">
      <c r="A374" s="175" t="s">
        <v>2466</v>
      </c>
      <c r="B374" s="175" t="s">
        <v>2467</v>
      </c>
      <c r="C374" s="176">
        <v>819.0</v>
      </c>
      <c r="D374" s="175" t="s">
        <v>3517</v>
      </c>
      <c r="E374" s="177" t="str">
        <f t="shared" si="3"/>
        <v>Lapsed</v>
      </c>
      <c r="F374" s="24">
        <v>1.0</v>
      </c>
      <c r="G374" s="200">
        <v>45067.0</v>
      </c>
      <c r="H374" s="180">
        <f t="shared" si="4"/>
        <v>45291</v>
      </c>
    </row>
    <row r="375">
      <c r="A375" s="175" t="s">
        <v>2471</v>
      </c>
      <c r="B375" s="175" t="s">
        <v>2472</v>
      </c>
      <c r="C375" s="176">
        <v>818.0</v>
      </c>
      <c r="D375" s="175" t="s">
        <v>3519</v>
      </c>
      <c r="E375" s="177" t="str">
        <f t="shared" si="3"/>
        <v>Lapsed</v>
      </c>
      <c r="F375" s="24">
        <v>1.0</v>
      </c>
      <c r="G375" s="200">
        <v>44375.0</v>
      </c>
      <c r="H375" s="180">
        <f t="shared" si="4"/>
        <v>44561</v>
      </c>
    </row>
    <row r="376">
      <c r="A376" s="175" t="s">
        <v>423</v>
      </c>
      <c r="B376" s="175" t="s">
        <v>2476</v>
      </c>
      <c r="C376" s="176">
        <v>817.0</v>
      </c>
      <c r="D376" s="175" t="s">
        <v>3517</v>
      </c>
      <c r="E376" s="177" t="str">
        <f t="shared" si="3"/>
        <v>Lapsed</v>
      </c>
      <c r="F376" s="24">
        <v>1.0</v>
      </c>
      <c r="G376" s="200">
        <v>44150.0</v>
      </c>
      <c r="H376" s="180">
        <f t="shared" si="4"/>
        <v>44195</v>
      </c>
    </row>
    <row r="377">
      <c r="A377" s="175" t="s">
        <v>878</v>
      </c>
      <c r="B377" s="175" t="s">
        <v>2478</v>
      </c>
      <c r="C377" s="176">
        <v>816.0</v>
      </c>
      <c r="D377" s="175" t="s">
        <v>3517</v>
      </c>
      <c r="E377" s="177" t="str">
        <f t="shared" si="3"/>
        <v>Lapsed</v>
      </c>
      <c r="F377" s="24">
        <v>1.0</v>
      </c>
      <c r="G377" s="209">
        <v>44055.0</v>
      </c>
      <c r="H377" s="180">
        <f t="shared" si="4"/>
        <v>44195</v>
      </c>
    </row>
    <row r="378">
      <c r="A378" s="175" t="s">
        <v>2483</v>
      </c>
      <c r="B378" s="175" t="s">
        <v>2484</v>
      </c>
      <c r="C378" s="176">
        <v>815.0</v>
      </c>
      <c r="D378" s="175" t="s">
        <v>3517</v>
      </c>
      <c r="E378" s="177" t="str">
        <f t="shared" si="3"/>
        <v>Lapsed</v>
      </c>
      <c r="F378" s="24">
        <v>1.0</v>
      </c>
      <c r="G378" s="207">
        <v>45451.0</v>
      </c>
      <c r="H378" s="180">
        <f t="shared" si="4"/>
        <v>45656</v>
      </c>
    </row>
    <row r="379">
      <c r="A379" s="175" t="s">
        <v>2489</v>
      </c>
      <c r="B379" s="175" t="s">
        <v>2490</v>
      </c>
      <c r="C379" s="176">
        <v>814.0</v>
      </c>
      <c r="D379" s="175" t="s">
        <v>3517</v>
      </c>
      <c r="E379" s="177" t="str">
        <f t="shared" si="3"/>
        <v>Lapsed</v>
      </c>
      <c r="F379" s="24">
        <v>1.0</v>
      </c>
      <c r="G379" s="200">
        <v>45068.0</v>
      </c>
      <c r="H379" s="180">
        <f t="shared" si="4"/>
        <v>45291</v>
      </c>
    </row>
    <row r="380">
      <c r="A380" s="175" t="s">
        <v>2494</v>
      </c>
      <c r="B380" s="175" t="s">
        <v>2495</v>
      </c>
      <c r="C380" s="176">
        <v>813.0</v>
      </c>
      <c r="D380" s="175" t="s">
        <v>3484</v>
      </c>
      <c r="E380" s="177" t="str">
        <f t="shared" si="3"/>
        <v>Lapsed</v>
      </c>
      <c r="F380" s="24">
        <v>1.0</v>
      </c>
      <c r="G380" s="179">
        <v>44153.0</v>
      </c>
      <c r="H380" s="180">
        <f t="shared" si="4"/>
        <v>44195</v>
      </c>
    </row>
    <row r="381">
      <c r="A381" s="175" t="s">
        <v>1565</v>
      </c>
      <c r="B381" s="202" t="s">
        <v>2499</v>
      </c>
      <c r="C381" s="176">
        <v>812.0</v>
      </c>
      <c r="D381" s="175" t="s">
        <v>3517</v>
      </c>
      <c r="E381" s="177" t="str">
        <f t="shared" si="3"/>
        <v>Lapsed</v>
      </c>
      <c r="F381" s="24">
        <v>1.0</v>
      </c>
      <c r="G381" s="200">
        <v>44786.0</v>
      </c>
      <c r="H381" s="180">
        <f t="shared" si="4"/>
        <v>44926</v>
      </c>
    </row>
    <row r="382">
      <c r="A382" s="175" t="s">
        <v>2503</v>
      </c>
      <c r="B382" s="202" t="s">
        <v>433</v>
      </c>
      <c r="C382" s="176">
        <v>811.0</v>
      </c>
      <c r="D382" s="175" t="s">
        <v>3517</v>
      </c>
      <c r="E382" s="177" t="str">
        <f t="shared" si="3"/>
        <v>Lapsed</v>
      </c>
      <c r="F382" s="24">
        <v>1.0</v>
      </c>
      <c r="G382" s="200">
        <v>45150.0</v>
      </c>
      <c r="H382" s="180">
        <f t="shared" si="4"/>
        <v>45291</v>
      </c>
    </row>
    <row r="383">
      <c r="A383" s="175" t="s">
        <v>2507</v>
      </c>
      <c r="B383" s="175" t="s">
        <v>2499</v>
      </c>
      <c r="C383" s="176">
        <v>810.0</v>
      </c>
      <c r="D383" s="175" t="s">
        <v>3517</v>
      </c>
      <c r="E383" s="177" t="str">
        <f t="shared" si="3"/>
        <v>Lapsed</v>
      </c>
      <c r="F383" s="24">
        <v>1.0</v>
      </c>
      <c r="G383" s="179">
        <v>44167.0</v>
      </c>
      <c r="H383" s="180">
        <f t="shared" si="4"/>
        <v>44195</v>
      </c>
    </row>
    <row r="384">
      <c r="A384" s="175" t="s">
        <v>1772</v>
      </c>
      <c r="B384" s="175" t="s">
        <v>2511</v>
      </c>
      <c r="C384" s="176">
        <v>809.0</v>
      </c>
      <c r="D384" s="175" t="s">
        <v>3517</v>
      </c>
      <c r="E384" s="177" t="str">
        <f t="shared" si="3"/>
        <v>Lapsed</v>
      </c>
      <c r="F384" s="24">
        <v>1.0</v>
      </c>
      <c r="G384" s="179">
        <v>44157.0</v>
      </c>
      <c r="H384" s="180">
        <f t="shared" si="4"/>
        <v>44195</v>
      </c>
    </row>
    <row r="385">
      <c r="A385" s="175" t="s">
        <v>1783</v>
      </c>
      <c r="B385" s="175" t="s">
        <v>433</v>
      </c>
      <c r="C385" s="176">
        <v>808.0</v>
      </c>
      <c r="D385" s="175" t="s">
        <v>3519</v>
      </c>
      <c r="E385" s="177" t="str">
        <f t="shared" si="3"/>
        <v>Lapsed</v>
      </c>
      <c r="F385" s="108">
        <v>3.0</v>
      </c>
      <c r="G385" s="200">
        <v>45044.0</v>
      </c>
      <c r="H385" s="180">
        <f t="shared" si="4"/>
        <v>46022</v>
      </c>
    </row>
    <row r="386">
      <c r="A386" s="175" t="s">
        <v>2514</v>
      </c>
      <c r="B386" s="175" t="s">
        <v>2515</v>
      </c>
      <c r="C386" s="176">
        <v>807.0</v>
      </c>
      <c r="D386" s="175" t="s">
        <v>3519</v>
      </c>
      <c r="E386" s="177" t="str">
        <f t="shared" si="3"/>
        <v>Lapsed</v>
      </c>
      <c r="F386" s="24">
        <v>1.0</v>
      </c>
      <c r="G386" s="179">
        <v>44157.0</v>
      </c>
      <c r="H386" s="180">
        <f t="shared" si="4"/>
        <v>44195</v>
      </c>
    </row>
    <row r="387">
      <c r="A387" s="175" t="s">
        <v>1188</v>
      </c>
      <c r="B387" s="175" t="s">
        <v>2519</v>
      </c>
      <c r="C387" s="176">
        <v>806.0</v>
      </c>
      <c r="D387" s="175" t="s">
        <v>3519</v>
      </c>
      <c r="E387" s="177" t="str">
        <f t="shared" si="3"/>
        <v>Lapsed</v>
      </c>
      <c r="F387" s="24">
        <v>1.0</v>
      </c>
      <c r="G387" s="179">
        <v>43789.0</v>
      </c>
      <c r="H387" s="180">
        <f t="shared" si="4"/>
        <v>43830</v>
      </c>
    </row>
    <row r="388">
      <c r="A388" s="175" t="s">
        <v>2523</v>
      </c>
      <c r="B388" s="175" t="s">
        <v>2524</v>
      </c>
      <c r="C388" s="176">
        <v>805.0</v>
      </c>
      <c r="D388" s="175" t="s">
        <v>3517</v>
      </c>
      <c r="E388" s="177" t="str">
        <f t="shared" si="3"/>
        <v>Lapsed</v>
      </c>
      <c r="F388" s="24">
        <v>1.0</v>
      </c>
      <c r="G388" s="179">
        <v>44157.0</v>
      </c>
      <c r="H388" s="180">
        <f t="shared" si="4"/>
        <v>44195</v>
      </c>
    </row>
    <row r="389">
      <c r="A389" s="175" t="s">
        <v>607</v>
      </c>
      <c r="B389" s="175" t="s">
        <v>2528</v>
      </c>
      <c r="C389" s="176">
        <v>803.0</v>
      </c>
      <c r="D389" s="175" t="s">
        <v>3517</v>
      </c>
      <c r="E389" s="177" t="str">
        <f t="shared" si="3"/>
        <v>Lapsed</v>
      </c>
      <c r="F389" s="24">
        <v>1.0</v>
      </c>
      <c r="G389" s="179">
        <v>44157.0</v>
      </c>
      <c r="H389" s="180">
        <f t="shared" si="4"/>
        <v>44195</v>
      </c>
    </row>
    <row r="390">
      <c r="A390" s="175" t="s">
        <v>561</v>
      </c>
      <c r="B390" s="175" t="s">
        <v>2532</v>
      </c>
      <c r="C390" s="176">
        <v>802.0</v>
      </c>
      <c r="D390" s="175" t="s">
        <v>3517</v>
      </c>
      <c r="E390" s="177" t="str">
        <f t="shared" si="3"/>
        <v>Lapsed</v>
      </c>
      <c r="F390" s="24">
        <v>1.0</v>
      </c>
      <c r="G390" s="179">
        <v>44157.0</v>
      </c>
      <c r="H390" s="180">
        <f t="shared" si="4"/>
        <v>44195</v>
      </c>
    </row>
    <row r="391">
      <c r="A391" s="175" t="s">
        <v>773</v>
      </c>
      <c r="B391" s="175" t="s">
        <v>2536</v>
      </c>
      <c r="C391" s="176"/>
      <c r="D391" s="175" t="s">
        <v>3517</v>
      </c>
      <c r="E391" s="177" t="str">
        <f t="shared" si="3"/>
        <v>Lapsed</v>
      </c>
      <c r="F391" s="24">
        <v>1.0</v>
      </c>
      <c r="G391" s="200">
        <v>44495.0</v>
      </c>
      <c r="H391" s="180">
        <f t="shared" si="4"/>
        <v>44561</v>
      </c>
    </row>
    <row r="392">
      <c r="A392" s="175" t="s">
        <v>2539</v>
      </c>
      <c r="B392" s="175" t="s">
        <v>2540</v>
      </c>
      <c r="C392" s="176">
        <v>800.0</v>
      </c>
      <c r="D392" s="175" t="s">
        <v>3517</v>
      </c>
      <c r="E392" s="177" t="str">
        <f t="shared" si="3"/>
        <v>Lapsed</v>
      </c>
      <c r="F392" s="24">
        <v>1.0</v>
      </c>
      <c r="G392" s="179">
        <v>44157.0</v>
      </c>
      <c r="H392" s="180">
        <f t="shared" si="4"/>
        <v>44195</v>
      </c>
    </row>
    <row r="393">
      <c r="A393" s="175" t="s">
        <v>2545</v>
      </c>
      <c r="B393" s="175" t="s">
        <v>2546</v>
      </c>
      <c r="C393" s="176">
        <v>799.0</v>
      </c>
      <c r="D393" s="175" t="s">
        <v>3517</v>
      </c>
      <c r="E393" s="177" t="str">
        <f t="shared" si="3"/>
        <v>Lapsed</v>
      </c>
      <c r="F393" s="24">
        <v>1.0</v>
      </c>
      <c r="G393" s="200">
        <v>44155.0</v>
      </c>
      <c r="H393" s="180">
        <f t="shared" si="4"/>
        <v>44195</v>
      </c>
    </row>
    <row r="394">
      <c r="A394" s="175" t="s">
        <v>1230</v>
      </c>
      <c r="B394" s="175" t="s">
        <v>2550</v>
      </c>
      <c r="C394" s="176">
        <v>798.0</v>
      </c>
      <c r="D394" s="175" t="s">
        <v>3519</v>
      </c>
      <c r="E394" s="177" t="str">
        <f t="shared" si="3"/>
        <v>Lapsed</v>
      </c>
      <c r="F394" s="24">
        <v>1.0</v>
      </c>
      <c r="G394" s="200">
        <v>44346.0</v>
      </c>
      <c r="H394" s="180">
        <f t="shared" si="4"/>
        <v>44561</v>
      </c>
    </row>
    <row r="395">
      <c r="A395" s="175" t="s">
        <v>450</v>
      </c>
      <c r="B395" s="175" t="s">
        <v>2554</v>
      </c>
      <c r="C395" s="176">
        <v>797.0</v>
      </c>
      <c r="D395" s="175" t="s">
        <v>3517</v>
      </c>
      <c r="E395" s="177" t="str">
        <f t="shared" si="3"/>
        <v>Lapsed</v>
      </c>
      <c r="F395" s="24">
        <v>1.0</v>
      </c>
      <c r="G395" s="179">
        <v>44157.0</v>
      </c>
      <c r="H395" s="180">
        <f t="shared" si="4"/>
        <v>44195</v>
      </c>
    </row>
    <row r="396">
      <c r="A396" s="186"/>
      <c r="B396" s="175" t="s">
        <v>2558</v>
      </c>
      <c r="C396" s="187">
        <v>796.0</v>
      </c>
      <c r="D396" s="175" t="s">
        <v>3517</v>
      </c>
      <c r="E396" s="177" t="str">
        <f t="shared" si="3"/>
        <v>Lapsed</v>
      </c>
      <c r="F396" s="24">
        <v>1.0</v>
      </c>
      <c r="G396" s="179">
        <v>44157.0</v>
      </c>
      <c r="H396" s="180">
        <f t="shared" si="4"/>
        <v>44195</v>
      </c>
    </row>
    <row r="397">
      <c r="A397" s="175" t="s">
        <v>1117</v>
      </c>
      <c r="B397" s="175" t="s">
        <v>2563</v>
      </c>
      <c r="C397" s="176">
        <v>795.0</v>
      </c>
      <c r="D397" s="175" t="s">
        <v>3517</v>
      </c>
      <c r="E397" s="177" t="str">
        <f t="shared" si="3"/>
        <v>Lapsed</v>
      </c>
      <c r="F397" s="24">
        <v>1.0</v>
      </c>
      <c r="G397" s="200">
        <v>45406.0</v>
      </c>
      <c r="H397" s="180">
        <f t="shared" si="4"/>
        <v>45656</v>
      </c>
    </row>
    <row r="398">
      <c r="A398" s="175" t="s">
        <v>553</v>
      </c>
      <c r="B398" s="175" t="s">
        <v>1171</v>
      </c>
      <c r="C398" s="176">
        <v>794.0</v>
      </c>
      <c r="D398" s="175" t="s">
        <v>3517</v>
      </c>
      <c r="E398" s="177" t="str">
        <f t="shared" si="3"/>
        <v>Lapsed</v>
      </c>
      <c r="F398" s="24">
        <v>1.0</v>
      </c>
      <c r="G398" s="179">
        <v>44167.0</v>
      </c>
      <c r="H398" s="180">
        <f t="shared" si="4"/>
        <v>44195</v>
      </c>
    </row>
    <row r="399">
      <c r="A399" s="175" t="s">
        <v>2572</v>
      </c>
      <c r="B399" s="175" t="s">
        <v>2573</v>
      </c>
      <c r="C399" s="176">
        <v>793.0</v>
      </c>
      <c r="D399" s="175" t="s">
        <v>3517</v>
      </c>
      <c r="E399" s="177" t="str">
        <f t="shared" si="3"/>
        <v>Lapsed</v>
      </c>
      <c r="F399" s="24">
        <v>1.0</v>
      </c>
      <c r="G399" s="200">
        <v>45205.0</v>
      </c>
      <c r="H399" s="180">
        <f t="shared" si="4"/>
        <v>45291</v>
      </c>
    </row>
    <row r="400">
      <c r="A400" s="175" t="s">
        <v>2578</v>
      </c>
      <c r="B400" s="175" t="s">
        <v>2579</v>
      </c>
      <c r="C400" s="176">
        <v>792.0</v>
      </c>
      <c r="D400" s="175" t="s">
        <v>3517</v>
      </c>
      <c r="E400" s="177" t="str">
        <f t="shared" si="3"/>
        <v>Lapsed</v>
      </c>
      <c r="F400" s="24">
        <v>1.0</v>
      </c>
      <c r="G400" s="200">
        <v>44722.0</v>
      </c>
      <c r="H400" s="180">
        <f t="shared" si="4"/>
        <v>44926</v>
      </c>
    </row>
    <row r="401">
      <c r="A401" s="175" t="s">
        <v>2583</v>
      </c>
      <c r="B401" s="175" t="s">
        <v>2584</v>
      </c>
      <c r="C401" s="176">
        <v>791.0</v>
      </c>
      <c r="D401" s="175" t="s">
        <v>3517</v>
      </c>
      <c r="E401" s="177" t="str">
        <f t="shared" si="3"/>
        <v>Lapsed</v>
      </c>
      <c r="F401" s="24">
        <v>1.0</v>
      </c>
      <c r="G401" s="179">
        <v>44141.0</v>
      </c>
      <c r="H401" s="180">
        <f t="shared" si="4"/>
        <v>44195</v>
      </c>
    </row>
    <row r="402">
      <c r="A402" s="175" t="s">
        <v>1570</v>
      </c>
      <c r="B402" s="175" t="s">
        <v>2588</v>
      </c>
      <c r="C402" s="176">
        <v>790.0</v>
      </c>
      <c r="D402" s="175" t="s">
        <v>3517</v>
      </c>
      <c r="E402" s="177" t="str">
        <f t="shared" si="3"/>
        <v>Lapsed</v>
      </c>
      <c r="F402" s="24">
        <v>1.0</v>
      </c>
      <c r="G402" s="179">
        <v>44157.0</v>
      </c>
      <c r="H402" s="180">
        <f t="shared" si="4"/>
        <v>44195</v>
      </c>
    </row>
    <row r="403">
      <c r="A403" s="175" t="s">
        <v>2591</v>
      </c>
      <c r="B403" s="175" t="s">
        <v>2592</v>
      </c>
      <c r="C403" s="176">
        <v>789.0</v>
      </c>
      <c r="D403" s="175" t="s">
        <v>3517</v>
      </c>
      <c r="E403" s="177" t="str">
        <f t="shared" si="3"/>
        <v>Lapsed</v>
      </c>
      <c r="F403" s="24">
        <v>1.0</v>
      </c>
      <c r="G403" s="209">
        <v>44157.0</v>
      </c>
      <c r="H403" s="180">
        <f t="shared" si="4"/>
        <v>44195</v>
      </c>
    </row>
    <row r="404">
      <c r="A404" s="175" t="s">
        <v>1783</v>
      </c>
      <c r="B404" s="175" t="s">
        <v>2598</v>
      </c>
      <c r="C404" s="176">
        <v>788.0</v>
      </c>
      <c r="D404" s="175" t="s">
        <v>3517</v>
      </c>
      <c r="E404" s="177" t="str">
        <f t="shared" si="3"/>
        <v>Active</v>
      </c>
      <c r="F404" s="24">
        <v>3.0</v>
      </c>
      <c r="G404" s="200">
        <v>45406.0</v>
      </c>
      <c r="H404" s="180">
        <f t="shared" si="4"/>
        <v>46387</v>
      </c>
    </row>
    <row r="405">
      <c r="A405" s="175" t="s">
        <v>2602</v>
      </c>
      <c r="B405" s="175" t="s">
        <v>2598</v>
      </c>
      <c r="C405" s="176">
        <v>786.0</v>
      </c>
      <c r="D405" s="175" t="s">
        <v>3517</v>
      </c>
      <c r="E405" s="177" t="str">
        <f t="shared" si="3"/>
        <v>Active</v>
      </c>
      <c r="F405" s="24">
        <v>3.0</v>
      </c>
      <c r="G405" s="200">
        <v>45406.0</v>
      </c>
      <c r="H405" s="180">
        <f t="shared" si="4"/>
        <v>46387</v>
      </c>
    </row>
    <row r="406">
      <c r="A406" s="175" t="s">
        <v>2605</v>
      </c>
      <c r="B406" s="175" t="s">
        <v>2606</v>
      </c>
      <c r="C406" s="176">
        <v>785.0</v>
      </c>
      <c r="D406" s="175" t="s">
        <v>3517</v>
      </c>
      <c r="E406" s="177" t="str">
        <f t="shared" si="3"/>
        <v>Lapsed</v>
      </c>
      <c r="F406" s="24">
        <v>1.0</v>
      </c>
      <c r="G406" s="179">
        <v>44111.0</v>
      </c>
      <c r="H406" s="180">
        <f t="shared" si="4"/>
        <v>44195</v>
      </c>
    </row>
    <row r="407">
      <c r="A407" s="175" t="s">
        <v>2611</v>
      </c>
      <c r="B407" s="175" t="s">
        <v>2612</v>
      </c>
      <c r="C407" s="176">
        <v>784.0</v>
      </c>
      <c r="D407" s="175" t="s">
        <v>3517</v>
      </c>
      <c r="E407" s="177" t="str">
        <f t="shared" si="3"/>
        <v>Lapsed</v>
      </c>
      <c r="F407" s="24">
        <v>1.0</v>
      </c>
      <c r="G407" s="179">
        <v>44111.0</v>
      </c>
      <c r="H407" s="180">
        <f t="shared" si="4"/>
        <v>44195</v>
      </c>
    </row>
    <row r="408">
      <c r="A408" s="175" t="s">
        <v>2616</v>
      </c>
      <c r="B408" s="175" t="s">
        <v>966</v>
      </c>
      <c r="C408" s="176">
        <v>783.0</v>
      </c>
      <c r="D408" s="175" t="s">
        <v>3484</v>
      </c>
      <c r="E408" s="177" t="str">
        <f t="shared" si="3"/>
        <v>Lapsed</v>
      </c>
      <c r="F408" s="24">
        <v>1.0</v>
      </c>
      <c r="G408" s="179">
        <v>44094.0</v>
      </c>
      <c r="H408" s="180">
        <f t="shared" si="4"/>
        <v>44195</v>
      </c>
    </row>
    <row r="409">
      <c r="A409" s="175" t="s">
        <v>1240</v>
      </c>
      <c r="B409" s="175" t="s">
        <v>47</v>
      </c>
      <c r="C409" s="176">
        <v>782.0</v>
      </c>
      <c r="D409" s="175" t="s">
        <v>3517</v>
      </c>
      <c r="E409" s="177" t="str">
        <f t="shared" si="3"/>
        <v>Lapsed</v>
      </c>
      <c r="F409" s="24">
        <v>1.0</v>
      </c>
      <c r="G409" s="179">
        <v>44082.0</v>
      </c>
      <c r="H409" s="180">
        <f t="shared" si="4"/>
        <v>44195</v>
      </c>
    </row>
    <row r="410">
      <c r="A410" s="175" t="s">
        <v>2624</v>
      </c>
      <c r="B410" s="175" t="s">
        <v>1774</v>
      </c>
      <c r="C410" s="176">
        <v>781.0</v>
      </c>
      <c r="D410" s="175" t="s">
        <v>3484</v>
      </c>
      <c r="E410" s="177" t="str">
        <f t="shared" si="3"/>
        <v>Lapsed</v>
      </c>
      <c r="F410" s="24">
        <v>1.0</v>
      </c>
      <c r="G410" s="179">
        <v>44034.0</v>
      </c>
      <c r="H410" s="180">
        <f t="shared" si="4"/>
        <v>44195</v>
      </c>
    </row>
    <row r="411">
      <c r="A411" s="175" t="s">
        <v>2629</v>
      </c>
      <c r="B411" s="175" t="s">
        <v>2630</v>
      </c>
      <c r="C411" s="176">
        <v>780.0</v>
      </c>
      <c r="D411" s="175" t="s">
        <v>3517</v>
      </c>
      <c r="E411" s="177" t="str">
        <f t="shared" si="3"/>
        <v>Lapsed</v>
      </c>
      <c r="F411" s="24">
        <v>1.0</v>
      </c>
      <c r="G411" s="179">
        <v>44026.0</v>
      </c>
      <c r="H411" s="180">
        <f t="shared" si="4"/>
        <v>44195</v>
      </c>
    </row>
    <row r="412">
      <c r="A412" s="175" t="s">
        <v>154</v>
      </c>
      <c r="B412" s="175" t="s">
        <v>2634</v>
      </c>
      <c r="C412" s="176">
        <v>779.0</v>
      </c>
      <c r="D412" s="175" t="s">
        <v>3517</v>
      </c>
      <c r="E412" s="177" t="str">
        <f t="shared" si="3"/>
        <v>Lapsed</v>
      </c>
      <c r="F412" s="24">
        <v>1.0</v>
      </c>
      <c r="G412" s="179">
        <v>44391.0</v>
      </c>
      <c r="H412" s="180">
        <f t="shared" si="4"/>
        <v>44561</v>
      </c>
    </row>
    <row r="413">
      <c r="A413" s="175" t="s">
        <v>2638</v>
      </c>
      <c r="B413" s="175" t="s">
        <v>2639</v>
      </c>
      <c r="C413" s="176">
        <v>778.0</v>
      </c>
      <c r="D413" s="175" t="s">
        <v>3517</v>
      </c>
      <c r="E413" s="177" t="str">
        <f t="shared" si="3"/>
        <v>Lapsed</v>
      </c>
      <c r="F413" s="24">
        <v>1.0</v>
      </c>
      <c r="G413" s="179">
        <v>44026.0</v>
      </c>
      <c r="H413" s="180">
        <f t="shared" si="4"/>
        <v>44195</v>
      </c>
    </row>
    <row r="414">
      <c r="A414" s="175" t="s">
        <v>2643</v>
      </c>
      <c r="B414" s="175" t="s">
        <v>2644</v>
      </c>
      <c r="C414" s="176">
        <v>777.0</v>
      </c>
      <c r="D414" s="175" t="s">
        <v>3517</v>
      </c>
      <c r="E414" s="177" t="str">
        <f t="shared" si="3"/>
        <v>Lapsed</v>
      </c>
      <c r="F414" s="24">
        <v>1.0</v>
      </c>
      <c r="G414" s="179">
        <v>44026.0</v>
      </c>
      <c r="H414" s="180">
        <f t="shared" si="4"/>
        <v>44195</v>
      </c>
    </row>
    <row r="415">
      <c r="A415" s="175" t="s">
        <v>2288</v>
      </c>
      <c r="B415" s="175" t="s">
        <v>2648</v>
      </c>
      <c r="C415" s="176">
        <v>776.0</v>
      </c>
      <c r="D415" s="175" t="s">
        <v>3517</v>
      </c>
      <c r="E415" s="177" t="str">
        <f t="shared" si="3"/>
        <v>Lapsed</v>
      </c>
      <c r="F415" s="24">
        <v>1.0</v>
      </c>
      <c r="G415" s="200">
        <v>44976.0</v>
      </c>
      <c r="H415" s="180">
        <f t="shared" si="4"/>
        <v>45291</v>
      </c>
    </row>
    <row r="416">
      <c r="A416" s="175" t="s">
        <v>1931</v>
      </c>
      <c r="B416" s="175" t="s">
        <v>2653</v>
      </c>
      <c r="C416" s="176">
        <v>773.0</v>
      </c>
      <c r="D416" s="175" t="s">
        <v>3517</v>
      </c>
      <c r="E416" s="177" t="str">
        <f t="shared" si="3"/>
        <v>Lapsed</v>
      </c>
      <c r="F416" s="24">
        <v>1.0</v>
      </c>
      <c r="G416" s="179">
        <v>44026.0</v>
      </c>
      <c r="H416" s="180">
        <f t="shared" si="4"/>
        <v>44195</v>
      </c>
    </row>
    <row r="417">
      <c r="A417" s="175" t="s">
        <v>1240</v>
      </c>
      <c r="B417" s="175" t="s">
        <v>2657</v>
      </c>
      <c r="C417" s="176">
        <v>772.0</v>
      </c>
      <c r="D417" s="175" t="s">
        <v>3517</v>
      </c>
      <c r="E417" s="177" t="str">
        <f t="shared" si="3"/>
        <v>Lapsed</v>
      </c>
      <c r="F417" s="24">
        <v>1.0</v>
      </c>
      <c r="G417" s="179">
        <v>44031.0</v>
      </c>
      <c r="H417" s="180">
        <f t="shared" si="4"/>
        <v>44195</v>
      </c>
    </row>
    <row r="418">
      <c r="A418" s="175" t="s">
        <v>2662</v>
      </c>
      <c r="B418" s="175" t="s">
        <v>2663</v>
      </c>
      <c r="C418" s="176">
        <v>771.0</v>
      </c>
      <c r="D418" s="175" t="s">
        <v>3517</v>
      </c>
      <c r="E418" s="177" t="str">
        <f t="shared" si="3"/>
        <v>Lapsed</v>
      </c>
      <c r="F418" s="24">
        <v>1.0</v>
      </c>
      <c r="G418" s="179">
        <v>44235.0</v>
      </c>
      <c r="H418" s="180">
        <f t="shared" si="4"/>
        <v>44561</v>
      </c>
    </row>
    <row r="419">
      <c r="A419" s="175" t="s">
        <v>1302</v>
      </c>
      <c r="B419" s="175" t="s">
        <v>2163</v>
      </c>
      <c r="C419" s="176">
        <v>770.0</v>
      </c>
      <c r="D419" s="175" t="s">
        <v>3517</v>
      </c>
      <c r="E419" s="177" t="str">
        <f t="shared" si="3"/>
        <v>Lapsed</v>
      </c>
      <c r="F419" s="24">
        <v>1.0</v>
      </c>
      <c r="G419" s="200">
        <v>44500.0</v>
      </c>
      <c r="H419" s="180">
        <f t="shared" si="4"/>
        <v>44561</v>
      </c>
    </row>
    <row r="420">
      <c r="A420" s="175" t="s">
        <v>2670</v>
      </c>
      <c r="B420" s="175" t="s">
        <v>623</v>
      </c>
      <c r="C420" s="176">
        <v>769.0</v>
      </c>
      <c r="D420" s="175" t="s">
        <v>3517</v>
      </c>
      <c r="E420" s="177" t="str">
        <f t="shared" si="3"/>
        <v>Lapsed</v>
      </c>
      <c r="F420" s="24">
        <v>1.0</v>
      </c>
      <c r="G420" s="179">
        <v>43875.0</v>
      </c>
      <c r="H420" s="180">
        <f t="shared" si="4"/>
        <v>44195</v>
      </c>
    </row>
    <row r="421">
      <c r="A421" s="175" t="s">
        <v>2110</v>
      </c>
      <c r="B421" s="175" t="s">
        <v>2675</v>
      </c>
      <c r="C421" s="176">
        <v>768.0</v>
      </c>
      <c r="D421" s="175" t="s">
        <v>3519</v>
      </c>
      <c r="E421" s="177" t="str">
        <f t="shared" si="3"/>
        <v>Lapsed</v>
      </c>
      <c r="F421" s="24">
        <v>1.0</v>
      </c>
      <c r="G421" s="200">
        <v>45150.0</v>
      </c>
      <c r="H421" s="180">
        <f t="shared" si="4"/>
        <v>45291</v>
      </c>
    </row>
    <row r="422">
      <c r="A422" s="175" t="s">
        <v>1081</v>
      </c>
      <c r="B422" s="175" t="s">
        <v>2679</v>
      </c>
      <c r="C422" s="176">
        <v>767.0</v>
      </c>
      <c r="D422" s="175" t="s">
        <v>3517</v>
      </c>
      <c r="E422" s="177" t="str">
        <f t="shared" si="3"/>
        <v>Lapsed</v>
      </c>
      <c r="F422" s="24">
        <v>1.0</v>
      </c>
      <c r="G422" s="179">
        <v>43999.0</v>
      </c>
      <c r="H422" s="180">
        <f t="shared" si="4"/>
        <v>44195</v>
      </c>
    </row>
    <row r="423">
      <c r="A423" s="175" t="s">
        <v>1027</v>
      </c>
      <c r="B423" s="175" t="s">
        <v>1475</v>
      </c>
      <c r="C423" s="176">
        <v>766.0</v>
      </c>
      <c r="D423" s="175" t="s">
        <v>3517</v>
      </c>
      <c r="E423" s="177" t="str">
        <f t="shared" si="3"/>
        <v>Lapsed</v>
      </c>
      <c r="F423" s="24">
        <v>1.0</v>
      </c>
      <c r="G423" s="179">
        <v>44157.0</v>
      </c>
      <c r="H423" s="180">
        <f t="shared" si="4"/>
        <v>44195</v>
      </c>
    </row>
    <row r="424">
      <c r="A424" s="175" t="s">
        <v>1306</v>
      </c>
      <c r="B424" s="175" t="s">
        <v>2686</v>
      </c>
      <c r="C424" s="176">
        <v>765.0</v>
      </c>
      <c r="D424" s="175" t="s">
        <v>3519</v>
      </c>
      <c r="E424" s="177" t="str">
        <f t="shared" si="3"/>
        <v>Lapsed</v>
      </c>
      <c r="F424" s="24">
        <v>1.0</v>
      </c>
      <c r="G424" s="179">
        <v>43983.0</v>
      </c>
      <c r="H424" s="180">
        <f t="shared" si="4"/>
        <v>44195</v>
      </c>
    </row>
    <row r="425">
      <c r="A425" s="175" t="s">
        <v>738</v>
      </c>
      <c r="B425" s="175" t="s">
        <v>2691</v>
      </c>
      <c r="C425" s="176">
        <v>764.0</v>
      </c>
      <c r="D425" s="175" t="s">
        <v>3517</v>
      </c>
      <c r="E425" s="177" t="str">
        <f t="shared" si="3"/>
        <v>Lapsed</v>
      </c>
      <c r="F425" s="24">
        <v>1.0</v>
      </c>
      <c r="G425" s="200">
        <v>44703.0</v>
      </c>
      <c r="H425" s="180">
        <f t="shared" si="4"/>
        <v>44926</v>
      </c>
    </row>
    <row r="426">
      <c r="A426" s="175" t="s">
        <v>789</v>
      </c>
      <c r="B426" s="175" t="s">
        <v>2695</v>
      </c>
      <c r="C426" s="176">
        <v>764.0</v>
      </c>
      <c r="D426" s="175" t="s">
        <v>3517</v>
      </c>
      <c r="E426" s="177" t="str">
        <f t="shared" si="3"/>
        <v>Lapsed</v>
      </c>
      <c r="F426" s="24">
        <v>1.0</v>
      </c>
      <c r="G426" s="179">
        <v>44375.0</v>
      </c>
      <c r="H426" s="180">
        <f t="shared" si="4"/>
        <v>44561</v>
      </c>
    </row>
    <row r="427">
      <c r="A427" s="175" t="s">
        <v>2699</v>
      </c>
      <c r="B427" s="175" t="s">
        <v>2700</v>
      </c>
      <c r="C427" s="176">
        <v>763.0</v>
      </c>
      <c r="D427" s="175" t="s">
        <v>3517</v>
      </c>
      <c r="E427" s="177" t="str">
        <f t="shared" si="3"/>
        <v>Lapsed</v>
      </c>
      <c r="F427" s="24">
        <v>1.0</v>
      </c>
      <c r="G427" s="200">
        <v>45123.0</v>
      </c>
      <c r="H427" s="180">
        <f t="shared" si="4"/>
        <v>45291</v>
      </c>
    </row>
    <row r="428">
      <c r="A428" s="175" t="s">
        <v>302</v>
      </c>
      <c r="B428" s="175" t="s">
        <v>1181</v>
      </c>
      <c r="C428" s="176">
        <v>763.0</v>
      </c>
      <c r="D428" s="175" t="s">
        <v>3517</v>
      </c>
      <c r="E428" s="177" t="str">
        <f t="shared" si="3"/>
        <v>Lapsed</v>
      </c>
      <c r="F428" s="24">
        <v>1.0</v>
      </c>
      <c r="G428" s="200">
        <v>44317.0</v>
      </c>
      <c r="H428" s="180">
        <f t="shared" si="4"/>
        <v>44561</v>
      </c>
    </row>
    <row r="429">
      <c r="A429" s="175" t="s">
        <v>2707</v>
      </c>
      <c r="B429" s="175" t="s">
        <v>2708</v>
      </c>
      <c r="C429" s="176">
        <v>762.0</v>
      </c>
      <c r="D429" s="175" t="s">
        <v>3517</v>
      </c>
      <c r="E429" s="177" t="str">
        <f t="shared" si="3"/>
        <v>Lapsed</v>
      </c>
      <c r="F429" s="24">
        <v>1.0</v>
      </c>
      <c r="G429" s="179">
        <v>44347.0</v>
      </c>
      <c r="H429" s="180">
        <f t="shared" si="4"/>
        <v>44561</v>
      </c>
    </row>
    <row r="430">
      <c r="A430" s="175" t="s">
        <v>943</v>
      </c>
      <c r="B430" s="175" t="s">
        <v>2066</v>
      </c>
      <c r="C430" s="176">
        <v>761.0</v>
      </c>
      <c r="D430" s="175" t="s">
        <v>3519</v>
      </c>
      <c r="E430" s="177" t="str">
        <f t="shared" si="3"/>
        <v>Lapsed</v>
      </c>
      <c r="F430" s="24">
        <v>1.0</v>
      </c>
      <c r="G430" s="200">
        <v>44381.0</v>
      </c>
      <c r="H430" s="180">
        <f t="shared" si="4"/>
        <v>44561</v>
      </c>
    </row>
    <row r="431">
      <c r="A431" s="175" t="s">
        <v>2715</v>
      </c>
      <c r="B431" s="175" t="s">
        <v>2716</v>
      </c>
      <c r="C431" s="176">
        <v>760.0</v>
      </c>
      <c r="D431" s="175" t="s">
        <v>3517</v>
      </c>
      <c r="E431" s="177" t="str">
        <f t="shared" si="3"/>
        <v>Lapsed</v>
      </c>
      <c r="F431" s="24">
        <v>1.0</v>
      </c>
      <c r="G431" s="179">
        <v>43955.0</v>
      </c>
      <c r="H431" s="180">
        <f t="shared" si="4"/>
        <v>44195</v>
      </c>
    </row>
    <row r="432">
      <c r="A432" s="175" t="s">
        <v>1041</v>
      </c>
      <c r="B432" s="175" t="s">
        <v>237</v>
      </c>
      <c r="C432" s="176">
        <v>759.0</v>
      </c>
      <c r="D432" s="175" t="s">
        <v>3517</v>
      </c>
      <c r="E432" s="177" t="str">
        <f t="shared" si="3"/>
        <v>Lapsed</v>
      </c>
      <c r="F432" s="24">
        <v>1.0</v>
      </c>
      <c r="G432" s="179">
        <v>43970.0</v>
      </c>
      <c r="H432" s="180">
        <f t="shared" si="4"/>
        <v>44195</v>
      </c>
    </row>
    <row r="433">
      <c r="A433" s="175" t="s">
        <v>2723</v>
      </c>
      <c r="B433" s="175" t="s">
        <v>1718</v>
      </c>
      <c r="C433" s="176">
        <v>758.0</v>
      </c>
      <c r="D433" s="175" t="s">
        <v>3517</v>
      </c>
      <c r="E433" s="177" t="str">
        <f t="shared" si="3"/>
        <v>Lapsed</v>
      </c>
      <c r="F433" s="24">
        <v>1.0</v>
      </c>
      <c r="G433" s="200">
        <v>44662.0</v>
      </c>
      <c r="H433" s="180">
        <f t="shared" si="4"/>
        <v>44926</v>
      </c>
    </row>
    <row r="434">
      <c r="A434" s="175" t="s">
        <v>2724</v>
      </c>
      <c r="B434" s="175" t="s">
        <v>2725</v>
      </c>
      <c r="C434" s="176">
        <v>757.0</v>
      </c>
      <c r="D434" s="175" t="s">
        <v>3517</v>
      </c>
      <c r="E434" s="177" t="str">
        <f t="shared" si="3"/>
        <v>Lapsed</v>
      </c>
      <c r="F434" s="24">
        <v>1.0</v>
      </c>
      <c r="G434" s="200">
        <v>44661.0</v>
      </c>
      <c r="H434" s="180">
        <f t="shared" si="4"/>
        <v>44926</v>
      </c>
    </row>
    <row r="435">
      <c r="A435" s="175" t="s">
        <v>2729</v>
      </c>
      <c r="B435" s="175" t="s">
        <v>2730</v>
      </c>
      <c r="C435" s="176">
        <v>756.0</v>
      </c>
      <c r="D435" s="175" t="s">
        <v>3517</v>
      </c>
      <c r="E435" s="177" t="str">
        <f t="shared" si="3"/>
        <v>Lapsed</v>
      </c>
      <c r="F435" s="24">
        <v>1.0</v>
      </c>
      <c r="G435" s="179">
        <v>43970.0</v>
      </c>
      <c r="H435" s="180">
        <f t="shared" si="4"/>
        <v>44195</v>
      </c>
    </row>
    <row r="436">
      <c r="A436" s="175" t="s">
        <v>2733</v>
      </c>
      <c r="B436" s="175" t="s">
        <v>2734</v>
      </c>
      <c r="C436" s="176">
        <v>755.0</v>
      </c>
      <c r="D436" s="175" t="s">
        <v>3517</v>
      </c>
      <c r="E436" s="177" t="str">
        <f t="shared" si="3"/>
        <v>Lapsed</v>
      </c>
      <c r="F436" s="24">
        <v>1.0</v>
      </c>
      <c r="G436" s="179">
        <v>43970.0</v>
      </c>
      <c r="H436" s="180">
        <f t="shared" si="4"/>
        <v>44195</v>
      </c>
    </row>
    <row r="437">
      <c r="A437" s="175" t="s">
        <v>438</v>
      </c>
      <c r="B437" s="175" t="s">
        <v>2738</v>
      </c>
      <c r="C437" s="176">
        <v>754.0</v>
      </c>
      <c r="D437" s="175" t="s">
        <v>3517</v>
      </c>
      <c r="E437" s="177" t="str">
        <f t="shared" si="3"/>
        <v>Lapsed</v>
      </c>
      <c r="F437" s="24">
        <v>1.0</v>
      </c>
      <c r="G437" s="179">
        <v>43986.0</v>
      </c>
      <c r="H437" s="180">
        <f t="shared" si="4"/>
        <v>44195</v>
      </c>
    </row>
    <row r="438">
      <c r="A438" s="175" t="s">
        <v>1498</v>
      </c>
      <c r="B438" s="175" t="s">
        <v>2563</v>
      </c>
      <c r="C438" s="176">
        <v>753.0</v>
      </c>
      <c r="D438" s="175" t="s">
        <v>3517</v>
      </c>
      <c r="E438" s="177" t="str">
        <f t="shared" si="3"/>
        <v>Lapsed</v>
      </c>
      <c r="F438" s="24">
        <v>1.0</v>
      </c>
      <c r="G438" s="179">
        <v>43982.0</v>
      </c>
      <c r="H438" s="180">
        <f t="shared" si="4"/>
        <v>44195</v>
      </c>
    </row>
    <row r="439">
      <c r="A439" s="175" t="s">
        <v>672</v>
      </c>
      <c r="B439" s="175" t="s">
        <v>2746</v>
      </c>
      <c r="C439" s="176">
        <v>752.0</v>
      </c>
      <c r="D439" s="175" t="s">
        <v>3517</v>
      </c>
      <c r="E439" s="177" t="str">
        <f t="shared" si="3"/>
        <v>Lapsed</v>
      </c>
      <c r="F439" s="24">
        <v>1.0</v>
      </c>
      <c r="G439" s="179">
        <v>43979.0</v>
      </c>
      <c r="H439" s="180">
        <f t="shared" si="4"/>
        <v>44195</v>
      </c>
    </row>
    <row r="440">
      <c r="A440" s="175" t="s">
        <v>1117</v>
      </c>
      <c r="B440" s="175" t="s">
        <v>2750</v>
      </c>
      <c r="C440" s="176">
        <v>751.0</v>
      </c>
      <c r="D440" s="175" t="s">
        <v>3517</v>
      </c>
      <c r="E440" s="177" t="str">
        <f t="shared" si="3"/>
        <v>Lapsed</v>
      </c>
      <c r="F440" s="24">
        <v>1.0</v>
      </c>
      <c r="G440" s="179">
        <v>43978.0</v>
      </c>
      <c r="H440" s="180">
        <f t="shared" si="4"/>
        <v>44195</v>
      </c>
    </row>
    <row r="441">
      <c r="A441" s="175" t="s">
        <v>1466</v>
      </c>
      <c r="B441" s="175" t="s">
        <v>2754</v>
      </c>
      <c r="C441" s="176">
        <v>750.0</v>
      </c>
      <c r="D441" s="175" t="s">
        <v>3519</v>
      </c>
      <c r="E441" s="177" t="str">
        <f t="shared" si="3"/>
        <v>Lapsed</v>
      </c>
      <c r="F441" s="24">
        <v>1.0</v>
      </c>
      <c r="G441" s="200">
        <v>44476.0</v>
      </c>
      <c r="H441" s="180">
        <f t="shared" si="4"/>
        <v>44561</v>
      </c>
    </row>
    <row r="442">
      <c r="A442" s="175" t="s">
        <v>2758</v>
      </c>
      <c r="B442" s="175" t="s">
        <v>2759</v>
      </c>
      <c r="C442" s="176">
        <v>749.0</v>
      </c>
      <c r="D442" s="175" t="s">
        <v>3519</v>
      </c>
      <c r="E442" s="177" t="str">
        <f t="shared" si="3"/>
        <v>Lapsed</v>
      </c>
      <c r="F442" s="24">
        <v>1.0</v>
      </c>
      <c r="G442" s="179">
        <v>43979.0</v>
      </c>
      <c r="H442" s="180">
        <f t="shared" si="4"/>
        <v>44195</v>
      </c>
    </row>
    <row r="443">
      <c r="A443" s="175" t="s">
        <v>154</v>
      </c>
      <c r="B443" s="175" t="s">
        <v>2765</v>
      </c>
      <c r="C443" s="176">
        <v>748.0</v>
      </c>
      <c r="D443" s="175" t="s">
        <v>3517</v>
      </c>
      <c r="E443" s="177" t="str">
        <f t="shared" si="3"/>
        <v>Lapsed</v>
      </c>
      <c r="F443" s="24">
        <v>1.0</v>
      </c>
      <c r="G443" s="200">
        <v>45150.0</v>
      </c>
      <c r="H443" s="180">
        <f t="shared" si="4"/>
        <v>45291</v>
      </c>
    </row>
    <row r="444">
      <c r="A444" s="175" t="s">
        <v>2770</v>
      </c>
      <c r="B444" s="175" t="s">
        <v>2771</v>
      </c>
      <c r="C444" s="176">
        <v>747.0</v>
      </c>
      <c r="D444" s="175" t="s">
        <v>3517</v>
      </c>
      <c r="E444" s="177" t="str">
        <f t="shared" si="3"/>
        <v>Lapsed</v>
      </c>
      <c r="F444" s="24">
        <v>1.0</v>
      </c>
      <c r="G444" s="200">
        <v>45451.0</v>
      </c>
      <c r="H444" s="180">
        <f t="shared" si="4"/>
        <v>45656</v>
      </c>
    </row>
    <row r="445">
      <c r="A445" s="175" t="s">
        <v>438</v>
      </c>
      <c r="B445" s="175" t="s">
        <v>2775</v>
      </c>
      <c r="C445" s="176">
        <v>746.0</v>
      </c>
      <c r="D445" s="175" t="s">
        <v>3517</v>
      </c>
      <c r="E445" s="177" t="str">
        <f t="shared" si="3"/>
        <v>Lapsed</v>
      </c>
      <c r="F445" s="24">
        <v>1.0</v>
      </c>
      <c r="G445" s="200">
        <v>45020.0</v>
      </c>
      <c r="H445" s="180">
        <f t="shared" si="4"/>
        <v>45291</v>
      </c>
    </row>
    <row r="446">
      <c r="A446" s="175" t="s">
        <v>1372</v>
      </c>
      <c r="B446" s="175" t="s">
        <v>2779</v>
      </c>
      <c r="C446" s="176">
        <v>745.0</v>
      </c>
      <c r="D446" s="175" t="s">
        <v>3517</v>
      </c>
      <c r="E446" s="177" t="str">
        <f t="shared" si="3"/>
        <v>Lapsed</v>
      </c>
      <c r="F446" s="24">
        <v>1.0</v>
      </c>
      <c r="G446" s="200">
        <v>45068.0</v>
      </c>
      <c r="H446" s="180">
        <f t="shared" si="4"/>
        <v>45291</v>
      </c>
    </row>
    <row r="447">
      <c r="A447" s="175" t="s">
        <v>2783</v>
      </c>
      <c r="B447" s="175" t="s">
        <v>2784</v>
      </c>
      <c r="C447" s="176">
        <v>744.0</v>
      </c>
      <c r="D447" s="175" t="s">
        <v>3517</v>
      </c>
      <c r="E447" s="177" t="str">
        <f t="shared" si="3"/>
        <v>Lapsed</v>
      </c>
      <c r="F447" s="24">
        <v>1.0</v>
      </c>
      <c r="G447" s="179">
        <v>43966.0</v>
      </c>
      <c r="H447" s="180">
        <f t="shared" si="4"/>
        <v>44195</v>
      </c>
    </row>
    <row r="448">
      <c r="A448" s="175" t="s">
        <v>2788</v>
      </c>
      <c r="B448" s="175" t="s">
        <v>2789</v>
      </c>
      <c r="C448" s="176">
        <v>743.0</v>
      </c>
      <c r="D448" s="175" t="s">
        <v>3517</v>
      </c>
      <c r="E448" s="177" t="str">
        <f t="shared" si="3"/>
        <v>Lapsed</v>
      </c>
      <c r="F448" s="108">
        <v>3.0</v>
      </c>
      <c r="G448" s="200">
        <v>45044.0</v>
      </c>
      <c r="H448" s="180">
        <f t="shared" si="4"/>
        <v>46022</v>
      </c>
    </row>
    <row r="449">
      <c r="A449" s="175" t="s">
        <v>779</v>
      </c>
      <c r="B449" s="175" t="s">
        <v>1513</v>
      </c>
      <c r="C449" s="176">
        <v>742.0</v>
      </c>
      <c r="D449" s="175" t="s">
        <v>3519</v>
      </c>
      <c r="E449" s="177" t="str">
        <f t="shared" si="3"/>
        <v>Lapsed</v>
      </c>
      <c r="F449" s="24">
        <v>1.0</v>
      </c>
      <c r="G449" s="200">
        <v>44481.0</v>
      </c>
      <c r="H449" s="180">
        <f t="shared" si="4"/>
        <v>44561</v>
      </c>
    </row>
    <row r="450">
      <c r="A450" s="175" t="s">
        <v>2798</v>
      </c>
      <c r="B450" s="175" t="s">
        <v>1921</v>
      </c>
      <c r="C450" s="176">
        <v>741.0</v>
      </c>
      <c r="D450" s="175" t="s">
        <v>3517</v>
      </c>
      <c r="E450" s="177" t="str">
        <f t="shared" si="3"/>
        <v>Lapsed</v>
      </c>
      <c r="F450" s="24">
        <v>1.0</v>
      </c>
      <c r="G450" s="200">
        <v>44257.0</v>
      </c>
      <c r="H450" s="180">
        <f t="shared" si="4"/>
        <v>44561</v>
      </c>
    </row>
    <row r="451">
      <c r="A451" s="175" t="s">
        <v>2802</v>
      </c>
      <c r="B451" s="175" t="s">
        <v>2803</v>
      </c>
      <c r="C451" s="176">
        <v>740.0</v>
      </c>
      <c r="D451" s="175" t="s">
        <v>3517</v>
      </c>
      <c r="E451" s="177" t="str">
        <f t="shared" si="3"/>
        <v>Lapsed</v>
      </c>
      <c r="F451" s="24">
        <v>1.0</v>
      </c>
      <c r="G451" s="179">
        <v>44328.0</v>
      </c>
      <c r="H451" s="180">
        <f t="shared" si="4"/>
        <v>44561</v>
      </c>
    </row>
    <row r="452">
      <c r="A452" s="175" t="s">
        <v>2808</v>
      </c>
      <c r="B452" s="175" t="s">
        <v>2809</v>
      </c>
      <c r="C452" s="176">
        <v>739.0</v>
      </c>
      <c r="D452" s="175" t="s">
        <v>3517</v>
      </c>
      <c r="E452" s="177" t="str">
        <f t="shared" si="3"/>
        <v>Lapsed</v>
      </c>
      <c r="F452" s="24">
        <v>1.0</v>
      </c>
      <c r="G452" s="200">
        <v>44703.0</v>
      </c>
      <c r="H452" s="180">
        <f t="shared" si="4"/>
        <v>44926</v>
      </c>
    </row>
    <row r="453">
      <c r="A453" s="175" t="s">
        <v>2813</v>
      </c>
      <c r="B453" s="175" t="s">
        <v>2814</v>
      </c>
      <c r="C453" s="176">
        <v>738.0</v>
      </c>
      <c r="D453" s="175" t="s">
        <v>3517</v>
      </c>
      <c r="E453" s="177" t="str">
        <f t="shared" si="3"/>
        <v>Lapsed</v>
      </c>
      <c r="F453" s="24">
        <v>1.0</v>
      </c>
      <c r="G453" s="179">
        <v>44375.0</v>
      </c>
      <c r="H453" s="180">
        <f t="shared" si="4"/>
        <v>44561</v>
      </c>
    </row>
    <row r="454">
      <c r="A454" s="175" t="s">
        <v>2818</v>
      </c>
      <c r="B454" s="175" t="s">
        <v>2819</v>
      </c>
      <c r="C454" s="176">
        <v>737.0</v>
      </c>
      <c r="D454" s="202" t="s">
        <v>3517</v>
      </c>
      <c r="E454" s="177" t="str">
        <f t="shared" si="3"/>
        <v>Lapsed</v>
      </c>
      <c r="F454" s="24">
        <v>1.0</v>
      </c>
      <c r="G454" s="200">
        <v>45099.0</v>
      </c>
      <c r="H454" s="180">
        <f t="shared" si="4"/>
        <v>45291</v>
      </c>
    </row>
    <row r="455">
      <c r="A455" s="175" t="s">
        <v>2539</v>
      </c>
      <c r="B455" s="175" t="s">
        <v>1599</v>
      </c>
      <c r="C455" s="176">
        <v>736.0</v>
      </c>
      <c r="D455" s="175" t="s">
        <v>3519</v>
      </c>
      <c r="E455" s="177" t="str">
        <f t="shared" si="3"/>
        <v>Lapsed</v>
      </c>
      <c r="F455" s="24">
        <v>1.0</v>
      </c>
      <c r="G455" s="200">
        <v>44703.0</v>
      </c>
      <c r="H455" s="180">
        <f t="shared" si="4"/>
        <v>44926</v>
      </c>
    </row>
    <row r="456">
      <c r="A456" s="175" t="s">
        <v>284</v>
      </c>
      <c r="B456" s="175" t="s">
        <v>3160</v>
      </c>
      <c r="C456" s="176">
        <v>735.0</v>
      </c>
      <c r="D456" s="175" t="s">
        <v>3519</v>
      </c>
      <c r="E456" s="177" t="str">
        <f t="shared" si="3"/>
        <v>Lapsed</v>
      </c>
      <c r="F456" s="24">
        <v>1.0</v>
      </c>
      <c r="G456" s="200">
        <v>44318.0</v>
      </c>
      <c r="H456" s="180">
        <f t="shared" si="4"/>
        <v>44561</v>
      </c>
    </row>
    <row r="457">
      <c r="A457" s="175" t="s">
        <v>2828</v>
      </c>
      <c r="B457" s="175" t="s">
        <v>2829</v>
      </c>
      <c r="C457" s="176">
        <v>734.0</v>
      </c>
      <c r="D457" s="175" t="s">
        <v>3517</v>
      </c>
      <c r="E457" s="177" t="str">
        <f t="shared" si="3"/>
        <v>Lapsed</v>
      </c>
      <c r="F457" s="24">
        <v>1.0</v>
      </c>
      <c r="G457" s="200">
        <v>44950.0</v>
      </c>
      <c r="H457" s="180">
        <f t="shared" si="4"/>
        <v>45291</v>
      </c>
    </row>
    <row r="458">
      <c r="A458" s="175" t="s">
        <v>2308</v>
      </c>
      <c r="B458" s="175" t="s">
        <v>2833</v>
      </c>
      <c r="C458" s="176">
        <v>733.0</v>
      </c>
      <c r="D458" s="175" t="s">
        <v>3517</v>
      </c>
      <c r="E458" s="177" t="str">
        <f t="shared" si="3"/>
        <v>Lapsed</v>
      </c>
      <c r="F458" s="24">
        <v>1.0</v>
      </c>
      <c r="G458" s="179">
        <v>44296.0</v>
      </c>
      <c r="H458" s="180">
        <f t="shared" si="4"/>
        <v>44561</v>
      </c>
    </row>
    <row r="459">
      <c r="A459" s="175" t="s">
        <v>842</v>
      </c>
      <c r="B459" s="175" t="s">
        <v>2837</v>
      </c>
      <c r="C459" s="176">
        <v>732.0</v>
      </c>
      <c r="D459" s="175" t="s">
        <v>3517</v>
      </c>
      <c r="E459" s="177" t="str">
        <f t="shared" si="3"/>
        <v>Lapsed</v>
      </c>
      <c r="F459" s="24">
        <v>1.0</v>
      </c>
      <c r="G459" s="179">
        <v>44375.0</v>
      </c>
      <c r="H459" s="180">
        <f t="shared" si="4"/>
        <v>44561</v>
      </c>
    </row>
    <row r="460">
      <c r="A460" s="175" t="s">
        <v>2643</v>
      </c>
      <c r="B460" s="175" t="s">
        <v>2841</v>
      </c>
      <c r="C460" s="176">
        <v>731.0</v>
      </c>
      <c r="D460" s="175" t="s">
        <v>3517</v>
      </c>
      <c r="E460" s="177" t="str">
        <f t="shared" si="3"/>
        <v>Lapsed</v>
      </c>
      <c r="F460" s="24">
        <v>1.0</v>
      </c>
      <c r="G460" s="179">
        <v>44274.0</v>
      </c>
      <c r="H460" s="180">
        <f t="shared" si="4"/>
        <v>44561</v>
      </c>
    </row>
    <row r="461">
      <c r="A461" s="175" t="s">
        <v>2845</v>
      </c>
      <c r="B461" s="175" t="s">
        <v>2846</v>
      </c>
      <c r="C461" s="176">
        <v>730.0</v>
      </c>
      <c r="D461" s="175" t="s">
        <v>3517</v>
      </c>
      <c r="E461" s="177" t="str">
        <f t="shared" si="3"/>
        <v>Lapsed</v>
      </c>
      <c r="F461" s="24">
        <v>1.0</v>
      </c>
      <c r="G461" s="179">
        <v>43893.0</v>
      </c>
      <c r="H461" s="180">
        <f t="shared" si="4"/>
        <v>44195</v>
      </c>
    </row>
    <row r="462">
      <c r="A462" s="175" t="s">
        <v>2851</v>
      </c>
      <c r="B462" s="175" t="s">
        <v>2852</v>
      </c>
      <c r="C462" s="176">
        <v>729.0</v>
      </c>
      <c r="D462" s="175" t="s">
        <v>3517</v>
      </c>
      <c r="E462" s="177" t="str">
        <f t="shared" si="3"/>
        <v>Lapsed</v>
      </c>
      <c r="F462" s="24">
        <v>1.0</v>
      </c>
      <c r="G462" s="179">
        <v>44246.0</v>
      </c>
      <c r="H462" s="180">
        <f t="shared" si="4"/>
        <v>44561</v>
      </c>
    </row>
    <row r="463">
      <c r="A463" s="175" t="s">
        <v>284</v>
      </c>
      <c r="B463" s="175" t="s">
        <v>1100</v>
      </c>
      <c r="C463" s="176">
        <v>728.0</v>
      </c>
      <c r="D463" s="175" t="s">
        <v>3484</v>
      </c>
      <c r="E463" s="177" t="str">
        <f t="shared" si="3"/>
        <v>Lapsed</v>
      </c>
      <c r="F463" s="24">
        <v>1.0</v>
      </c>
      <c r="G463" s="179">
        <v>44239.0</v>
      </c>
      <c r="H463" s="180">
        <f t="shared" si="4"/>
        <v>44561</v>
      </c>
    </row>
    <row r="464">
      <c r="A464" s="175" t="s">
        <v>2863</v>
      </c>
      <c r="B464" s="175" t="s">
        <v>2864</v>
      </c>
      <c r="C464" s="176">
        <v>727.0</v>
      </c>
      <c r="D464" s="175" t="s">
        <v>3517</v>
      </c>
      <c r="E464" s="177" t="str">
        <f t="shared" si="3"/>
        <v>Lapsed</v>
      </c>
      <c r="F464" s="24">
        <v>1.0</v>
      </c>
      <c r="G464" s="179">
        <v>43875.0</v>
      </c>
      <c r="H464" s="180">
        <f t="shared" si="4"/>
        <v>44195</v>
      </c>
    </row>
    <row r="465">
      <c r="A465" s="175" t="s">
        <v>2868</v>
      </c>
      <c r="B465" s="175" t="s">
        <v>2389</v>
      </c>
      <c r="C465" s="176">
        <v>726.0</v>
      </c>
      <c r="D465" s="175" t="s">
        <v>3517</v>
      </c>
      <c r="E465" s="177" t="str">
        <f t="shared" si="3"/>
        <v>Lapsed</v>
      </c>
      <c r="F465" s="24">
        <v>1.0</v>
      </c>
      <c r="G465" s="200">
        <v>44955.0</v>
      </c>
      <c r="H465" s="180">
        <f t="shared" si="4"/>
        <v>45291</v>
      </c>
    </row>
    <row r="466">
      <c r="A466" s="175" t="s">
        <v>2871</v>
      </c>
      <c r="B466" s="175" t="s">
        <v>2872</v>
      </c>
      <c r="C466" s="176">
        <v>725.0</v>
      </c>
      <c r="D466" s="175" t="s">
        <v>3484</v>
      </c>
      <c r="E466" s="177" t="str">
        <f t="shared" si="3"/>
        <v>Lapsed</v>
      </c>
      <c r="F466" s="24">
        <v>1.0</v>
      </c>
      <c r="G466" s="179">
        <v>43844.0</v>
      </c>
      <c r="H466" s="180">
        <f t="shared" si="4"/>
        <v>44195</v>
      </c>
    </row>
    <row r="467">
      <c r="A467" s="175" t="s">
        <v>2876</v>
      </c>
      <c r="B467" s="175" t="s">
        <v>485</v>
      </c>
      <c r="C467" s="176">
        <v>724.0</v>
      </c>
      <c r="D467" s="175" t="s">
        <v>3517</v>
      </c>
      <c r="E467" s="177" t="str">
        <f t="shared" si="3"/>
        <v>Lapsed</v>
      </c>
      <c r="F467" s="24">
        <v>1.0</v>
      </c>
      <c r="G467" s="200">
        <v>44236.0</v>
      </c>
      <c r="H467" s="180">
        <f t="shared" si="4"/>
        <v>44561</v>
      </c>
    </row>
    <row r="468">
      <c r="A468" s="175" t="s">
        <v>450</v>
      </c>
      <c r="B468" s="175" t="s">
        <v>2881</v>
      </c>
      <c r="C468" s="176">
        <v>723.0</v>
      </c>
      <c r="D468" s="175" t="s">
        <v>3519</v>
      </c>
      <c r="E468" s="177" t="str">
        <f t="shared" si="3"/>
        <v>Lapsed</v>
      </c>
      <c r="F468" s="24">
        <v>1.0</v>
      </c>
      <c r="G468" s="179">
        <v>43799.0</v>
      </c>
      <c r="H468" s="180">
        <f t="shared" si="4"/>
        <v>43830</v>
      </c>
    </row>
    <row r="469">
      <c r="A469" s="175" t="s">
        <v>2886</v>
      </c>
      <c r="B469" s="175" t="s">
        <v>2887</v>
      </c>
      <c r="C469" s="176">
        <v>722.0</v>
      </c>
      <c r="D469" s="175" t="s">
        <v>3517</v>
      </c>
      <c r="E469" s="177" t="str">
        <f t="shared" si="3"/>
        <v>Lapsed</v>
      </c>
      <c r="F469" s="24">
        <v>1.0</v>
      </c>
      <c r="G469" s="179">
        <v>44463.0</v>
      </c>
      <c r="H469" s="180">
        <f t="shared" si="4"/>
        <v>44561</v>
      </c>
    </row>
    <row r="470">
      <c r="A470" s="175" t="s">
        <v>943</v>
      </c>
      <c r="B470" s="175" t="s">
        <v>433</v>
      </c>
      <c r="C470" s="176">
        <v>721.0</v>
      </c>
      <c r="D470" s="175" t="s">
        <v>3517</v>
      </c>
      <c r="E470" s="177" t="str">
        <f t="shared" si="3"/>
        <v>Lapsed</v>
      </c>
      <c r="F470" s="24">
        <v>1.0</v>
      </c>
      <c r="G470" s="200">
        <v>45319.0</v>
      </c>
      <c r="H470" s="180">
        <f t="shared" si="4"/>
        <v>45656</v>
      </c>
    </row>
    <row r="471">
      <c r="A471" s="175" t="s">
        <v>2894</v>
      </c>
      <c r="B471" s="175" t="s">
        <v>2895</v>
      </c>
      <c r="C471" s="176">
        <v>720.0</v>
      </c>
      <c r="D471" s="175" t="s">
        <v>3517</v>
      </c>
      <c r="E471" s="177" t="str">
        <f t="shared" si="3"/>
        <v>Lapsed</v>
      </c>
      <c r="F471" s="24">
        <v>1.0</v>
      </c>
      <c r="G471" s="179">
        <v>44463.0</v>
      </c>
      <c r="H471" s="180">
        <f t="shared" si="4"/>
        <v>44561</v>
      </c>
    </row>
    <row r="472">
      <c r="A472" s="175" t="s">
        <v>2901</v>
      </c>
      <c r="B472" s="175" t="s">
        <v>2902</v>
      </c>
      <c r="C472" s="176">
        <v>719.0</v>
      </c>
      <c r="D472" s="175" t="s">
        <v>3519</v>
      </c>
      <c r="E472" s="177" t="str">
        <f t="shared" si="3"/>
        <v>Lapsed</v>
      </c>
      <c r="F472" s="24">
        <v>1.0</v>
      </c>
      <c r="G472" s="179">
        <v>43799.0</v>
      </c>
      <c r="H472" s="180">
        <f t="shared" si="4"/>
        <v>43830</v>
      </c>
    </row>
    <row r="473">
      <c r="A473" s="175" t="s">
        <v>2724</v>
      </c>
      <c r="B473" s="175" t="s">
        <v>2906</v>
      </c>
      <c r="C473" s="176">
        <v>718.0</v>
      </c>
      <c r="D473" s="175" t="s">
        <v>3517</v>
      </c>
      <c r="E473" s="177" t="str">
        <f t="shared" si="3"/>
        <v>Lapsed</v>
      </c>
      <c r="F473" s="24">
        <v>1.0</v>
      </c>
      <c r="G473" s="200">
        <v>45063.0</v>
      </c>
      <c r="H473" s="180">
        <f t="shared" si="4"/>
        <v>45291</v>
      </c>
    </row>
    <row r="474">
      <c r="A474" s="175" t="s">
        <v>797</v>
      </c>
      <c r="B474" s="175" t="s">
        <v>2910</v>
      </c>
      <c r="C474" s="176">
        <v>717.0</v>
      </c>
      <c r="D474" s="175" t="s">
        <v>3519</v>
      </c>
      <c r="E474" s="177" t="str">
        <f t="shared" si="3"/>
        <v>Lapsed</v>
      </c>
      <c r="F474" s="24">
        <v>1.0</v>
      </c>
      <c r="G474" s="179">
        <v>44157.0</v>
      </c>
      <c r="H474" s="180">
        <f t="shared" si="4"/>
        <v>44195</v>
      </c>
    </row>
    <row r="475">
      <c r="A475" s="175" t="s">
        <v>2110</v>
      </c>
      <c r="B475" s="175" t="s">
        <v>2914</v>
      </c>
      <c r="C475" s="176">
        <v>716.0</v>
      </c>
      <c r="D475" s="175" t="s">
        <v>3517</v>
      </c>
      <c r="E475" s="177" t="str">
        <f t="shared" si="3"/>
        <v>Lapsed</v>
      </c>
      <c r="F475" s="24">
        <v>1.0</v>
      </c>
      <c r="G475" s="179"/>
      <c r="H475" s="180"/>
    </row>
    <row r="476">
      <c r="A476" s="175" t="s">
        <v>2194</v>
      </c>
      <c r="B476" s="175" t="s">
        <v>2920</v>
      </c>
      <c r="C476" s="176">
        <v>715.0</v>
      </c>
      <c r="D476" s="175" t="s">
        <v>3517</v>
      </c>
      <c r="E476" s="177" t="str">
        <f t="shared" si="3"/>
        <v>Lapsed</v>
      </c>
      <c r="F476" s="24">
        <v>1.0</v>
      </c>
      <c r="G476" s="179">
        <v>43774.0</v>
      </c>
      <c r="H476" s="180">
        <f>G476+ 365-(G476-date(year(G476)+F476-1,1,1)+1)</f>
        <v>43830</v>
      </c>
    </row>
    <row r="477">
      <c r="A477" s="175" t="s">
        <v>1450</v>
      </c>
      <c r="B477" s="175" t="s">
        <v>47</v>
      </c>
      <c r="C477" s="176">
        <v>713.0</v>
      </c>
      <c r="D477" s="175" t="s">
        <v>3484</v>
      </c>
      <c r="E477" s="177" t="str">
        <f t="shared" si="3"/>
        <v>Lapsed</v>
      </c>
      <c r="F477" s="24">
        <v>1.0</v>
      </c>
      <c r="G477" s="179"/>
      <c r="H477" s="180"/>
    </row>
    <row r="478">
      <c r="A478" s="175" t="s">
        <v>2928</v>
      </c>
      <c r="B478" s="175" t="s">
        <v>2929</v>
      </c>
      <c r="C478" s="176">
        <v>712.0</v>
      </c>
      <c r="D478" s="175" t="s">
        <v>3484</v>
      </c>
      <c r="E478" s="177" t="str">
        <f t="shared" si="3"/>
        <v>Lapsed</v>
      </c>
      <c r="F478" s="24">
        <v>1.0</v>
      </c>
      <c r="G478" s="179"/>
      <c r="H478" s="180"/>
    </row>
    <row r="479">
      <c r="A479" s="175" t="s">
        <v>2931</v>
      </c>
      <c r="B479" s="175" t="s">
        <v>562</v>
      </c>
      <c r="C479" s="176">
        <v>711.0</v>
      </c>
      <c r="D479" s="175" t="s">
        <v>3517</v>
      </c>
      <c r="E479" s="177" t="str">
        <f t="shared" si="3"/>
        <v>Lapsed</v>
      </c>
      <c r="F479" s="108">
        <v>3.0</v>
      </c>
      <c r="G479" s="200">
        <v>45042.0</v>
      </c>
      <c r="H479" s="180">
        <f t="shared" ref="H479:H484" si="5">G479+ 365-(G479-date(year(G479)+F479-1,1,1)+1)</f>
        <v>46022</v>
      </c>
    </row>
    <row r="480">
      <c r="A480" s="175" t="s">
        <v>2160</v>
      </c>
      <c r="B480" s="175" t="s">
        <v>2935</v>
      </c>
      <c r="C480" s="176">
        <v>710.0</v>
      </c>
      <c r="D480" s="175" t="s">
        <v>3519</v>
      </c>
      <c r="E480" s="177" t="str">
        <f t="shared" si="3"/>
        <v>Lapsed</v>
      </c>
      <c r="F480" s="24">
        <v>1.0</v>
      </c>
      <c r="G480" s="179">
        <v>43682.0</v>
      </c>
      <c r="H480" s="180">
        <f t="shared" si="5"/>
        <v>43830</v>
      </c>
    </row>
    <row r="481">
      <c r="A481" s="175" t="s">
        <v>2938</v>
      </c>
      <c r="B481" s="175" t="s">
        <v>2939</v>
      </c>
      <c r="C481" s="176">
        <v>708.0</v>
      </c>
      <c r="D481" s="175" t="s">
        <v>3517</v>
      </c>
      <c r="E481" s="177" t="str">
        <f t="shared" si="3"/>
        <v>Lapsed</v>
      </c>
      <c r="F481" s="24">
        <v>1.0</v>
      </c>
      <c r="G481" s="179">
        <v>44419.0</v>
      </c>
      <c r="H481" s="180">
        <f t="shared" si="5"/>
        <v>44561</v>
      </c>
    </row>
    <row r="482">
      <c r="A482" s="175" t="s">
        <v>2943</v>
      </c>
      <c r="B482" s="175" t="s">
        <v>1482</v>
      </c>
      <c r="C482" s="176">
        <v>705.0</v>
      </c>
      <c r="D482" s="175" t="s">
        <v>3519</v>
      </c>
      <c r="E482" s="177" t="str">
        <f t="shared" si="3"/>
        <v>Lapsed</v>
      </c>
      <c r="F482" s="108">
        <v>3.0</v>
      </c>
      <c r="G482" s="200">
        <v>45065.0</v>
      </c>
      <c r="H482" s="180">
        <f t="shared" si="5"/>
        <v>46022</v>
      </c>
    </row>
    <row r="483">
      <c r="A483" s="175" t="s">
        <v>1570</v>
      </c>
      <c r="B483" s="175" t="s">
        <v>2948</v>
      </c>
      <c r="C483" s="176">
        <v>704.0</v>
      </c>
      <c r="D483" s="175" t="s">
        <v>3517</v>
      </c>
      <c r="E483" s="177" t="str">
        <f t="shared" si="3"/>
        <v>Lapsed</v>
      </c>
      <c r="F483" s="24">
        <v>1.0</v>
      </c>
      <c r="G483" s="179">
        <v>43732.0</v>
      </c>
      <c r="H483" s="180">
        <f t="shared" si="5"/>
        <v>43830</v>
      </c>
    </row>
    <row r="484">
      <c r="A484" s="175" t="s">
        <v>2950</v>
      </c>
      <c r="B484" s="175" t="s">
        <v>2951</v>
      </c>
      <c r="C484" s="176">
        <v>703.0</v>
      </c>
      <c r="D484" s="175" t="s">
        <v>3517</v>
      </c>
      <c r="E484" s="177" t="str">
        <f t="shared" si="3"/>
        <v>Lapsed</v>
      </c>
      <c r="F484" s="24">
        <v>1.0</v>
      </c>
      <c r="G484" s="200">
        <v>44427.0</v>
      </c>
      <c r="H484" s="180">
        <f t="shared" si="5"/>
        <v>44561</v>
      </c>
    </row>
    <row r="485">
      <c r="A485" s="175" t="s">
        <v>1425</v>
      </c>
      <c r="B485" s="175" t="s">
        <v>2955</v>
      </c>
      <c r="C485" s="176">
        <v>702.0</v>
      </c>
      <c r="D485" s="175" t="s">
        <v>3517</v>
      </c>
      <c r="E485" s="177" t="str">
        <f t="shared" si="3"/>
        <v>Lapsed</v>
      </c>
      <c r="F485" s="24">
        <v>1.0</v>
      </c>
      <c r="G485" s="179"/>
      <c r="H485" s="180"/>
    </row>
    <row r="486">
      <c r="A486" s="175" t="s">
        <v>2959</v>
      </c>
      <c r="B486" s="175" t="s">
        <v>2960</v>
      </c>
      <c r="C486" s="176">
        <v>701.0</v>
      </c>
      <c r="D486" s="175" t="s">
        <v>3519</v>
      </c>
      <c r="E486" s="177" t="str">
        <f t="shared" si="3"/>
        <v>Lapsed</v>
      </c>
      <c r="F486" s="24">
        <v>1.0</v>
      </c>
      <c r="G486" s="179">
        <v>44047.0</v>
      </c>
      <c r="H486" s="180">
        <f t="shared" ref="H486:H487" si="6">G486+ 365-(G486-date(year(G486)+F486-1,1,1)+1)</f>
        <v>44195</v>
      </c>
    </row>
    <row r="487">
      <c r="A487" s="175" t="s">
        <v>358</v>
      </c>
      <c r="B487" s="175" t="s">
        <v>2964</v>
      </c>
      <c r="C487" s="176">
        <v>654.0</v>
      </c>
      <c r="D487" s="175" t="s">
        <v>3517</v>
      </c>
      <c r="E487" s="177" t="str">
        <f t="shared" si="3"/>
        <v>Lapsed</v>
      </c>
      <c r="F487" s="24">
        <v>1.0</v>
      </c>
      <c r="G487" s="200">
        <v>45044.0</v>
      </c>
      <c r="H487" s="180">
        <f t="shared" si="6"/>
        <v>45291</v>
      </c>
    </row>
    <row r="488">
      <c r="A488" s="175" t="s">
        <v>2968</v>
      </c>
      <c r="B488" s="175" t="s">
        <v>2969</v>
      </c>
      <c r="C488" s="176">
        <v>652.0</v>
      </c>
      <c r="D488" s="175" t="s">
        <v>3517</v>
      </c>
      <c r="E488" s="177" t="str">
        <f t="shared" si="3"/>
        <v>Lapsed</v>
      </c>
      <c r="F488" s="24">
        <v>1.0</v>
      </c>
      <c r="G488" s="179"/>
      <c r="H488" s="180"/>
    </row>
    <row r="489">
      <c r="A489" s="175" t="s">
        <v>2973</v>
      </c>
      <c r="B489" s="175" t="s">
        <v>2974</v>
      </c>
      <c r="C489" s="176">
        <v>651.0</v>
      </c>
      <c r="D489" s="175" t="s">
        <v>3517</v>
      </c>
      <c r="E489" s="177" t="str">
        <f t="shared" si="3"/>
        <v>Lapsed</v>
      </c>
      <c r="F489" s="24">
        <v>1.0</v>
      </c>
      <c r="G489" s="179">
        <v>44157.0</v>
      </c>
      <c r="H489" s="180">
        <f>G489+ 365-(G489-date(year(G489)+F489-1,1,1)+1)</f>
        <v>44195</v>
      </c>
    </row>
    <row r="490">
      <c r="A490" s="175" t="s">
        <v>2978</v>
      </c>
      <c r="B490" s="175" t="s">
        <v>1774</v>
      </c>
      <c r="C490" s="176">
        <v>651.0</v>
      </c>
      <c r="D490" s="175" t="s">
        <v>3517</v>
      </c>
      <c r="E490" s="177" t="str">
        <f t="shared" si="3"/>
        <v>Lapsed</v>
      </c>
      <c r="F490" s="24">
        <v>1.0</v>
      </c>
      <c r="G490" s="179"/>
      <c r="H490" s="180"/>
    </row>
    <row r="491">
      <c r="A491" s="175" t="s">
        <v>2981</v>
      </c>
      <c r="B491" s="175" t="s">
        <v>2982</v>
      </c>
      <c r="C491" s="176">
        <v>650.0</v>
      </c>
      <c r="D491" s="175" t="s">
        <v>3517</v>
      </c>
      <c r="E491" s="177" t="str">
        <f t="shared" si="3"/>
        <v>Lapsed</v>
      </c>
      <c r="F491" s="24">
        <v>1.0</v>
      </c>
      <c r="G491" s="179"/>
      <c r="H491" s="180"/>
    </row>
    <row r="492">
      <c r="A492" s="175" t="s">
        <v>2988</v>
      </c>
      <c r="B492" s="175" t="s">
        <v>2989</v>
      </c>
      <c r="C492" s="176">
        <v>648.0</v>
      </c>
      <c r="D492" s="175" t="s">
        <v>3484</v>
      </c>
      <c r="E492" s="177" t="str">
        <f t="shared" si="3"/>
        <v>Lapsed</v>
      </c>
      <c r="F492" s="24">
        <v>1.0</v>
      </c>
      <c r="G492" s="179">
        <v>43527.0</v>
      </c>
      <c r="H492" s="180">
        <f t="shared" ref="H492:H497" si="7">G492+ 365-(G492-date(year(G492)+F492-1,1,1)+1)</f>
        <v>43830</v>
      </c>
    </row>
    <row r="493">
      <c r="A493" s="175" t="s">
        <v>2308</v>
      </c>
      <c r="B493" s="175" t="s">
        <v>2232</v>
      </c>
      <c r="C493" s="176">
        <v>647.0</v>
      </c>
      <c r="D493" s="175" t="s">
        <v>3484</v>
      </c>
      <c r="E493" s="177" t="str">
        <f t="shared" si="3"/>
        <v>Lapsed</v>
      </c>
      <c r="F493" s="24">
        <v>1.0</v>
      </c>
      <c r="G493" s="179">
        <v>44463.0</v>
      </c>
      <c r="H493" s="180">
        <f t="shared" si="7"/>
        <v>44561</v>
      </c>
    </row>
    <row r="494">
      <c r="A494" s="175" t="s">
        <v>2997</v>
      </c>
      <c r="B494" s="175" t="s">
        <v>2998</v>
      </c>
      <c r="C494" s="176">
        <v>646.0</v>
      </c>
      <c r="D494" s="175" t="s">
        <v>3484</v>
      </c>
      <c r="E494" s="177" t="str">
        <f t="shared" si="3"/>
        <v>Lapsed</v>
      </c>
      <c r="F494" s="24">
        <v>1.0</v>
      </c>
      <c r="G494" s="179">
        <v>43527.0</v>
      </c>
      <c r="H494" s="180">
        <f t="shared" si="7"/>
        <v>43830</v>
      </c>
    </row>
    <row r="495">
      <c r="A495" s="175" t="s">
        <v>3002</v>
      </c>
      <c r="B495" s="175" t="s">
        <v>3003</v>
      </c>
      <c r="C495" s="176">
        <v>645.0</v>
      </c>
      <c r="D495" s="175" t="s">
        <v>3484</v>
      </c>
      <c r="E495" s="177" t="str">
        <f t="shared" si="3"/>
        <v>Lapsed</v>
      </c>
      <c r="F495" s="24">
        <v>1.0</v>
      </c>
      <c r="G495" s="179">
        <v>43527.0</v>
      </c>
      <c r="H495" s="180">
        <f t="shared" si="7"/>
        <v>43830</v>
      </c>
    </row>
    <row r="496">
      <c r="A496" s="175" t="s">
        <v>3007</v>
      </c>
      <c r="B496" s="175" t="s">
        <v>2009</v>
      </c>
      <c r="C496" s="176">
        <v>644.0</v>
      </c>
      <c r="D496" s="175" t="s">
        <v>3517</v>
      </c>
      <c r="E496" s="177" t="str">
        <f t="shared" si="3"/>
        <v>Lapsed</v>
      </c>
      <c r="F496" s="24">
        <v>1.0</v>
      </c>
      <c r="G496" s="200">
        <v>45451.0</v>
      </c>
      <c r="H496" s="180">
        <f t="shared" si="7"/>
        <v>45656</v>
      </c>
    </row>
    <row r="497">
      <c r="A497" s="175" t="s">
        <v>578</v>
      </c>
      <c r="B497" s="175" t="s">
        <v>320</v>
      </c>
      <c r="C497" s="176">
        <v>643.0</v>
      </c>
      <c r="D497" s="175" t="s">
        <v>3517</v>
      </c>
      <c r="E497" s="177" t="str">
        <f t="shared" si="3"/>
        <v>Lapsed</v>
      </c>
      <c r="F497" s="24">
        <v>1.0</v>
      </c>
      <c r="G497" s="200">
        <v>45451.0</v>
      </c>
      <c r="H497" s="180">
        <f t="shared" si="7"/>
        <v>45656</v>
      </c>
    </row>
    <row r="498">
      <c r="A498" s="175" t="s">
        <v>3013</v>
      </c>
      <c r="B498" s="175" t="s">
        <v>3014</v>
      </c>
      <c r="C498" s="176">
        <v>642.0</v>
      </c>
      <c r="D498" s="175" t="s">
        <v>3517</v>
      </c>
      <c r="E498" s="177" t="str">
        <f t="shared" si="3"/>
        <v>Lapsed</v>
      </c>
      <c r="F498" s="24">
        <v>1.0</v>
      </c>
      <c r="G498" s="179"/>
      <c r="H498" s="180"/>
    </row>
    <row r="499">
      <c r="A499" s="175" t="s">
        <v>728</v>
      </c>
      <c r="B499" s="175" t="s">
        <v>3020</v>
      </c>
      <c r="C499" s="176">
        <v>641.0</v>
      </c>
      <c r="D499" s="175" t="s">
        <v>3517</v>
      </c>
      <c r="E499" s="177" t="str">
        <f t="shared" si="3"/>
        <v>Lapsed</v>
      </c>
      <c r="F499" s="24">
        <v>1.0</v>
      </c>
      <c r="G499" s="200">
        <v>44722.0</v>
      </c>
      <c r="H499" s="180">
        <f t="shared" ref="H499:H505" si="8">G499+ 365-(G499-date(year(G499)+F499-1,1,1)+1)</f>
        <v>44926</v>
      </c>
    </row>
    <row r="500">
      <c r="A500" s="175" t="s">
        <v>728</v>
      </c>
      <c r="B500" s="175" t="s">
        <v>128</v>
      </c>
      <c r="C500" s="176">
        <v>640.0</v>
      </c>
      <c r="D500" s="175" t="s">
        <v>3517</v>
      </c>
      <c r="E500" s="177" t="str">
        <f t="shared" si="3"/>
        <v>Lapsed</v>
      </c>
      <c r="F500" s="24">
        <v>1.0</v>
      </c>
      <c r="G500" s="200">
        <v>44703.0</v>
      </c>
      <c r="H500" s="180">
        <f t="shared" si="8"/>
        <v>44926</v>
      </c>
    </row>
    <row r="501">
      <c r="A501" s="175" t="s">
        <v>2539</v>
      </c>
      <c r="B501" s="175" t="s">
        <v>433</v>
      </c>
      <c r="C501" s="176">
        <v>639.0</v>
      </c>
      <c r="D501" s="175" t="s">
        <v>3519</v>
      </c>
      <c r="E501" s="177" t="str">
        <f t="shared" si="3"/>
        <v>Lapsed</v>
      </c>
      <c r="F501" s="24">
        <v>1.0</v>
      </c>
      <c r="G501" s="179">
        <v>43503.0</v>
      </c>
      <c r="H501" s="180">
        <f t="shared" si="8"/>
        <v>43830</v>
      </c>
    </row>
    <row r="502">
      <c r="A502" s="175" t="s">
        <v>3030</v>
      </c>
      <c r="B502" s="175" t="s">
        <v>3031</v>
      </c>
      <c r="C502" s="176">
        <v>638.0</v>
      </c>
      <c r="D502" s="175" t="s">
        <v>3519</v>
      </c>
      <c r="E502" s="177" t="str">
        <f t="shared" si="3"/>
        <v>Lapsed</v>
      </c>
      <c r="F502" s="24">
        <v>1.0</v>
      </c>
      <c r="G502" s="179">
        <v>43466.0</v>
      </c>
      <c r="H502" s="180">
        <f t="shared" si="8"/>
        <v>43830</v>
      </c>
    </row>
    <row r="503">
      <c r="A503" s="175" t="s">
        <v>1450</v>
      </c>
      <c r="B503" s="175" t="s">
        <v>3035</v>
      </c>
      <c r="C503" s="176">
        <v>637.0</v>
      </c>
      <c r="D503" s="175" t="s">
        <v>3519</v>
      </c>
      <c r="E503" s="177" t="str">
        <f t="shared" si="3"/>
        <v>Lapsed</v>
      </c>
      <c r="F503" s="24">
        <v>1.0</v>
      </c>
      <c r="G503" s="179">
        <v>43603.0</v>
      </c>
      <c r="H503" s="180">
        <f t="shared" si="8"/>
        <v>43830</v>
      </c>
    </row>
    <row r="504">
      <c r="A504" s="175" t="s">
        <v>3039</v>
      </c>
      <c r="B504" s="175" t="s">
        <v>2982</v>
      </c>
      <c r="C504" s="176">
        <v>636.0</v>
      </c>
      <c r="D504" s="175" t="s">
        <v>3519</v>
      </c>
      <c r="E504" s="177" t="str">
        <f t="shared" si="3"/>
        <v>Lapsed</v>
      </c>
      <c r="F504" s="24">
        <v>1.0</v>
      </c>
      <c r="G504" s="179">
        <v>43603.0</v>
      </c>
      <c r="H504" s="180">
        <f t="shared" si="8"/>
        <v>43830</v>
      </c>
    </row>
    <row r="505">
      <c r="A505" s="175" t="s">
        <v>2602</v>
      </c>
      <c r="B505" s="175" t="s">
        <v>3042</v>
      </c>
      <c r="C505" s="176">
        <v>635.0</v>
      </c>
      <c r="D505" s="175" t="s">
        <v>3484</v>
      </c>
      <c r="E505" s="177" t="str">
        <f t="shared" si="3"/>
        <v>Lapsed</v>
      </c>
      <c r="F505" s="24">
        <v>1.0</v>
      </c>
      <c r="G505" s="179">
        <v>43466.0</v>
      </c>
      <c r="H505" s="180">
        <f t="shared" si="8"/>
        <v>43830</v>
      </c>
    </row>
    <row r="506">
      <c r="A506" s="175" t="s">
        <v>3047</v>
      </c>
      <c r="B506" s="175" t="s">
        <v>902</v>
      </c>
      <c r="C506" s="176">
        <v>634.0</v>
      </c>
      <c r="D506" s="175" t="s">
        <v>3517</v>
      </c>
      <c r="E506" s="177" t="str">
        <f t="shared" si="3"/>
        <v>Lapsed</v>
      </c>
      <c r="F506" s="24">
        <v>1.0</v>
      </c>
      <c r="G506" s="179"/>
      <c r="H506" s="180"/>
    </row>
    <row r="507">
      <c r="A507" s="175" t="s">
        <v>680</v>
      </c>
      <c r="B507" s="175" t="s">
        <v>3050</v>
      </c>
      <c r="C507" s="176">
        <v>631.0</v>
      </c>
      <c r="D507" s="175" t="s">
        <v>3517</v>
      </c>
      <c r="E507" s="177" t="str">
        <f t="shared" si="3"/>
        <v>Lapsed</v>
      </c>
      <c r="F507" s="24">
        <v>1.0</v>
      </c>
      <c r="G507" s="200">
        <v>44820.0</v>
      </c>
      <c r="H507" s="180">
        <f t="shared" ref="H507:H509" si="9">G507+ 365-(G507-date(year(G507)+F507-1,1,1)+1)</f>
        <v>44926</v>
      </c>
    </row>
    <row r="508">
      <c r="A508" s="175" t="s">
        <v>1171</v>
      </c>
      <c r="B508" s="175" t="s">
        <v>3054</v>
      </c>
      <c r="C508" s="176">
        <v>630.0</v>
      </c>
      <c r="D508" s="175" t="s">
        <v>3517</v>
      </c>
      <c r="E508" s="177" t="str">
        <f t="shared" si="3"/>
        <v>Lapsed</v>
      </c>
      <c r="F508" s="24">
        <v>1.0</v>
      </c>
      <c r="G508" s="200">
        <v>44820.0</v>
      </c>
      <c r="H508" s="180">
        <f t="shared" si="9"/>
        <v>44926</v>
      </c>
    </row>
    <row r="509">
      <c r="A509" s="175" t="s">
        <v>1240</v>
      </c>
      <c r="B509" s="175" t="s">
        <v>2902</v>
      </c>
      <c r="C509" s="176">
        <v>621.0</v>
      </c>
      <c r="D509" s="175" t="s">
        <v>3517</v>
      </c>
      <c r="E509" s="177" t="str">
        <f t="shared" si="3"/>
        <v>Lapsed</v>
      </c>
      <c r="F509" s="24">
        <v>1.0</v>
      </c>
      <c r="G509" s="179">
        <v>43629.0</v>
      </c>
      <c r="H509" s="180">
        <f t="shared" si="9"/>
        <v>43830</v>
      </c>
    </row>
    <row r="510">
      <c r="A510" s="175" t="s">
        <v>1013</v>
      </c>
      <c r="B510" s="175" t="s">
        <v>3060</v>
      </c>
      <c r="C510" s="176">
        <v>621.0</v>
      </c>
      <c r="D510" s="175" t="s">
        <v>3517</v>
      </c>
      <c r="E510" s="177" t="str">
        <f t="shared" si="3"/>
        <v>Lapsed</v>
      </c>
      <c r="F510" s="24">
        <v>1.0</v>
      </c>
      <c r="G510" s="179"/>
      <c r="H510" s="180"/>
    </row>
    <row r="511">
      <c r="A511" s="175" t="s">
        <v>3064</v>
      </c>
      <c r="B511" s="175" t="s">
        <v>3065</v>
      </c>
      <c r="C511" s="176">
        <v>620.0</v>
      </c>
      <c r="D511" s="175" t="s">
        <v>3517</v>
      </c>
      <c r="E511" s="177" t="str">
        <f t="shared" si="3"/>
        <v>Lapsed</v>
      </c>
      <c r="F511" s="24">
        <v>1.0</v>
      </c>
      <c r="G511" s="179"/>
      <c r="H511" s="180"/>
    </row>
    <row r="512">
      <c r="A512" s="175" t="s">
        <v>1230</v>
      </c>
      <c r="B512" s="175" t="s">
        <v>3069</v>
      </c>
      <c r="C512" s="176">
        <v>616.0</v>
      </c>
      <c r="D512" s="175" t="s">
        <v>3519</v>
      </c>
      <c r="E512" s="177" t="str">
        <f t="shared" si="3"/>
        <v>Lapsed</v>
      </c>
      <c r="F512" s="24">
        <v>1.0</v>
      </c>
      <c r="G512" s="179">
        <v>44235.0</v>
      </c>
      <c r="H512" s="180">
        <f t="shared" ref="H512:H514" si="10">G512+ 365-(G512-date(year(G512)+F512-1,1,1)+1)</f>
        <v>44561</v>
      </c>
    </row>
    <row r="513">
      <c r="A513" s="175" t="s">
        <v>3073</v>
      </c>
      <c r="B513" s="175" t="s">
        <v>3074</v>
      </c>
      <c r="C513" s="176">
        <v>609.0</v>
      </c>
      <c r="D513" s="175" t="s">
        <v>3519</v>
      </c>
      <c r="E513" s="177" t="str">
        <f t="shared" si="3"/>
        <v>Lapsed</v>
      </c>
      <c r="F513" s="24">
        <v>1.0</v>
      </c>
      <c r="G513" s="200">
        <v>45205.0</v>
      </c>
      <c r="H513" s="180">
        <f t="shared" si="10"/>
        <v>45291</v>
      </c>
    </row>
    <row r="514">
      <c r="A514" s="175" t="s">
        <v>1027</v>
      </c>
      <c r="B514" s="175" t="s">
        <v>3078</v>
      </c>
      <c r="C514" s="176">
        <v>608.0</v>
      </c>
      <c r="D514" s="175" t="s">
        <v>3517</v>
      </c>
      <c r="E514" s="177" t="str">
        <f t="shared" si="3"/>
        <v>Lapsed</v>
      </c>
      <c r="F514" s="24">
        <v>1.0</v>
      </c>
      <c r="G514" s="200">
        <v>45057.0</v>
      </c>
      <c r="H514" s="180">
        <f t="shared" si="10"/>
        <v>45291</v>
      </c>
    </row>
    <row r="515">
      <c r="A515" s="175" t="s">
        <v>3083</v>
      </c>
      <c r="B515" s="175" t="s">
        <v>237</v>
      </c>
      <c r="C515" s="176">
        <v>607.0</v>
      </c>
      <c r="D515" s="175" t="s">
        <v>3517</v>
      </c>
      <c r="E515" s="177" t="str">
        <f t="shared" si="3"/>
        <v>Lapsed</v>
      </c>
      <c r="F515" s="24">
        <v>1.0</v>
      </c>
      <c r="G515" s="179"/>
      <c r="H515" s="180"/>
    </row>
    <row r="516">
      <c r="A516" s="175" t="s">
        <v>3087</v>
      </c>
      <c r="B516" s="175" t="s">
        <v>3088</v>
      </c>
      <c r="C516" s="176">
        <v>606.0</v>
      </c>
      <c r="D516" s="175" t="s">
        <v>3517</v>
      </c>
      <c r="E516" s="177" t="str">
        <f t="shared" si="3"/>
        <v>Lapsed</v>
      </c>
      <c r="F516" s="24">
        <v>1.0</v>
      </c>
      <c r="G516" s="179"/>
      <c r="H516" s="180"/>
    </row>
    <row r="517">
      <c r="A517" s="175" t="s">
        <v>3092</v>
      </c>
      <c r="B517" s="175" t="s">
        <v>2675</v>
      </c>
      <c r="C517" s="176">
        <v>605.0</v>
      </c>
      <c r="D517" s="175" t="s">
        <v>3484</v>
      </c>
      <c r="E517" s="177" t="str">
        <f t="shared" si="3"/>
        <v>Lapsed</v>
      </c>
      <c r="F517" s="24">
        <v>1.0</v>
      </c>
      <c r="G517" s="179"/>
      <c r="H517" s="180"/>
    </row>
    <row r="518">
      <c r="A518" s="202" t="s">
        <v>3096</v>
      </c>
      <c r="B518" s="175" t="s">
        <v>3097</v>
      </c>
      <c r="C518" s="176">
        <v>604.0</v>
      </c>
      <c r="D518" s="202" t="s">
        <v>3517</v>
      </c>
      <c r="E518" s="177" t="str">
        <f t="shared" si="3"/>
        <v>Lapsed</v>
      </c>
      <c r="F518" s="24">
        <v>1.0</v>
      </c>
      <c r="G518" s="200">
        <v>45069.0</v>
      </c>
      <c r="H518" s="180">
        <f t="shared" ref="H518:H520" si="11">G518+ 365-(G518-date(year(G518)+F518-1,1,1)+1)</f>
        <v>45291</v>
      </c>
    </row>
    <row r="519">
      <c r="A519" s="175" t="s">
        <v>3101</v>
      </c>
      <c r="B519" s="175" t="s">
        <v>3102</v>
      </c>
      <c r="C519" s="176">
        <v>603.0</v>
      </c>
      <c r="D519" s="175" t="s">
        <v>3517</v>
      </c>
      <c r="E519" s="177" t="str">
        <f t="shared" si="3"/>
        <v>Lapsed</v>
      </c>
      <c r="F519" s="24">
        <v>1.0</v>
      </c>
      <c r="G519" s="200">
        <v>44339.0</v>
      </c>
      <c r="H519" s="180">
        <f t="shared" si="11"/>
        <v>44561</v>
      </c>
    </row>
    <row r="520">
      <c r="A520" s="175" t="s">
        <v>936</v>
      </c>
      <c r="B520" s="175" t="s">
        <v>3107</v>
      </c>
      <c r="C520" s="176">
        <v>602.0</v>
      </c>
      <c r="D520" s="175" t="s">
        <v>3517</v>
      </c>
      <c r="E520" s="177" t="str">
        <f t="shared" si="3"/>
        <v>Lapsed</v>
      </c>
      <c r="F520" s="24">
        <v>1.0</v>
      </c>
      <c r="G520" s="179">
        <v>44153.0</v>
      </c>
      <c r="H520" s="180">
        <f t="shared" si="11"/>
        <v>44195</v>
      </c>
    </row>
    <row r="521">
      <c r="A521" s="175" t="s">
        <v>3111</v>
      </c>
      <c r="B521" s="175" t="s">
        <v>690</v>
      </c>
      <c r="C521" s="176">
        <v>600.0</v>
      </c>
      <c r="D521" s="175" t="s">
        <v>3517</v>
      </c>
      <c r="E521" s="177" t="str">
        <f t="shared" si="3"/>
        <v>Lapsed</v>
      </c>
      <c r="F521" s="24">
        <v>1.0</v>
      </c>
      <c r="G521" s="179"/>
      <c r="H521" s="180"/>
    </row>
    <row r="522">
      <c r="A522" s="175" t="s">
        <v>3116</v>
      </c>
      <c r="B522" s="175" t="s">
        <v>638</v>
      </c>
      <c r="C522" s="176">
        <v>591.0</v>
      </c>
      <c r="D522" s="175" t="s">
        <v>3517</v>
      </c>
      <c r="E522" s="177" t="str">
        <f t="shared" si="3"/>
        <v>Lapsed</v>
      </c>
      <c r="F522" s="24">
        <v>1.0</v>
      </c>
      <c r="G522" s="179">
        <v>43771.0</v>
      </c>
      <c r="H522" s="180">
        <f t="shared" ref="H522:H525" si="12">G522+ 365-(G522-date(year(G522)+F522-1,1,1)+1)</f>
        <v>43830</v>
      </c>
    </row>
    <row r="523">
      <c r="A523" s="175" t="s">
        <v>3117</v>
      </c>
      <c r="B523" s="175" t="s">
        <v>3118</v>
      </c>
      <c r="C523" s="176">
        <v>590.0</v>
      </c>
      <c r="D523" s="175" t="s">
        <v>3519</v>
      </c>
      <c r="E523" s="177" t="str">
        <f t="shared" si="3"/>
        <v>Lapsed</v>
      </c>
      <c r="F523" s="24">
        <v>1.0</v>
      </c>
      <c r="G523" s="179">
        <v>44463.0</v>
      </c>
      <c r="H523" s="180">
        <f t="shared" si="12"/>
        <v>44561</v>
      </c>
    </row>
    <row r="524">
      <c r="A524" s="175" t="s">
        <v>3122</v>
      </c>
      <c r="B524" s="175" t="s">
        <v>2279</v>
      </c>
      <c r="C524" s="176">
        <v>589.0</v>
      </c>
      <c r="D524" s="175" t="s">
        <v>3517</v>
      </c>
      <c r="E524" s="177" t="str">
        <f t="shared" si="3"/>
        <v>Lapsed</v>
      </c>
      <c r="F524" s="24">
        <v>1.0</v>
      </c>
      <c r="G524" s="200">
        <v>45292.0</v>
      </c>
      <c r="H524" s="180">
        <f t="shared" si="12"/>
        <v>45656</v>
      </c>
    </row>
    <row r="525">
      <c r="A525" s="175" t="s">
        <v>1749</v>
      </c>
      <c r="B525" s="175" t="s">
        <v>3126</v>
      </c>
      <c r="C525" s="176">
        <v>588.0</v>
      </c>
      <c r="D525" s="175" t="s">
        <v>3517</v>
      </c>
      <c r="E525" s="177" t="str">
        <f t="shared" si="3"/>
        <v>Lapsed</v>
      </c>
      <c r="F525" s="24">
        <v>1.0</v>
      </c>
      <c r="G525" s="179">
        <v>43749.0</v>
      </c>
      <c r="H525" s="180">
        <f t="shared" si="12"/>
        <v>43830</v>
      </c>
    </row>
    <row r="526">
      <c r="A526" s="175" t="s">
        <v>1181</v>
      </c>
      <c r="B526" s="175" t="s">
        <v>3130</v>
      </c>
      <c r="C526" s="176">
        <v>580.0</v>
      </c>
      <c r="D526" s="175" t="s">
        <v>3517</v>
      </c>
      <c r="E526" s="177" t="str">
        <f t="shared" si="3"/>
        <v>Lapsed</v>
      </c>
      <c r="F526" s="24">
        <v>1.0</v>
      </c>
      <c r="G526" s="179"/>
      <c r="H526" s="180"/>
    </row>
    <row r="527">
      <c r="A527" s="175" t="s">
        <v>3136</v>
      </c>
      <c r="B527" s="175" t="s">
        <v>1749</v>
      </c>
      <c r="C527" s="176">
        <v>576.0</v>
      </c>
      <c r="D527" s="175" t="s">
        <v>3517</v>
      </c>
      <c r="E527" s="177" t="str">
        <f t="shared" si="3"/>
        <v>Lapsed</v>
      </c>
      <c r="F527" s="24">
        <v>1.0</v>
      </c>
      <c r="G527" s="179"/>
      <c r="H527" s="180"/>
    </row>
    <row r="528">
      <c r="A528" s="175" t="s">
        <v>2288</v>
      </c>
      <c r="B528" s="175" t="s">
        <v>3141</v>
      </c>
      <c r="C528" s="176">
        <v>573.0</v>
      </c>
      <c r="D528" s="175" t="s">
        <v>3517</v>
      </c>
      <c r="E528" s="177" t="str">
        <f t="shared" si="3"/>
        <v>Lapsed</v>
      </c>
      <c r="F528" s="24">
        <v>1.0</v>
      </c>
      <c r="G528" s="200">
        <v>44721.0</v>
      </c>
      <c r="H528" s="180">
        <f t="shared" ref="H528:H529" si="13">G528+ 365-(G528-date(year(G528)+F528-1,1,1)+1)</f>
        <v>44926</v>
      </c>
    </row>
    <row r="529">
      <c r="A529" s="175" t="s">
        <v>186</v>
      </c>
      <c r="B529" s="175" t="s">
        <v>1301</v>
      </c>
      <c r="C529" s="176">
        <v>568.0</v>
      </c>
      <c r="D529" s="175" t="s">
        <v>3517</v>
      </c>
      <c r="E529" s="177" t="str">
        <f t="shared" si="3"/>
        <v>Lapsed</v>
      </c>
      <c r="F529" s="24">
        <v>1.0</v>
      </c>
      <c r="G529" s="200">
        <v>45068.0</v>
      </c>
      <c r="H529" s="180">
        <f t="shared" si="13"/>
        <v>45291</v>
      </c>
    </row>
    <row r="530">
      <c r="A530" s="175" t="s">
        <v>3148</v>
      </c>
      <c r="B530" s="175" t="s">
        <v>1562</v>
      </c>
      <c r="C530" s="176">
        <v>565.0</v>
      </c>
      <c r="D530" s="175" t="s">
        <v>3517</v>
      </c>
      <c r="E530" s="177" t="str">
        <f t="shared" si="3"/>
        <v>Lapsed</v>
      </c>
      <c r="F530" s="24">
        <v>1.0</v>
      </c>
      <c r="G530" s="179"/>
      <c r="H530" s="180"/>
    </row>
    <row r="531">
      <c r="A531" s="175" t="s">
        <v>3152</v>
      </c>
      <c r="B531" s="175" t="s">
        <v>554</v>
      </c>
      <c r="C531" s="176">
        <v>564.0</v>
      </c>
      <c r="D531" s="175" t="s">
        <v>3517</v>
      </c>
      <c r="E531" s="177" t="str">
        <f t="shared" si="3"/>
        <v>Lapsed</v>
      </c>
      <c r="F531" s="24">
        <v>1.0</v>
      </c>
      <c r="G531" s="200">
        <v>44715.0</v>
      </c>
      <c r="H531" s="180">
        <f t="shared" ref="H531:H532" si="14">G531+ 365-(G531-date(year(G531)+F531-1,1,1)+1)</f>
        <v>44926</v>
      </c>
    </row>
    <row r="532">
      <c r="A532" s="175" t="s">
        <v>1783</v>
      </c>
      <c r="B532" s="175" t="s">
        <v>3155</v>
      </c>
      <c r="C532" s="176">
        <v>559.0</v>
      </c>
      <c r="D532" s="175" t="s">
        <v>3519</v>
      </c>
      <c r="E532" s="177" t="str">
        <f t="shared" si="3"/>
        <v>Lapsed</v>
      </c>
      <c r="F532" s="24">
        <v>1.0</v>
      </c>
      <c r="G532" s="179">
        <v>44348.0</v>
      </c>
      <c r="H532" s="180">
        <f t="shared" si="14"/>
        <v>44561</v>
      </c>
    </row>
    <row r="533">
      <c r="A533" s="175" t="s">
        <v>284</v>
      </c>
      <c r="B533" s="175" t="s">
        <v>3160</v>
      </c>
      <c r="C533" s="176">
        <v>554.0</v>
      </c>
      <c r="D533" s="175" t="s">
        <v>3517</v>
      </c>
      <c r="E533" s="177" t="str">
        <f t="shared" si="3"/>
        <v>Lapsed</v>
      </c>
      <c r="F533" s="24">
        <v>1.0</v>
      </c>
      <c r="G533" s="179"/>
      <c r="H533" s="180"/>
    </row>
    <row r="534">
      <c r="A534" s="175" t="s">
        <v>3165</v>
      </c>
      <c r="B534" s="175" t="s">
        <v>3166</v>
      </c>
      <c r="C534" s="176">
        <v>553.0</v>
      </c>
      <c r="D534" s="175" t="s">
        <v>3517</v>
      </c>
      <c r="E534" s="177" t="str">
        <f t="shared" si="3"/>
        <v>Lapsed</v>
      </c>
      <c r="F534" s="24">
        <v>1.0</v>
      </c>
      <c r="G534" s="179"/>
      <c r="H534" s="180"/>
    </row>
    <row r="535">
      <c r="A535" s="175" t="s">
        <v>1315</v>
      </c>
      <c r="B535" s="175" t="s">
        <v>3170</v>
      </c>
      <c r="C535" s="176">
        <v>550.0</v>
      </c>
      <c r="D535" s="175" t="s">
        <v>3517</v>
      </c>
      <c r="E535" s="177" t="str">
        <f t="shared" si="3"/>
        <v>Lapsed</v>
      </c>
      <c r="F535" s="24">
        <v>1.0</v>
      </c>
      <c r="G535" s="200">
        <v>44786.0</v>
      </c>
      <c r="H535" s="180">
        <f t="shared" ref="H535:H536" si="15">G535+ 365-(G535-date(year(G535)+F535-1,1,1)+1)</f>
        <v>44926</v>
      </c>
    </row>
    <row r="536">
      <c r="A536" s="175" t="s">
        <v>3174</v>
      </c>
      <c r="B536" s="175" t="s">
        <v>3175</v>
      </c>
      <c r="C536" s="176">
        <v>546.0</v>
      </c>
      <c r="D536" s="175" t="s">
        <v>3484</v>
      </c>
      <c r="E536" s="177" t="str">
        <f t="shared" si="3"/>
        <v>Lapsed</v>
      </c>
      <c r="F536" s="24">
        <v>1.0</v>
      </c>
      <c r="G536" s="179">
        <v>43199.0</v>
      </c>
      <c r="H536" s="180">
        <f t="shared" si="15"/>
        <v>43465</v>
      </c>
    </row>
    <row r="537">
      <c r="A537" s="175" t="s">
        <v>2602</v>
      </c>
      <c r="B537" s="175" t="s">
        <v>614</v>
      </c>
      <c r="C537" s="176">
        <v>544.0</v>
      </c>
      <c r="D537" s="175" t="s">
        <v>3517</v>
      </c>
      <c r="E537" s="177" t="str">
        <f t="shared" si="3"/>
        <v>Lapsed</v>
      </c>
      <c r="F537" s="24">
        <v>1.0</v>
      </c>
      <c r="G537" s="179"/>
      <c r="H537" s="180"/>
    </row>
    <row r="538">
      <c r="A538" s="175" t="s">
        <v>1200</v>
      </c>
      <c r="B538" s="175" t="s">
        <v>3185</v>
      </c>
      <c r="C538" s="176">
        <v>543.0</v>
      </c>
      <c r="D538" s="175" t="s">
        <v>3517</v>
      </c>
      <c r="E538" s="177" t="str">
        <f t="shared" si="3"/>
        <v>Lapsed</v>
      </c>
      <c r="F538" s="24">
        <v>1.0</v>
      </c>
      <c r="G538" s="179">
        <v>44295.0</v>
      </c>
      <c r="H538" s="180">
        <f t="shared" ref="H538:H548" si="16">G538+ 365-(G538-date(year(G538)+F538-1,1,1)+1)</f>
        <v>44561</v>
      </c>
    </row>
    <row r="539">
      <c r="A539" s="175" t="s">
        <v>1876</v>
      </c>
      <c r="B539" s="175" t="s">
        <v>704</v>
      </c>
      <c r="C539" s="176">
        <v>542.0</v>
      </c>
      <c r="D539" s="175" t="s">
        <v>3519</v>
      </c>
      <c r="E539" s="177" t="str">
        <f t="shared" si="3"/>
        <v>Lapsed</v>
      </c>
      <c r="F539" s="24">
        <v>1.0</v>
      </c>
      <c r="G539" s="179">
        <v>43199.0</v>
      </c>
      <c r="H539" s="180">
        <f t="shared" si="16"/>
        <v>43465</v>
      </c>
    </row>
    <row r="540">
      <c r="A540" s="175" t="s">
        <v>3193</v>
      </c>
      <c r="B540" s="175" t="s">
        <v>3194</v>
      </c>
      <c r="C540" s="176">
        <v>534.0</v>
      </c>
      <c r="D540" s="175" t="s">
        <v>3517</v>
      </c>
      <c r="E540" s="177" t="str">
        <f t="shared" si="3"/>
        <v>Lapsed</v>
      </c>
      <c r="F540" s="24">
        <v>1.0</v>
      </c>
      <c r="G540" s="179">
        <v>43190.0</v>
      </c>
      <c r="H540" s="180">
        <f t="shared" si="16"/>
        <v>43465</v>
      </c>
    </row>
    <row r="541">
      <c r="A541" s="175" t="s">
        <v>3198</v>
      </c>
      <c r="B541" s="175" t="s">
        <v>3199</v>
      </c>
      <c r="C541" s="176">
        <v>531.0</v>
      </c>
      <c r="D541" s="175" t="s">
        <v>3484</v>
      </c>
      <c r="E541" s="177" t="str">
        <f t="shared" si="3"/>
        <v>Lapsed</v>
      </c>
      <c r="F541" s="24">
        <v>1.0</v>
      </c>
      <c r="G541" s="179">
        <v>43590.0</v>
      </c>
      <c r="H541" s="180">
        <f t="shared" si="16"/>
        <v>43830</v>
      </c>
    </row>
    <row r="542">
      <c r="A542" s="175" t="s">
        <v>3203</v>
      </c>
      <c r="B542" s="175" t="s">
        <v>3204</v>
      </c>
      <c r="C542" s="176">
        <v>530.0</v>
      </c>
      <c r="D542" s="175" t="s">
        <v>3484</v>
      </c>
      <c r="E542" s="177" t="str">
        <f t="shared" si="3"/>
        <v>Lapsed</v>
      </c>
      <c r="F542" s="24">
        <v>1.0</v>
      </c>
      <c r="G542" s="179">
        <v>43190.0</v>
      </c>
      <c r="H542" s="180">
        <f t="shared" si="16"/>
        <v>43465</v>
      </c>
    </row>
    <row r="543">
      <c r="A543" s="175" t="s">
        <v>3207</v>
      </c>
      <c r="B543" s="175" t="s">
        <v>3208</v>
      </c>
      <c r="C543" s="176">
        <v>527.0</v>
      </c>
      <c r="D543" s="175" t="s">
        <v>3484</v>
      </c>
      <c r="E543" s="177" t="str">
        <f t="shared" si="3"/>
        <v>Lapsed</v>
      </c>
      <c r="F543" s="24">
        <v>1.0</v>
      </c>
      <c r="G543" s="179">
        <v>43190.0</v>
      </c>
      <c r="H543" s="180">
        <f t="shared" si="16"/>
        <v>43465</v>
      </c>
    </row>
    <row r="544">
      <c r="A544" s="175" t="s">
        <v>1858</v>
      </c>
      <c r="B544" s="175" t="s">
        <v>3212</v>
      </c>
      <c r="C544" s="176">
        <v>525.0</v>
      </c>
      <c r="D544" s="175" t="s">
        <v>3517</v>
      </c>
      <c r="E544" s="177" t="str">
        <f t="shared" si="3"/>
        <v>Lapsed</v>
      </c>
      <c r="F544" s="24">
        <v>1.0</v>
      </c>
      <c r="G544" s="179">
        <v>44463.0</v>
      </c>
      <c r="H544" s="180">
        <f t="shared" si="16"/>
        <v>44561</v>
      </c>
    </row>
    <row r="545">
      <c r="A545" s="175" t="s">
        <v>3217</v>
      </c>
      <c r="B545" s="175" t="s">
        <v>3218</v>
      </c>
      <c r="C545" s="176">
        <v>523.0</v>
      </c>
      <c r="D545" s="175" t="s">
        <v>3517</v>
      </c>
      <c r="E545" s="177" t="str">
        <f t="shared" si="3"/>
        <v>Lapsed</v>
      </c>
      <c r="F545" s="24">
        <v>1.0</v>
      </c>
      <c r="G545" s="200">
        <v>44344.0</v>
      </c>
      <c r="H545" s="180">
        <f t="shared" si="16"/>
        <v>44561</v>
      </c>
    </row>
    <row r="546">
      <c r="A546" s="175" t="s">
        <v>2340</v>
      </c>
      <c r="B546" s="175" t="s">
        <v>3224</v>
      </c>
      <c r="C546" s="176">
        <v>522.0</v>
      </c>
      <c r="D546" s="175" t="s">
        <v>3517</v>
      </c>
      <c r="E546" s="177" t="str">
        <f t="shared" si="3"/>
        <v>Lapsed</v>
      </c>
      <c r="F546" s="24">
        <v>1.0</v>
      </c>
      <c r="G546" s="200">
        <v>45451.0</v>
      </c>
      <c r="H546" s="180">
        <f t="shared" si="16"/>
        <v>45656</v>
      </c>
    </row>
    <row r="547">
      <c r="A547" s="175" t="s">
        <v>3228</v>
      </c>
      <c r="B547" s="175" t="s">
        <v>2419</v>
      </c>
      <c r="C547" s="176">
        <v>518.0</v>
      </c>
      <c r="D547" s="175" t="s">
        <v>3519</v>
      </c>
      <c r="E547" s="177" t="str">
        <f t="shared" si="3"/>
        <v>Lapsed</v>
      </c>
      <c r="F547" s="24">
        <v>1.0</v>
      </c>
      <c r="G547" s="200">
        <v>45044.0</v>
      </c>
      <c r="H547" s="180">
        <f t="shared" si="16"/>
        <v>45291</v>
      </c>
    </row>
    <row r="548">
      <c r="A548" s="175" t="s">
        <v>3229</v>
      </c>
      <c r="B548" s="175" t="s">
        <v>3230</v>
      </c>
      <c r="C548" s="176">
        <v>517.0</v>
      </c>
      <c r="D548" s="175" t="s">
        <v>3517</v>
      </c>
      <c r="E548" s="177" t="str">
        <f t="shared" si="3"/>
        <v>Lapsed</v>
      </c>
      <c r="F548" s="24">
        <v>1.0</v>
      </c>
      <c r="G548" s="200">
        <v>45150.0</v>
      </c>
      <c r="H548" s="180">
        <f t="shared" si="16"/>
        <v>45291</v>
      </c>
    </row>
    <row r="549">
      <c r="A549" s="175" t="s">
        <v>3236</v>
      </c>
      <c r="B549" s="175" t="s">
        <v>3237</v>
      </c>
      <c r="C549" s="176">
        <v>514.0</v>
      </c>
      <c r="D549" s="175" t="s">
        <v>3517</v>
      </c>
      <c r="E549" s="177" t="str">
        <f t="shared" si="3"/>
        <v>Lapsed</v>
      </c>
      <c r="F549" s="24">
        <v>1.0</v>
      </c>
      <c r="G549" s="179"/>
      <c r="H549" s="180"/>
    </row>
    <row r="550">
      <c r="A550" s="175" t="s">
        <v>3243</v>
      </c>
      <c r="B550" s="175" t="s">
        <v>3244</v>
      </c>
      <c r="C550" s="176">
        <v>508.0</v>
      </c>
      <c r="D550" s="175" t="s">
        <v>3517</v>
      </c>
      <c r="E550" s="177" t="str">
        <f t="shared" si="3"/>
        <v>Lapsed</v>
      </c>
      <c r="F550" s="24">
        <v>1.0</v>
      </c>
      <c r="G550" s="179">
        <v>44375.0</v>
      </c>
      <c r="H550" s="180">
        <f t="shared" ref="H550:H560" si="17">G550+ 365-(G550-date(year(G550)+F550-1,1,1)+1)</f>
        <v>44561</v>
      </c>
    </row>
    <row r="551">
      <c r="A551" s="175" t="s">
        <v>3248</v>
      </c>
      <c r="B551" s="175" t="s">
        <v>3249</v>
      </c>
      <c r="C551" s="176">
        <v>507.0</v>
      </c>
      <c r="D551" s="175" t="s">
        <v>3517</v>
      </c>
      <c r="E551" s="177" t="str">
        <f t="shared" si="3"/>
        <v>Lapsed</v>
      </c>
      <c r="F551" s="24">
        <v>1.0</v>
      </c>
      <c r="G551" s="200">
        <v>45319.0</v>
      </c>
      <c r="H551" s="180">
        <f t="shared" si="17"/>
        <v>45656</v>
      </c>
    </row>
    <row r="552">
      <c r="A552" s="175" t="s">
        <v>3253</v>
      </c>
      <c r="B552" s="175" t="s">
        <v>3254</v>
      </c>
      <c r="C552" s="176">
        <v>505.0</v>
      </c>
      <c r="D552" s="175" t="s">
        <v>3517</v>
      </c>
      <c r="E552" s="177" t="str">
        <f t="shared" si="3"/>
        <v>Lapsed</v>
      </c>
      <c r="F552" s="24">
        <v>1.0</v>
      </c>
      <c r="G552" s="200">
        <v>44786.0</v>
      </c>
      <c r="H552" s="180">
        <f t="shared" si="17"/>
        <v>44926</v>
      </c>
    </row>
    <row r="553">
      <c r="A553" s="175" t="s">
        <v>2194</v>
      </c>
      <c r="B553" s="175" t="s">
        <v>3258</v>
      </c>
      <c r="C553" s="176">
        <v>497.0</v>
      </c>
      <c r="D553" s="175" t="s">
        <v>3517</v>
      </c>
      <c r="E553" s="177" t="str">
        <f t="shared" si="3"/>
        <v>Active</v>
      </c>
      <c r="F553" s="24">
        <v>6.0</v>
      </c>
      <c r="G553" s="201">
        <v>45393.0</v>
      </c>
      <c r="H553" s="180">
        <f t="shared" si="17"/>
        <v>47483</v>
      </c>
    </row>
    <row r="554">
      <c r="A554" s="175" t="s">
        <v>1921</v>
      </c>
      <c r="B554" s="175" t="s">
        <v>3262</v>
      </c>
      <c r="C554" s="176">
        <v>496.0</v>
      </c>
      <c r="D554" s="202" t="s">
        <v>3517</v>
      </c>
      <c r="E554" s="177" t="str">
        <f t="shared" si="3"/>
        <v>Lapsed</v>
      </c>
      <c r="F554" s="24">
        <v>1.0</v>
      </c>
      <c r="G554" s="200">
        <v>45105.0</v>
      </c>
      <c r="H554" s="180">
        <f t="shared" si="17"/>
        <v>45291</v>
      </c>
    </row>
    <row r="555">
      <c r="A555" s="175" t="s">
        <v>2471</v>
      </c>
      <c r="B555" s="175" t="s">
        <v>3266</v>
      </c>
      <c r="C555" s="176">
        <v>491.0</v>
      </c>
      <c r="D555" s="175" t="s">
        <v>3517</v>
      </c>
      <c r="E555" s="177" t="str">
        <f t="shared" si="3"/>
        <v>Lapsed</v>
      </c>
      <c r="F555" s="24">
        <v>1.0</v>
      </c>
      <c r="G555" s="179">
        <v>43795.0</v>
      </c>
      <c r="H555" s="180">
        <f t="shared" si="17"/>
        <v>43830</v>
      </c>
    </row>
    <row r="556">
      <c r="A556" s="175" t="s">
        <v>1574</v>
      </c>
      <c r="B556" s="175" t="s">
        <v>3270</v>
      </c>
      <c r="C556" s="176">
        <v>488.0</v>
      </c>
      <c r="D556" s="175" t="s">
        <v>3517</v>
      </c>
      <c r="E556" s="177" t="str">
        <f t="shared" si="3"/>
        <v>Lapsed</v>
      </c>
      <c r="F556" s="24">
        <v>1.0</v>
      </c>
      <c r="G556" s="179">
        <v>44160.0</v>
      </c>
      <c r="H556" s="180">
        <f t="shared" si="17"/>
        <v>44195</v>
      </c>
    </row>
    <row r="557">
      <c r="A557" s="175" t="s">
        <v>1213</v>
      </c>
      <c r="B557" s="175" t="s">
        <v>2110</v>
      </c>
      <c r="C557" s="176">
        <v>478.0</v>
      </c>
      <c r="D557" s="175" t="s">
        <v>3517</v>
      </c>
      <c r="E557" s="177" t="str">
        <f t="shared" si="3"/>
        <v>Lapsed</v>
      </c>
      <c r="F557" s="24">
        <v>1.0</v>
      </c>
      <c r="G557" s="200">
        <v>44235.0</v>
      </c>
      <c r="H557" s="180">
        <f t="shared" si="17"/>
        <v>44561</v>
      </c>
    </row>
    <row r="558">
      <c r="A558" s="202" t="s">
        <v>3276</v>
      </c>
      <c r="B558" s="202" t="s">
        <v>3277</v>
      </c>
      <c r="C558" s="183">
        <v>474.0</v>
      </c>
      <c r="D558" s="199" t="s">
        <v>3517</v>
      </c>
      <c r="E558" s="177" t="str">
        <f t="shared" si="3"/>
        <v>Lapsed</v>
      </c>
      <c r="F558" s="24">
        <v>1.0</v>
      </c>
      <c r="G558" s="200">
        <v>45123.0</v>
      </c>
      <c r="H558" s="180">
        <f t="shared" si="17"/>
        <v>45291</v>
      </c>
    </row>
    <row r="559">
      <c r="A559" s="175" t="s">
        <v>3280</v>
      </c>
      <c r="B559" s="175" t="s">
        <v>433</v>
      </c>
      <c r="C559" s="176">
        <v>471.0</v>
      </c>
      <c r="D559" s="202" t="s">
        <v>3517</v>
      </c>
      <c r="E559" s="177" t="str">
        <f t="shared" si="3"/>
        <v>Lapsed</v>
      </c>
      <c r="F559" s="24">
        <v>1.0</v>
      </c>
      <c r="G559" s="200">
        <v>44692.0</v>
      </c>
      <c r="H559" s="180">
        <f t="shared" si="17"/>
        <v>44926</v>
      </c>
    </row>
    <row r="560">
      <c r="A560" s="175" t="s">
        <v>1200</v>
      </c>
      <c r="B560" s="175" t="s">
        <v>3284</v>
      </c>
      <c r="C560" s="176">
        <v>461.0</v>
      </c>
      <c r="D560" s="175" t="s">
        <v>3517</v>
      </c>
      <c r="E560" s="177" t="str">
        <f t="shared" si="3"/>
        <v>Lapsed</v>
      </c>
      <c r="F560" s="24">
        <v>1.0</v>
      </c>
      <c r="G560" s="200">
        <v>45451.0</v>
      </c>
      <c r="H560" s="180">
        <f t="shared" si="17"/>
        <v>45656</v>
      </c>
    </row>
    <row r="561">
      <c r="A561" s="175" t="s">
        <v>2357</v>
      </c>
      <c r="B561" s="175" t="s">
        <v>3288</v>
      </c>
      <c r="C561" s="176">
        <v>458.0</v>
      </c>
      <c r="D561" s="175" t="s">
        <v>3517</v>
      </c>
      <c r="E561" s="177" t="str">
        <f t="shared" si="3"/>
        <v>Lapsed</v>
      </c>
      <c r="F561" s="24">
        <v>1.0</v>
      </c>
      <c r="G561" s="179"/>
      <c r="H561" s="180"/>
    </row>
    <row r="562">
      <c r="A562" s="175" t="s">
        <v>3293</v>
      </c>
      <c r="B562" s="175" t="s">
        <v>3294</v>
      </c>
      <c r="C562" s="176">
        <v>447.0</v>
      </c>
      <c r="D562" s="175" t="s">
        <v>3517</v>
      </c>
      <c r="E562" s="177" t="str">
        <f t="shared" si="3"/>
        <v>Lapsed</v>
      </c>
      <c r="F562" s="24">
        <v>1.0</v>
      </c>
      <c r="G562" s="179">
        <v>44295.0</v>
      </c>
      <c r="H562" s="180">
        <f t="shared" ref="H562:H578" si="18">G562+ 365-(G562-date(year(G562)+F562-1,1,1)+1)</f>
        <v>44561</v>
      </c>
    </row>
    <row r="563">
      <c r="A563" s="175" t="s">
        <v>3298</v>
      </c>
      <c r="B563" s="175" t="s">
        <v>3299</v>
      </c>
      <c r="C563" s="176">
        <v>438.0</v>
      </c>
      <c r="D563" s="175" t="s">
        <v>3517</v>
      </c>
      <c r="E563" s="177" t="str">
        <f t="shared" si="3"/>
        <v>Lapsed</v>
      </c>
      <c r="F563" s="24">
        <v>1.0</v>
      </c>
      <c r="G563" s="179">
        <v>44235.0</v>
      </c>
      <c r="H563" s="180">
        <f t="shared" si="18"/>
        <v>44561</v>
      </c>
    </row>
    <row r="564">
      <c r="A564" s="175" t="s">
        <v>3303</v>
      </c>
      <c r="B564" s="175" t="s">
        <v>3304</v>
      </c>
      <c r="C564" s="176">
        <v>430.0</v>
      </c>
      <c r="D564" s="175" t="s">
        <v>3517</v>
      </c>
      <c r="E564" s="177" t="str">
        <f t="shared" si="3"/>
        <v>Lapsed</v>
      </c>
      <c r="F564" s="24">
        <v>1.0</v>
      </c>
      <c r="G564" s="200">
        <v>44496.0</v>
      </c>
      <c r="H564" s="180">
        <f t="shared" si="18"/>
        <v>44561</v>
      </c>
    </row>
    <row r="565">
      <c r="A565" s="175" t="s">
        <v>922</v>
      </c>
      <c r="B565" s="175" t="s">
        <v>2484</v>
      </c>
      <c r="C565" s="176">
        <v>427.0</v>
      </c>
      <c r="D565" s="175" t="s">
        <v>3517</v>
      </c>
      <c r="E565" s="177" t="str">
        <f t="shared" si="3"/>
        <v>Lapsed</v>
      </c>
      <c r="F565" s="24">
        <v>1.0</v>
      </c>
      <c r="G565" s="200">
        <v>45451.0</v>
      </c>
      <c r="H565" s="180">
        <f t="shared" si="18"/>
        <v>45656</v>
      </c>
    </row>
    <row r="566">
      <c r="A566" s="175" t="s">
        <v>1993</v>
      </c>
      <c r="B566" s="175" t="s">
        <v>2419</v>
      </c>
      <c r="C566" s="176">
        <v>402.0</v>
      </c>
      <c r="D566" s="202" t="s">
        <v>3519</v>
      </c>
      <c r="E566" s="177" t="str">
        <f t="shared" si="3"/>
        <v>Lapsed</v>
      </c>
      <c r="F566" s="24">
        <v>1.0</v>
      </c>
      <c r="G566" s="200">
        <v>45068.0</v>
      </c>
      <c r="H566" s="180">
        <f t="shared" si="18"/>
        <v>45291</v>
      </c>
    </row>
    <row r="567">
      <c r="A567" s="175" t="s">
        <v>3310</v>
      </c>
      <c r="B567" s="175" t="s">
        <v>660</v>
      </c>
      <c r="C567" s="176">
        <v>383.0</v>
      </c>
      <c r="D567" s="175" t="s">
        <v>3517</v>
      </c>
      <c r="E567" s="177" t="str">
        <f t="shared" si="3"/>
        <v>Lapsed</v>
      </c>
      <c r="F567" s="24">
        <v>1.0</v>
      </c>
      <c r="G567" s="200">
        <v>45406.0</v>
      </c>
      <c r="H567" s="180">
        <f t="shared" si="18"/>
        <v>45656</v>
      </c>
    </row>
    <row r="568">
      <c r="A568" s="175" t="s">
        <v>3314</v>
      </c>
      <c r="B568" s="175" t="s">
        <v>3315</v>
      </c>
      <c r="C568" s="176">
        <v>375.0</v>
      </c>
      <c r="D568" s="175" t="s">
        <v>3517</v>
      </c>
      <c r="E568" s="177" t="str">
        <f t="shared" si="3"/>
        <v>Lapsed</v>
      </c>
      <c r="F568" s="24">
        <v>1.0</v>
      </c>
      <c r="G568" s="200">
        <v>44722.0</v>
      </c>
      <c r="H568" s="180">
        <f t="shared" si="18"/>
        <v>44926</v>
      </c>
    </row>
    <row r="569">
      <c r="A569" s="202" t="s">
        <v>168</v>
      </c>
      <c r="B569" s="202" t="s">
        <v>3319</v>
      </c>
      <c r="C569" s="183">
        <v>365.0</v>
      </c>
      <c r="D569" s="202" t="s">
        <v>3517</v>
      </c>
      <c r="E569" s="177" t="str">
        <f t="shared" si="3"/>
        <v>Lapsed</v>
      </c>
      <c r="F569" s="24">
        <v>1.0</v>
      </c>
      <c r="G569" s="200">
        <v>44720.0</v>
      </c>
      <c r="H569" s="180">
        <f t="shared" si="18"/>
        <v>44926</v>
      </c>
    </row>
    <row r="570">
      <c r="A570" s="175" t="s">
        <v>3039</v>
      </c>
      <c r="B570" s="175" t="s">
        <v>3321</v>
      </c>
      <c r="C570" s="176">
        <v>364.0</v>
      </c>
      <c r="D570" s="175" t="s">
        <v>3517</v>
      </c>
      <c r="E570" s="177" t="str">
        <f t="shared" si="3"/>
        <v>Lapsed</v>
      </c>
      <c r="F570" s="24">
        <v>1.0</v>
      </c>
      <c r="G570" s="179">
        <v>44167.0</v>
      </c>
      <c r="H570" s="180">
        <f t="shared" si="18"/>
        <v>44195</v>
      </c>
    </row>
    <row r="571">
      <c r="A571" s="175" t="s">
        <v>1498</v>
      </c>
      <c r="B571" s="175" t="s">
        <v>3325</v>
      </c>
      <c r="C571" s="176">
        <v>342.0</v>
      </c>
      <c r="D571" s="175" t="s">
        <v>3517</v>
      </c>
      <c r="E571" s="177" t="str">
        <f t="shared" si="3"/>
        <v>Lapsed</v>
      </c>
      <c r="F571" s="24">
        <v>1.0</v>
      </c>
      <c r="G571" s="200">
        <v>44786.0</v>
      </c>
      <c r="H571" s="180">
        <f t="shared" si="18"/>
        <v>44926</v>
      </c>
    </row>
    <row r="572">
      <c r="A572" s="175" t="s">
        <v>2423</v>
      </c>
      <c r="B572" s="175" t="s">
        <v>237</v>
      </c>
      <c r="C572" s="176">
        <v>323.0</v>
      </c>
      <c r="D572" s="175" t="s">
        <v>3517</v>
      </c>
      <c r="E572" s="177" t="str">
        <f t="shared" si="3"/>
        <v>Lapsed</v>
      </c>
      <c r="F572" s="24">
        <v>1.0</v>
      </c>
      <c r="G572" s="179">
        <v>43564.0</v>
      </c>
      <c r="H572" s="180">
        <f t="shared" si="18"/>
        <v>43830</v>
      </c>
    </row>
    <row r="573">
      <c r="A573" s="175" t="s">
        <v>3335</v>
      </c>
      <c r="B573" s="175" t="s">
        <v>790</v>
      </c>
      <c r="C573" s="176">
        <v>314.0</v>
      </c>
      <c r="D573" s="175" t="s">
        <v>3517</v>
      </c>
      <c r="E573" s="177" t="str">
        <f t="shared" si="3"/>
        <v>Lapsed</v>
      </c>
      <c r="F573" s="24">
        <v>1.0</v>
      </c>
      <c r="G573" s="179">
        <v>44463.0</v>
      </c>
      <c r="H573" s="180">
        <f t="shared" si="18"/>
        <v>44561</v>
      </c>
    </row>
    <row r="574">
      <c r="A574" s="175" t="s">
        <v>3340</v>
      </c>
      <c r="B574" s="175" t="s">
        <v>3341</v>
      </c>
      <c r="C574" s="176">
        <v>300.0</v>
      </c>
      <c r="D574" s="175" t="s">
        <v>3517</v>
      </c>
      <c r="E574" s="177" t="str">
        <f t="shared" si="3"/>
        <v>Lapsed</v>
      </c>
      <c r="F574" s="108">
        <v>3.0</v>
      </c>
      <c r="G574" s="200">
        <v>45044.0</v>
      </c>
      <c r="H574" s="180">
        <f t="shared" si="18"/>
        <v>46022</v>
      </c>
    </row>
    <row r="575">
      <c r="A575" s="175" t="s">
        <v>3346</v>
      </c>
      <c r="B575" s="175" t="s">
        <v>3347</v>
      </c>
      <c r="C575" s="176">
        <v>289.0</v>
      </c>
      <c r="D575" s="175" t="s">
        <v>3517</v>
      </c>
      <c r="E575" s="177" t="str">
        <f t="shared" si="3"/>
        <v>Lapsed</v>
      </c>
      <c r="F575" s="24">
        <v>1.0</v>
      </c>
      <c r="G575" s="200">
        <v>44330.0</v>
      </c>
      <c r="H575" s="180">
        <f t="shared" si="18"/>
        <v>44561</v>
      </c>
    </row>
    <row r="576">
      <c r="A576" s="175" t="s">
        <v>3353</v>
      </c>
      <c r="B576" s="175" t="s">
        <v>3249</v>
      </c>
      <c r="C576" s="176">
        <v>288.0</v>
      </c>
      <c r="D576" s="175" t="s">
        <v>3517</v>
      </c>
      <c r="E576" s="177" t="str">
        <f t="shared" si="3"/>
        <v>Lapsed</v>
      </c>
      <c r="F576" s="24">
        <v>1.0</v>
      </c>
      <c r="G576" s="200">
        <v>44703.0</v>
      </c>
      <c r="H576" s="180">
        <f t="shared" si="18"/>
        <v>44926</v>
      </c>
    </row>
    <row r="577">
      <c r="A577" s="175" t="s">
        <v>1301</v>
      </c>
      <c r="B577" s="175" t="s">
        <v>3356</v>
      </c>
      <c r="C577" s="176">
        <v>283.0</v>
      </c>
      <c r="D577" s="175" t="s">
        <v>3517</v>
      </c>
      <c r="E577" s="177" t="str">
        <f t="shared" si="3"/>
        <v>Lapsed</v>
      </c>
      <c r="F577" s="24">
        <v>1.0</v>
      </c>
      <c r="G577" s="179">
        <v>44261.0</v>
      </c>
      <c r="H577" s="180">
        <f t="shared" si="18"/>
        <v>44561</v>
      </c>
    </row>
    <row r="578">
      <c r="A578" s="175" t="s">
        <v>3073</v>
      </c>
      <c r="B578" s="175" t="s">
        <v>887</v>
      </c>
      <c r="C578" s="176">
        <v>278.0</v>
      </c>
      <c r="D578" s="175" t="s">
        <v>3484</v>
      </c>
      <c r="E578" s="177" t="str">
        <f t="shared" si="3"/>
        <v>Lapsed</v>
      </c>
      <c r="F578" s="24">
        <v>1.0</v>
      </c>
      <c r="G578" s="179">
        <v>43190.0</v>
      </c>
      <c r="H578" s="180">
        <f t="shared" si="18"/>
        <v>43465</v>
      </c>
    </row>
    <row r="579">
      <c r="A579" s="175" t="s">
        <v>3363</v>
      </c>
      <c r="B579" s="175" t="s">
        <v>3364</v>
      </c>
      <c r="C579" s="176">
        <v>274.0</v>
      </c>
      <c r="D579" s="175" t="s">
        <v>3517</v>
      </c>
      <c r="E579" s="177" t="str">
        <f t="shared" si="3"/>
        <v>Lapsed</v>
      </c>
      <c r="F579" s="24">
        <v>1.0</v>
      </c>
      <c r="G579" s="210"/>
      <c r="H579" s="180"/>
    </row>
    <row r="580">
      <c r="A580" s="175" t="s">
        <v>3368</v>
      </c>
      <c r="B580" s="175" t="s">
        <v>3369</v>
      </c>
      <c r="C580" s="176">
        <v>270.0</v>
      </c>
      <c r="D580" s="175" t="s">
        <v>3517</v>
      </c>
      <c r="E580" s="177" t="str">
        <f t="shared" si="3"/>
        <v>Lapsed</v>
      </c>
      <c r="F580" s="24">
        <v>1.0</v>
      </c>
      <c r="G580" s="210"/>
      <c r="H580" s="180"/>
    </row>
    <row r="581">
      <c r="A581" s="175" t="s">
        <v>3375</v>
      </c>
      <c r="B581" s="175" t="s">
        <v>3376</v>
      </c>
      <c r="C581" s="176">
        <v>254.0</v>
      </c>
      <c r="D581" s="175" t="s">
        <v>3517</v>
      </c>
      <c r="E581" s="177" t="str">
        <f t="shared" si="3"/>
        <v>Lapsed</v>
      </c>
      <c r="F581" s="24">
        <v>1.0</v>
      </c>
      <c r="G581" s="179">
        <v>43723.0</v>
      </c>
      <c r="H581" s="180">
        <f t="shared" ref="H581:H596" si="19">G581+ 365-(G581-date(year(G581)+F581-1,1,1)+1)</f>
        <v>43830</v>
      </c>
    </row>
    <row r="582">
      <c r="A582" s="175" t="s">
        <v>3380</v>
      </c>
      <c r="B582" s="175" t="s">
        <v>1611</v>
      </c>
      <c r="C582" s="176">
        <v>251.0</v>
      </c>
      <c r="D582" s="175" t="s">
        <v>3517</v>
      </c>
      <c r="E582" s="177" t="str">
        <f t="shared" si="3"/>
        <v>Lapsed</v>
      </c>
      <c r="F582" s="24">
        <v>1.0</v>
      </c>
      <c r="G582" s="200">
        <v>45319.0</v>
      </c>
      <c r="H582" s="180">
        <f t="shared" si="19"/>
        <v>45656</v>
      </c>
    </row>
    <row r="583">
      <c r="A583" s="175" t="s">
        <v>3381</v>
      </c>
      <c r="B583" s="175" t="s">
        <v>3382</v>
      </c>
      <c r="C583" s="176">
        <v>244.0</v>
      </c>
      <c r="D583" s="208" t="s">
        <v>3517</v>
      </c>
      <c r="E583" s="177" t="str">
        <f t="shared" si="3"/>
        <v>Lapsed</v>
      </c>
      <c r="F583" s="24">
        <v>1.0</v>
      </c>
      <c r="G583" s="200">
        <v>45451.0</v>
      </c>
      <c r="H583" s="180">
        <f t="shared" si="19"/>
        <v>45656</v>
      </c>
    </row>
    <row r="584">
      <c r="A584" s="175" t="s">
        <v>1240</v>
      </c>
      <c r="B584" s="175" t="s">
        <v>3383</v>
      </c>
      <c r="C584" s="176">
        <v>226.0</v>
      </c>
      <c r="D584" s="175" t="s">
        <v>3517</v>
      </c>
      <c r="E584" s="177" t="str">
        <f t="shared" si="3"/>
        <v>Lapsed</v>
      </c>
      <c r="F584" s="24">
        <v>1.0</v>
      </c>
      <c r="G584" s="200">
        <v>44264.0</v>
      </c>
      <c r="H584" s="180">
        <f t="shared" si="19"/>
        <v>44561</v>
      </c>
    </row>
    <row r="585">
      <c r="A585" s="175" t="s">
        <v>3387</v>
      </c>
      <c r="B585" s="175" t="s">
        <v>1305</v>
      </c>
      <c r="C585" s="176">
        <v>220.0</v>
      </c>
      <c r="D585" s="175" t="s">
        <v>3517</v>
      </c>
      <c r="E585" s="177" t="str">
        <f t="shared" si="3"/>
        <v>Lapsed</v>
      </c>
      <c r="F585" s="24">
        <v>1.0</v>
      </c>
      <c r="G585" s="179">
        <v>43533.0</v>
      </c>
      <c r="H585" s="180">
        <f t="shared" si="19"/>
        <v>43830</v>
      </c>
    </row>
    <row r="586">
      <c r="A586" s="175" t="s">
        <v>2602</v>
      </c>
      <c r="B586" s="175" t="s">
        <v>2663</v>
      </c>
      <c r="C586" s="176">
        <v>219.0</v>
      </c>
      <c r="D586" s="175" t="s">
        <v>3517</v>
      </c>
      <c r="E586" s="177" t="str">
        <f t="shared" si="3"/>
        <v>Lapsed</v>
      </c>
      <c r="F586" s="24">
        <v>1.0</v>
      </c>
      <c r="G586" s="200">
        <v>45205.0</v>
      </c>
      <c r="H586" s="180">
        <f t="shared" si="19"/>
        <v>45291</v>
      </c>
    </row>
    <row r="587">
      <c r="A587" s="175" t="s">
        <v>3280</v>
      </c>
      <c r="B587" s="175" t="s">
        <v>2825</v>
      </c>
      <c r="C587" s="176">
        <v>171.0</v>
      </c>
      <c r="D587" s="175" t="s">
        <v>3517</v>
      </c>
      <c r="E587" s="177" t="str">
        <f t="shared" si="3"/>
        <v>Lapsed</v>
      </c>
      <c r="F587" s="24">
        <v>1.0</v>
      </c>
      <c r="G587" s="200">
        <v>44375.0</v>
      </c>
      <c r="H587" s="180">
        <f t="shared" si="19"/>
        <v>44561</v>
      </c>
    </row>
    <row r="588">
      <c r="A588" s="175" t="s">
        <v>2340</v>
      </c>
      <c r="B588" s="175" t="s">
        <v>3397</v>
      </c>
      <c r="C588" s="176">
        <v>164.0</v>
      </c>
      <c r="D588" s="175" t="s">
        <v>3517</v>
      </c>
      <c r="E588" s="177" t="str">
        <f t="shared" si="3"/>
        <v>Lapsed</v>
      </c>
      <c r="F588" s="24">
        <v>1.0</v>
      </c>
      <c r="G588" s="200">
        <v>45194.0</v>
      </c>
      <c r="H588" s="180">
        <f t="shared" si="19"/>
        <v>45291</v>
      </c>
    </row>
    <row r="589">
      <c r="A589" s="175" t="s">
        <v>644</v>
      </c>
      <c r="B589" s="175" t="s">
        <v>2364</v>
      </c>
      <c r="C589" s="176">
        <v>146.0</v>
      </c>
      <c r="D589" s="175" t="s">
        <v>3517</v>
      </c>
      <c r="E589" s="177" t="str">
        <f t="shared" si="3"/>
        <v>Lapsed</v>
      </c>
      <c r="F589" s="24">
        <v>1.0</v>
      </c>
      <c r="G589" s="200">
        <v>44786.0</v>
      </c>
      <c r="H589" s="180">
        <f t="shared" si="19"/>
        <v>44926</v>
      </c>
    </row>
    <row r="590">
      <c r="A590" s="175" t="s">
        <v>680</v>
      </c>
      <c r="B590" s="175" t="s">
        <v>3401</v>
      </c>
      <c r="C590" s="176">
        <v>132.0</v>
      </c>
      <c r="D590" s="175" t="s">
        <v>3517</v>
      </c>
      <c r="E590" s="177" t="str">
        <f t="shared" si="3"/>
        <v>Lapsed</v>
      </c>
      <c r="F590" s="24">
        <v>1.0</v>
      </c>
      <c r="G590" s="200">
        <v>44717.0</v>
      </c>
      <c r="H590" s="180">
        <f t="shared" si="19"/>
        <v>44926</v>
      </c>
    </row>
    <row r="591">
      <c r="A591" s="175" t="s">
        <v>3405</v>
      </c>
      <c r="B591" s="175" t="s">
        <v>3406</v>
      </c>
      <c r="C591" s="176">
        <v>114.0</v>
      </c>
      <c r="D591" s="175" t="s">
        <v>3517</v>
      </c>
      <c r="E591" s="177" t="str">
        <f t="shared" si="3"/>
        <v>Lapsed</v>
      </c>
      <c r="F591" s="24">
        <v>1.0</v>
      </c>
      <c r="G591" s="200">
        <v>45319.0</v>
      </c>
      <c r="H591" s="180">
        <f t="shared" si="19"/>
        <v>45656</v>
      </c>
    </row>
    <row r="592">
      <c r="A592" s="175" t="s">
        <v>3411</v>
      </c>
      <c r="B592" s="175" t="s">
        <v>807</v>
      </c>
      <c r="C592" s="176">
        <v>92.0</v>
      </c>
      <c r="D592" s="175" t="s">
        <v>3519</v>
      </c>
      <c r="E592" s="177" t="str">
        <f t="shared" si="3"/>
        <v>Lapsed</v>
      </c>
      <c r="F592" s="24">
        <v>1.0</v>
      </c>
      <c r="G592" s="179">
        <v>43878.0</v>
      </c>
      <c r="H592" s="180">
        <f t="shared" si="19"/>
        <v>44195</v>
      </c>
    </row>
    <row r="593">
      <c r="A593" s="175" t="s">
        <v>3414</v>
      </c>
      <c r="B593" s="175" t="s">
        <v>3415</v>
      </c>
      <c r="C593" s="177">
        <v>85.0</v>
      </c>
      <c r="D593" s="211" t="s">
        <v>3517</v>
      </c>
      <c r="E593" s="177" t="str">
        <f t="shared" si="3"/>
        <v>Lapsed</v>
      </c>
      <c r="F593" s="24">
        <v>1.0</v>
      </c>
      <c r="G593" s="179">
        <v>44819.0</v>
      </c>
      <c r="H593" s="180">
        <f t="shared" si="19"/>
        <v>44926</v>
      </c>
    </row>
    <row r="594">
      <c r="A594" s="175" t="s">
        <v>2808</v>
      </c>
      <c r="B594" s="175" t="s">
        <v>3418</v>
      </c>
      <c r="C594" s="176">
        <v>78.0</v>
      </c>
      <c r="D594" s="175" t="s">
        <v>3517</v>
      </c>
      <c r="E594" s="177" t="str">
        <f t="shared" si="3"/>
        <v>Lapsed</v>
      </c>
      <c r="F594" s="24">
        <v>1.0</v>
      </c>
      <c r="G594" s="179">
        <v>44182.0</v>
      </c>
      <c r="H594" s="180">
        <f t="shared" si="19"/>
        <v>44195</v>
      </c>
    </row>
    <row r="595">
      <c r="A595" s="175" t="s">
        <v>1498</v>
      </c>
      <c r="B595" s="175" t="s">
        <v>3418</v>
      </c>
      <c r="C595" s="176">
        <v>77.0</v>
      </c>
      <c r="D595" s="175" t="s">
        <v>3517</v>
      </c>
      <c r="E595" s="177" t="str">
        <f t="shared" si="3"/>
        <v>Active</v>
      </c>
      <c r="F595" s="24">
        <v>3.0</v>
      </c>
      <c r="G595" s="200">
        <v>45393.0</v>
      </c>
      <c r="H595" s="180">
        <f t="shared" si="19"/>
        <v>46387</v>
      </c>
    </row>
    <row r="596">
      <c r="A596" s="175" t="s">
        <v>3425</v>
      </c>
      <c r="B596" s="175" t="s">
        <v>3406</v>
      </c>
      <c r="C596" s="176">
        <v>76.0</v>
      </c>
      <c r="D596" s="175" t="s">
        <v>3517</v>
      </c>
      <c r="E596" s="177" t="str">
        <f t="shared" si="3"/>
        <v>Lapsed</v>
      </c>
      <c r="F596" s="24">
        <v>1.0</v>
      </c>
      <c r="G596" s="200">
        <v>45319.0</v>
      </c>
      <c r="H596" s="180">
        <f t="shared" si="19"/>
        <v>45656</v>
      </c>
    </row>
    <row r="597">
      <c r="A597" s="175" t="s">
        <v>878</v>
      </c>
      <c r="B597" s="175" t="s">
        <v>3428</v>
      </c>
      <c r="C597" s="176">
        <v>70.0</v>
      </c>
      <c r="D597" s="175" t="s">
        <v>3517</v>
      </c>
      <c r="E597" s="177" t="str">
        <f t="shared" si="3"/>
        <v>Lapsed</v>
      </c>
      <c r="F597" s="24">
        <v>1.0</v>
      </c>
      <c r="G597" s="210"/>
      <c r="H597" s="180"/>
    </row>
    <row r="598">
      <c r="A598" s="175" t="s">
        <v>3432</v>
      </c>
      <c r="B598" s="175" t="s">
        <v>3315</v>
      </c>
      <c r="C598" s="176">
        <v>68.0</v>
      </c>
      <c r="D598" s="175" t="s">
        <v>3517</v>
      </c>
      <c r="E598" s="177" t="str">
        <f t="shared" si="3"/>
        <v>Lapsed</v>
      </c>
      <c r="F598" s="24">
        <v>1.0</v>
      </c>
      <c r="G598" s="200">
        <v>45319.0</v>
      </c>
      <c r="H598" s="180">
        <f t="shared" ref="H598:H599" si="20">G598+ 365-(G598-date(year(G598)+F598-1,1,1)+1)</f>
        <v>45656</v>
      </c>
    </row>
    <row r="599">
      <c r="A599" s="175" t="s">
        <v>302</v>
      </c>
      <c r="B599" s="175" t="s">
        <v>807</v>
      </c>
      <c r="C599" s="176">
        <v>65.0</v>
      </c>
      <c r="D599" s="175" t="s">
        <v>3517</v>
      </c>
      <c r="E599" s="177" t="str">
        <f t="shared" si="3"/>
        <v>Lapsed</v>
      </c>
      <c r="F599" s="24">
        <v>1.0</v>
      </c>
      <c r="G599" s="179">
        <v>44416.0</v>
      </c>
      <c r="H599" s="180">
        <f t="shared" si="20"/>
        <v>44561</v>
      </c>
    </row>
    <row r="600">
      <c r="A600" s="175" t="s">
        <v>1181</v>
      </c>
      <c r="B600" s="175" t="s">
        <v>3433</v>
      </c>
      <c r="C600" s="176">
        <v>63.0</v>
      </c>
      <c r="D600" s="175" t="s">
        <v>3517</v>
      </c>
      <c r="E600" s="177" t="str">
        <f t="shared" si="3"/>
        <v>Lapsed</v>
      </c>
      <c r="F600" s="24">
        <v>1.0</v>
      </c>
      <c r="G600" s="210"/>
      <c r="H600" s="180"/>
    </row>
    <row r="601">
      <c r="A601" s="175" t="s">
        <v>2868</v>
      </c>
      <c r="B601" s="175" t="s">
        <v>811</v>
      </c>
      <c r="C601" s="176">
        <v>60.0</v>
      </c>
      <c r="D601" s="175" t="s">
        <v>3517</v>
      </c>
      <c r="E601" s="177" t="str">
        <f t="shared" si="3"/>
        <v>Lapsed</v>
      </c>
      <c r="F601" s="24">
        <v>1.0</v>
      </c>
      <c r="G601" s="200">
        <v>45399.0</v>
      </c>
      <c r="H601" s="180">
        <f t="shared" ref="H601:H606" si="21">G601+ 365-(G601-date(year(G601)+F601-1,1,1)+1)</f>
        <v>45656</v>
      </c>
    </row>
    <row r="602">
      <c r="A602" s="175" t="s">
        <v>3440</v>
      </c>
      <c r="B602" s="175" t="s">
        <v>3441</v>
      </c>
      <c r="C602" s="176">
        <v>59.0</v>
      </c>
      <c r="D602" s="175" t="s">
        <v>3517</v>
      </c>
      <c r="E602" s="177" t="str">
        <f t="shared" si="3"/>
        <v>Lapsed</v>
      </c>
      <c r="F602" s="24">
        <v>1.0</v>
      </c>
      <c r="G602" s="200">
        <v>44703.0</v>
      </c>
      <c r="H602" s="180">
        <f t="shared" si="21"/>
        <v>44926</v>
      </c>
    </row>
    <row r="603">
      <c r="A603" s="175" t="s">
        <v>3445</v>
      </c>
      <c r="B603" s="175" t="s">
        <v>3446</v>
      </c>
      <c r="C603" s="176">
        <v>54.0</v>
      </c>
      <c r="D603" s="175" t="s">
        <v>3517</v>
      </c>
      <c r="E603" s="177" t="str">
        <f t="shared" si="3"/>
        <v>Lapsed</v>
      </c>
      <c r="F603" s="24">
        <v>1.0</v>
      </c>
      <c r="G603" s="179">
        <v>43629.0</v>
      </c>
      <c r="H603" s="180">
        <f t="shared" si="21"/>
        <v>43830</v>
      </c>
    </row>
    <row r="604">
      <c r="A604" s="175" t="s">
        <v>3450</v>
      </c>
      <c r="B604" s="175" t="s">
        <v>3451</v>
      </c>
      <c r="C604" s="176">
        <v>52.0</v>
      </c>
      <c r="D604" s="175" t="s">
        <v>3517</v>
      </c>
      <c r="E604" s="177" t="str">
        <f t="shared" si="3"/>
        <v>Lapsed</v>
      </c>
      <c r="F604" s="108">
        <v>3.0</v>
      </c>
      <c r="G604" s="200">
        <v>45068.0</v>
      </c>
      <c r="H604" s="180">
        <f t="shared" si="21"/>
        <v>46022</v>
      </c>
    </row>
    <row r="605">
      <c r="A605" s="175" t="s">
        <v>567</v>
      </c>
      <c r="B605" s="175" t="s">
        <v>776</v>
      </c>
      <c r="C605" s="176">
        <v>50.0</v>
      </c>
      <c r="D605" s="175" t="s">
        <v>3517</v>
      </c>
      <c r="E605" s="177" t="str">
        <f t="shared" si="3"/>
        <v>Lapsed</v>
      </c>
      <c r="F605" s="24">
        <v>1.0</v>
      </c>
      <c r="G605" s="200">
        <v>45406.0</v>
      </c>
      <c r="H605" s="180">
        <f t="shared" si="21"/>
        <v>45656</v>
      </c>
    </row>
    <row r="606">
      <c r="A606" s="175" t="s">
        <v>3459</v>
      </c>
      <c r="B606" s="175" t="s">
        <v>3460</v>
      </c>
      <c r="C606" s="176">
        <v>29.0</v>
      </c>
      <c r="D606" s="175" t="s">
        <v>3517</v>
      </c>
      <c r="E606" s="177" t="str">
        <f t="shared" si="3"/>
        <v>Lapsed</v>
      </c>
      <c r="F606" s="24">
        <v>1.0</v>
      </c>
      <c r="G606" s="179">
        <v>43165.0</v>
      </c>
      <c r="H606" s="180">
        <f t="shared" si="21"/>
        <v>43465</v>
      </c>
    </row>
    <row r="607">
      <c r="A607" s="175" t="s">
        <v>2602</v>
      </c>
      <c r="B607" s="175" t="s">
        <v>3465</v>
      </c>
      <c r="C607" s="176">
        <v>16.0</v>
      </c>
      <c r="D607" s="175" t="s">
        <v>3517</v>
      </c>
      <c r="E607" s="177" t="str">
        <f t="shared" si="3"/>
        <v>Lapsed</v>
      </c>
      <c r="F607" s="24">
        <v>1.0</v>
      </c>
      <c r="G607" s="210"/>
      <c r="H607" s="212"/>
    </row>
    <row r="608">
      <c r="A608" s="175" t="s">
        <v>922</v>
      </c>
      <c r="B608" s="175" t="s">
        <v>1980</v>
      </c>
      <c r="C608" s="176">
        <v>9.0</v>
      </c>
      <c r="D608" s="175" t="s">
        <v>3517</v>
      </c>
      <c r="E608" s="177" t="str">
        <f t="shared" si="3"/>
        <v>Lapsed</v>
      </c>
      <c r="F608" s="24">
        <v>1.0</v>
      </c>
      <c r="G608" s="200">
        <v>44391.0</v>
      </c>
      <c r="H608" s="180">
        <f t="shared" ref="H608:H612" si="22">G608+ 365-(G608-date(year(G608)+F608-1,1,1)+1)</f>
        <v>44561</v>
      </c>
    </row>
    <row r="609">
      <c r="A609" s="175" t="s">
        <v>3469</v>
      </c>
      <c r="B609" s="175" t="s">
        <v>1980</v>
      </c>
      <c r="C609" s="176">
        <v>8.0</v>
      </c>
      <c r="D609" s="175" t="s">
        <v>3517</v>
      </c>
      <c r="E609" s="177" t="str">
        <f t="shared" si="3"/>
        <v>Lapsed</v>
      </c>
      <c r="F609" s="24">
        <v>1.0</v>
      </c>
      <c r="G609" s="179">
        <v>44391.0</v>
      </c>
      <c r="H609" s="180">
        <f t="shared" si="22"/>
        <v>44561</v>
      </c>
    </row>
    <row r="610">
      <c r="A610" s="175" t="s">
        <v>1545</v>
      </c>
      <c r="B610" s="175" t="s">
        <v>1757</v>
      </c>
      <c r="C610" s="206">
        <v>7.0</v>
      </c>
      <c r="D610" s="175" t="s">
        <v>3517</v>
      </c>
      <c r="E610" s="177" t="str">
        <f t="shared" si="3"/>
        <v>Lapsed</v>
      </c>
      <c r="F610" s="24">
        <v>1.0</v>
      </c>
      <c r="G610" s="200">
        <v>45407.0</v>
      </c>
      <c r="H610" s="180">
        <f t="shared" si="22"/>
        <v>45656</v>
      </c>
    </row>
    <row r="611">
      <c r="A611" s="175" t="s">
        <v>3475</v>
      </c>
      <c r="B611" s="175" t="s">
        <v>1305</v>
      </c>
      <c r="C611" s="183">
        <v>6.0</v>
      </c>
      <c r="D611" s="175" t="s">
        <v>3517</v>
      </c>
      <c r="E611" s="177" t="str">
        <f t="shared" si="3"/>
        <v>Lapsed</v>
      </c>
      <c r="F611" s="24">
        <v>1.0</v>
      </c>
      <c r="G611" s="200">
        <v>45406.0</v>
      </c>
      <c r="H611" s="180">
        <f t="shared" si="22"/>
        <v>45656</v>
      </c>
    </row>
    <row r="612">
      <c r="A612" s="175" t="s">
        <v>3478</v>
      </c>
      <c r="B612" s="175" t="s">
        <v>3479</v>
      </c>
      <c r="C612" s="176">
        <v>5.0</v>
      </c>
      <c r="D612" s="175" t="s">
        <v>3517</v>
      </c>
      <c r="E612" s="177" t="str">
        <f t="shared" si="3"/>
        <v>Lapsed</v>
      </c>
      <c r="F612" s="24">
        <v>1.0</v>
      </c>
      <c r="G612" s="200">
        <v>44316.0</v>
      </c>
      <c r="H612" s="180">
        <f t="shared" si="22"/>
        <v>44561</v>
      </c>
    </row>
    <row r="613">
      <c r="A613" s="175" t="s">
        <v>2175</v>
      </c>
      <c r="B613" s="175" t="s">
        <v>3483</v>
      </c>
      <c r="C613" s="176"/>
      <c r="D613" s="175" t="s">
        <v>3484</v>
      </c>
      <c r="E613" s="177"/>
      <c r="F613" s="178"/>
      <c r="G613" s="179" t="s">
        <v>3485</v>
      </c>
      <c r="H613" s="180"/>
    </row>
    <row r="614">
      <c r="A614" s="175" t="s">
        <v>1315</v>
      </c>
      <c r="B614" s="175" t="s">
        <v>3495</v>
      </c>
      <c r="C614" s="176"/>
      <c r="D614" s="175" t="s">
        <v>3496</v>
      </c>
      <c r="E614" s="177"/>
      <c r="F614" s="178"/>
      <c r="G614" s="179" t="s">
        <v>3485</v>
      </c>
      <c r="H614" s="180"/>
    </row>
    <row r="615">
      <c r="A615" s="175" t="s">
        <v>3500</v>
      </c>
      <c r="B615" s="175" t="s">
        <v>3501</v>
      </c>
      <c r="C615" s="176"/>
      <c r="D615" s="175" t="s">
        <v>3484</v>
      </c>
      <c r="E615" s="177"/>
      <c r="F615" s="178"/>
      <c r="G615" s="179" t="s">
        <v>3485</v>
      </c>
      <c r="H615" s="180"/>
    </row>
    <row r="616">
      <c r="A616" s="186" t="s">
        <v>3193</v>
      </c>
      <c r="B616" s="186" t="s">
        <v>3194</v>
      </c>
      <c r="C616" s="187"/>
      <c r="D616" s="186" t="s">
        <v>3509</v>
      </c>
      <c r="E616" s="177"/>
      <c r="F616" s="178"/>
      <c r="G616" s="179" t="s">
        <v>3485</v>
      </c>
      <c r="H616" s="180"/>
    </row>
    <row r="617">
      <c r="A617" s="202"/>
      <c r="B617" s="202"/>
      <c r="C617" s="176"/>
      <c r="D617" s="175"/>
      <c r="E617" s="177"/>
      <c r="F617" s="213"/>
      <c r="G617" s="200"/>
      <c r="H617" s="180"/>
    </row>
    <row r="618">
      <c r="A618" s="202"/>
      <c r="B618" s="202"/>
      <c r="C618" s="176"/>
      <c r="D618" s="175"/>
      <c r="E618" s="177"/>
      <c r="F618" s="214"/>
      <c r="G618" s="200"/>
      <c r="H618" s="180"/>
    </row>
    <row r="619">
      <c r="A619" s="202"/>
      <c r="B619" s="202"/>
      <c r="C619" s="176"/>
      <c r="D619" s="175"/>
      <c r="E619" s="177"/>
      <c r="F619" s="214"/>
      <c r="G619" s="215"/>
      <c r="H619" s="180"/>
    </row>
    <row r="620">
      <c r="A620" s="202"/>
      <c r="B620" s="202"/>
      <c r="C620" s="176"/>
      <c r="D620" s="175"/>
      <c r="E620" s="177"/>
      <c r="F620" s="214"/>
      <c r="G620" s="215"/>
      <c r="H620" s="180"/>
    </row>
    <row r="621">
      <c r="A621" s="216"/>
      <c r="B621" s="216"/>
      <c r="C621" s="176"/>
      <c r="D621" s="175"/>
      <c r="E621" s="177"/>
      <c r="F621" s="214"/>
      <c r="G621" s="215"/>
      <c r="H621" s="180"/>
    </row>
    <row r="622">
      <c r="A622" s="216"/>
      <c r="B622" s="216"/>
      <c r="C622" s="176"/>
      <c r="D622" s="175"/>
      <c r="E622" s="177"/>
      <c r="F622" s="214"/>
      <c r="G622" s="215"/>
      <c r="H622" s="180"/>
    </row>
    <row r="623">
      <c r="A623" s="216"/>
      <c r="B623" s="216"/>
      <c r="C623" s="176"/>
      <c r="D623" s="175"/>
      <c r="E623" s="177"/>
      <c r="F623" s="214"/>
      <c r="G623" s="215"/>
      <c r="H623" s="180"/>
    </row>
    <row r="624">
      <c r="A624" s="216"/>
      <c r="B624" s="216"/>
      <c r="C624" s="183"/>
      <c r="D624" s="199"/>
      <c r="E624" s="177"/>
      <c r="F624" s="213"/>
      <c r="G624" s="217"/>
      <c r="H624" s="180"/>
    </row>
    <row r="625">
      <c r="A625" s="216"/>
      <c r="B625" s="216"/>
      <c r="C625" s="183"/>
      <c r="D625" s="199"/>
      <c r="E625" s="177"/>
      <c r="F625" s="213"/>
      <c r="G625" s="217"/>
      <c r="H625" s="180"/>
    </row>
    <row r="626">
      <c r="A626" s="216"/>
      <c r="B626" s="216"/>
      <c r="C626" s="183"/>
      <c r="D626" s="199"/>
      <c r="E626" s="177"/>
      <c r="F626" s="213"/>
      <c r="G626" s="217"/>
      <c r="H626" s="180"/>
    </row>
    <row r="627">
      <c r="A627" s="202"/>
      <c r="B627" s="202"/>
      <c r="C627" s="183"/>
      <c r="D627" s="202"/>
      <c r="E627" s="177"/>
      <c r="F627" s="213"/>
      <c r="G627" s="218"/>
      <c r="H627" s="219"/>
    </row>
  </sheetData>
  <conditionalFormatting sqref="F6:F612">
    <cfRule type="containsText" dxfId="0" priority="1" operator="containsText" text="3">
      <formula>NOT(ISERROR(SEARCH(("3"),(F6))))</formula>
    </cfRule>
  </conditionalFormatting>
  <conditionalFormatting sqref="E1:E627">
    <cfRule type="containsText" dxfId="1" priority="2" operator="containsText" text="Lapsed">
      <formula>NOT(ISERROR(SEARCH(("Lapsed"),(E1))))</formula>
    </cfRule>
  </conditionalFormatting>
  <conditionalFormatting sqref="E1:E627">
    <cfRule type="containsText" dxfId="2" priority="3" operator="containsText" text="Active">
      <formula>NOT(ISERROR(SEARCH(("Active"),(E1))))</formula>
    </cfRule>
  </conditionalFormatting>
  <conditionalFormatting sqref="D1:D627">
    <cfRule type="containsText" dxfId="3" priority="4" operator="containsText" text="Youth">
      <formula>NOT(ISERROR(SEARCH(("Youth"),(D1))))</formula>
    </cfRule>
  </conditionalFormatting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0" t="s">
        <v>0</v>
      </c>
      <c r="B1" s="220" t="s">
        <v>1</v>
      </c>
      <c r="C1" s="220" t="s">
        <v>2</v>
      </c>
      <c r="D1" s="220" t="s">
        <v>3</v>
      </c>
      <c r="E1" s="220" t="s">
        <v>4</v>
      </c>
      <c r="F1" s="220" t="s">
        <v>3515</v>
      </c>
      <c r="G1" s="220" t="s">
        <v>6</v>
      </c>
      <c r="H1" s="220" t="s">
        <v>9</v>
      </c>
      <c r="I1" s="220" t="s">
        <v>10</v>
      </c>
      <c r="J1" s="220" t="s">
        <v>11</v>
      </c>
      <c r="K1" s="221" t="s">
        <v>12</v>
      </c>
      <c r="L1" s="222" t="s">
        <v>13</v>
      </c>
      <c r="M1" s="220" t="s">
        <v>14</v>
      </c>
    </row>
    <row r="2">
      <c r="A2" s="222" t="s">
        <v>1200</v>
      </c>
      <c r="B2" s="222" t="s">
        <v>1385</v>
      </c>
      <c r="C2" s="222">
        <v>1072.0</v>
      </c>
      <c r="D2" s="222" t="s">
        <v>3517</v>
      </c>
      <c r="E2" s="222" t="s">
        <v>3525</v>
      </c>
      <c r="F2" s="222">
        <v>45291.0</v>
      </c>
      <c r="G2" s="222">
        <v>45043.0</v>
      </c>
      <c r="H2" s="222" t="s">
        <v>1386</v>
      </c>
      <c r="I2" s="222" t="s">
        <v>3527</v>
      </c>
      <c r="J2" s="222" t="s">
        <v>35</v>
      </c>
      <c r="K2" s="223" t="s">
        <v>402</v>
      </c>
      <c r="L2" s="222" t="s">
        <v>1387</v>
      </c>
      <c r="M2" s="222" t="s">
        <v>1388</v>
      </c>
    </row>
    <row r="3">
      <c r="A3" s="222" t="s">
        <v>423</v>
      </c>
      <c r="B3" s="222" t="s">
        <v>1385</v>
      </c>
      <c r="C3" s="222">
        <v>1071.0</v>
      </c>
      <c r="D3" s="222" t="s">
        <v>3517</v>
      </c>
      <c r="E3" s="222" t="s">
        <v>3525</v>
      </c>
      <c r="F3" s="222">
        <v>45291.0</v>
      </c>
      <c r="G3" s="222">
        <v>45043.0</v>
      </c>
      <c r="H3" s="222" t="s">
        <v>1386</v>
      </c>
      <c r="I3" s="222" t="s">
        <v>3527</v>
      </c>
      <c r="J3" s="222" t="s">
        <v>35</v>
      </c>
      <c r="K3" s="223" t="s">
        <v>402</v>
      </c>
      <c r="L3" s="220" t="s">
        <v>1389</v>
      </c>
      <c r="M3" s="222" t="s">
        <v>1388</v>
      </c>
    </row>
    <row r="4">
      <c r="A4" s="220" t="s">
        <v>2255</v>
      </c>
      <c r="B4" s="220" t="s">
        <v>1385</v>
      </c>
      <c r="C4" s="220">
        <v>868.0</v>
      </c>
      <c r="D4" s="220" t="s">
        <v>3517</v>
      </c>
      <c r="E4" s="220" t="s">
        <v>3525</v>
      </c>
      <c r="F4" s="222">
        <v>45291.0</v>
      </c>
      <c r="G4" s="222">
        <v>45044.0</v>
      </c>
      <c r="H4" s="220" t="s">
        <v>2256</v>
      </c>
      <c r="I4" s="222" t="s">
        <v>3527</v>
      </c>
      <c r="J4" s="220" t="s">
        <v>35</v>
      </c>
      <c r="K4" s="223" t="s">
        <v>402</v>
      </c>
      <c r="L4" s="220" t="s">
        <v>1389</v>
      </c>
      <c r="M4" s="220" t="s">
        <v>2257</v>
      </c>
    </row>
    <row r="5">
      <c r="A5" s="222" t="s">
        <v>1085</v>
      </c>
      <c r="B5" s="222" t="s">
        <v>623</v>
      </c>
      <c r="C5" s="222">
        <v>1070.0</v>
      </c>
      <c r="D5" s="222" t="s">
        <v>3517</v>
      </c>
      <c r="E5" s="222" t="s">
        <v>3525</v>
      </c>
      <c r="F5" s="222">
        <v>45291.0</v>
      </c>
      <c r="G5" s="222">
        <v>45043.0</v>
      </c>
      <c r="H5" s="222" t="s">
        <v>1390</v>
      </c>
      <c r="I5" s="222" t="s">
        <v>89</v>
      </c>
      <c r="J5" s="222" t="s">
        <v>35</v>
      </c>
      <c r="K5" s="223" t="s">
        <v>1391</v>
      </c>
      <c r="L5" s="222" t="s">
        <v>1392</v>
      </c>
      <c r="M5" s="222">
        <v>5.128203761E9</v>
      </c>
    </row>
    <row r="6">
      <c r="A6" s="220" t="s">
        <v>1081</v>
      </c>
      <c r="B6" s="220" t="s">
        <v>1803</v>
      </c>
      <c r="C6" s="220">
        <v>975.0</v>
      </c>
      <c r="D6" s="220" t="s">
        <v>3517</v>
      </c>
      <c r="E6" s="220" t="s">
        <v>3525</v>
      </c>
      <c r="F6" s="222">
        <v>45291.0</v>
      </c>
      <c r="G6" s="222">
        <v>45049.0</v>
      </c>
      <c r="H6" s="220" t="s">
        <v>1804</v>
      </c>
      <c r="I6" s="220" t="s">
        <v>1805</v>
      </c>
      <c r="J6" s="220" t="s">
        <v>35</v>
      </c>
      <c r="K6" s="221">
        <v>80466.0</v>
      </c>
      <c r="L6" s="220" t="s">
        <v>1806</v>
      </c>
      <c r="M6" s="220" t="s">
        <v>1807</v>
      </c>
    </row>
    <row r="7">
      <c r="A7" s="220" t="s">
        <v>2368</v>
      </c>
      <c r="B7" s="220" t="s">
        <v>2369</v>
      </c>
      <c r="C7" s="220">
        <v>841.0</v>
      </c>
      <c r="D7" s="220" t="s">
        <v>3517</v>
      </c>
      <c r="E7" s="220" t="s">
        <v>3525</v>
      </c>
      <c r="F7" s="222">
        <v>45105.0</v>
      </c>
      <c r="G7" s="222">
        <v>45042.0</v>
      </c>
      <c r="H7" s="222" t="s">
        <v>2370</v>
      </c>
      <c r="I7" s="220" t="s">
        <v>42</v>
      </c>
      <c r="J7" s="220" t="s">
        <v>35</v>
      </c>
      <c r="K7" s="223" t="s">
        <v>99</v>
      </c>
      <c r="L7" s="220" t="s">
        <v>2371</v>
      </c>
      <c r="M7" s="220" t="s">
        <v>2372</v>
      </c>
    </row>
    <row r="8">
      <c r="A8" s="222" t="s">
        <v>1394</v>
      </c>
      <c r="B8" s="222" t="s">
        <v>1395</v>
      </c>
      <c r="C8" s="222">
        <v>1069.0</v>
      </c>
      <c r="D8" s="222" t="s">
        <v>3517</v>
      </c>
      <c r="E8" s="222" t="s">
        <v>3525</v>
      </c>
      <c r="F8" s="222">
        <v>45291.0</v>
      </c>
      <c r="G8" s="222">
        <v>45043.0</v>
      </c>
      <c r="H8" s="222" t="s">
        <v>1396</v>
      </c>
      <c r="I8" s="222" t="s">
        <v>1397</v>
      </c>
      <c r="J8" s="222" t="s">
        <v>35</v>
      </c>
      <c r="K8" s="223" t="s">
        <v>1398</v>
      </c>
      <c r="L8" s="222" t="s">
        <v>1399</v>
      </c>
      <c r="M8" s="222" t="s">
        <v>1400</v>
      </c>
    </row>
    <row r="9">
      <c r="A9" s="222" t="s">
        <v>1383</v>
      </c>
      <c r="B9" s="222" t="s">
        <v>248</v>
      </c>
      <c r="C9" s="222">
        <v>1073.0</v>
      </c>
      <c r="D9" s="222" t="s">
        <v>3517</v>
      </c>
      <c r="E9" s="222" t="s">
        <v>3525</v>
      </c>
      <c r="F9" s="222">
        <v>45291.0</v>
      </c>
      <c r="G9" s="222">
        <v>45042.0</v>
      </c>
      <c r="H9" s="222" t="s">
        <v>249</v>
      </c>
      <c r="I9" s="222" t="s">
        <v>250</v>
      </c>
      <c r="J9" s="222" t="s">
        <v>35</v>
      </c>
      <c r="K9" s="223" t="s">
        <v>251</v>
      </c>
      <c r="L9" s="222" t="s">
        <v>1384</v>
      </c>
      <c r="M9" s="222">
        <v>9.703969131E9</v>
      </c>
    </row>
    <row r="10">
      <c r="A10" s="220" t="s">
        <v>1545</v>
      </c>
      <c r="B10" s="220" t="s">
        <v>1757</v>
      </c>
      <c r="C10" s="220">
        <v>7.0</v>
      </c>
      <c r="D10" s="220" t="s">
        <v>3517</v>
      </c>
      <c r="E10" s="220" t="s">
        <v>3525</v>
      </c>
      <c r="F10" s="222">
        <v>45291.0</v>
      </c>
      <c r="G10" s="222">
        <v>45044.0</v>
      </c>
      <c r="H10" s="220" t="s">
        <v>3472</v>
      </c>
      <c r="I10" s="220" t="s">
        <v>1780</v>
      </c>
      <c r="J10" s="220" t="s">
        <v>35</v>
      </c>
      <c r="K10" s="221" t="s">
        <v>1150</v>
      </c>
      <c r="L10" s="220" t="s">
        <v>3473</v>
      </c>
      <c r="M10" s="220" t="s">
        <v>3474</v>
      </c>
    </row>
    <row r="11">
      <c r="A11" s="222" t="s">
        <v>1598</v>
      </c>
      <c r="B11" s="222" t="s">
        <v>1599</v>
      </c>
      <c r="C11" s="222">
        <v>1023.0</v>
      </c>
      <c r="D11" s="222" t="s">
        <v>3519</v>
      </c>
      <c r="E11" s="220" t="s">
        <v>3525</v>
      </c>
      <c r="F11" s="222">
        <v>45291.0</v>
      </c>
      <c r="G11" s="222">
        <v>45044.0</v>
      </c>
      <c r="H11" s="222" t="s">
        <v>1600</v>
      </c>
      <c r="I11" s="222" t="s">
        <v>1366</v>
      </c>
      <c r="J11" s="222" t="s">
        <v>35</v>
      </c>
      <c r="K11" s="223" t="s">
        <v>1367</v>
      </c>
      <c r="L11" s="222" t="s">
        <v>1601</v>
      </c>
      <c r="M11" s="222">
        <v>3.033040858E9</v>
      </c>
    </row>
    <row r="12">
      <c r="A12" s="222" t="s">
        <v>1602</v>
      </c>
      <c r="B12" s="222" t="s">
        <v>1599</v>
      </c>
      <c r="C12" s="222">
        <v>1022.0</v>
      </c>
      <c r="D12" s="222" t="s">
        <v>3519</v>
      </c>
      <c r="E12" s="220" t="s">
        <v>3525</v>
      </c>
      <c r="F12" s="222">
        <v>45291.0</v>
      </c>
      <c r="G12" s="222">
        <v>45044.0</v>
      </c>
      <c r="H12" s="222" t="s">
        <v>1600</v>
      </c>
      <c r="I12" s="222" t="s">
        <v>1366</v>
      </c>
      <c r="J12" s="222" t="s">
        <v>35</v>
      </c>
      <c r="K12" s="223" t="s">
        <v>1367</v>
      </c>
      <c r="L12" s="222" t="s">
        <v>1601</v>
      </c>
      <c r="M12" s="222">
        <v>3.033040858E9</v>
      </c>
    </row>
    <row r="13">
      <c r="A13" s="220" t="s">
        <v>2432</v>
      </c>
      <c r="B13" s="220" t="s">
        <v>2433</v>
      </c>
      <c r="C13" s="220">
        <v>827.0</v>
      </c>
      <c r="D13" s="220" t="s">
        <v>3517</v>
      </c>
      <c r="E13" s="220" t="s">
        <v>3525</v>
      </c>
      <c r="F13" s="222">
        <v>45291.0</v>
      </c>
      <c r="G13" s="222">
        <v>45005.0</v>
      </c>
      <c r="H13" s="220" t="s">
        <v>2434</v>
      </c>
      <c r="I13" s="220" t="s">
        <v>1415</v>
      </c>
      <c r="J13" s="220" t="s">
        <v>35</v>
      </c>
      <c r="K13" s="221">
        <v>80118.0</v>
      </c>
      <c r="L13" s="220" t="s">
        <v>2435</v>
      </c>
      <c r="M13" s="220" t="s">
        <v>2436</v>
      </c>
    </row>
    <row r="14">
      <c r="A14" s="222" t="s">
        <v>1421</v>
      </c>
      <c r="B14" s="222" t="s">
        <v>1422</v>
      </c>
      <c r="C14" s="222">
        <v>1063.0</v>
      </c>
      <c r="D14" s="222" t="s">
        <v>3517</v>
      </c>
      <c r="E14" s="220" t="s">
        <v>3525</v>
      </c>
      <c r="F14" s="222">
        <v>45291.0</v>
      </c>
      <c r="G14" s="222">
        <v>44978.0</v>
      </c>
      <c r="H14" s="222" t="s">
        <v>1423</v>
      </c>
      <c r="I14" s="222" t="s">
        <v>190</v>
      </c>
      <c r="J14" s="222" t="s">
        <v>35</v>
      </c>
      <c r="K14" s="223" t="s">
        <v>191</v>
      </c>
      <c r="L14" s="222" t="s">
        <v>1424</v>
      </c>
      <c r="M14" s="222">
        <v>7.202265402E9</v>
      </c>
    </row>
    <row r="15">
      <c r="A15" s="220" t="s">
        <v>2175</v>
      </c>
      <c r="B15" s="220" t="s">
        <v>2176</v>
      </c>
      <c r="C15" s="220">
        <v>888.0</v>
      </c>
      <c r="D15" s="220" t="s">
        <v>3517</v>
      </c>
      <c r="E15" s="220" t="s">
        <v>3525</v>
      </c>
      <c r="F15" s="222">
        <v>45291.0</v>
      </c>
      <c r="G15" s="222">
        <v>45018.0</v>
      </c>
      <c r="H15" s="220" t="s">
        <v>2177</v>
      </c>
      <c r="I15" s="220" t="s">
        <v>42</v>
      </c>
      <c r="J15" s="220" t="s">
        <v>35</v>
      </c>
      <c r="K15" s="221">
        <v>80528.0</v>
      </c>
      <c r="L15" s="220" t="s">
        <v>2178</v>
      </c>
      <c r="M15" s="220" t="s">
        <v>2179</v>
      </c>
    </row>
    <row r="16">
      <c r="A16" s="222" t="s">
        <v>1474</v>
      </c>
      <c r="B16" s="222" t="s">
        <v>1475</v>
      </c>
      <c r="C16" s="222">
        <v>1050.0</v>
      </c>
      <c r="D16" s="222" t="s">
        <v>3517</v>
      </c>
      <c r="E16" s="220" t="s">
        <v>3525</v>
      </c>
      <c r="F16" s="222">
        <v>45291.0</v>
      </c>
      <c r="G16" s="222">
        <v>44956.0</v>
      </c>
      <c r="H16" s="222" t="s">
        <v>1476</v>
      </c>
      <c r="I16" s="222" t="s">
        <v>743</v>
      </c>
      <c r="J16" s="222" t="s">
        <v>35</v>
      </c>
      <c r="K16" s="223" t="s">
        <v>744</v>
      </c>
      <c r="L16" s="222" t="s">
        <v>1477</v>
      </c>
      <c r="M16" s="222" t="s">
        <v>1478</v>
      </c>
    </row>
    <row r="17">
      <c r="A17" s="222" t="s">
        <v>1694</v>
      </c>
      <c r="B17" s="222" t="s">
        <v>3526</v>
      </c>
      <c r="C17" s="222">
        <v>999.0</v>
      </c>
      <c r="D17" s="222" t="s">
        <v>3517</v>
      </c>
      <c r="E17" s="220" t="s">
        <v>3525</v>
      </c>
      <c r="F17" s="222">
        <v>45291.0</v>
      </c>
      <c r="G17" s="222">
        <v>44950.0</v>
      </c>
      <c r="H17" s="222" t="s">
        <v>1696</v>
      </c>
      <c r="I17" s="222" t="s">
        <v>647</v>
      </c>
      <c r="J17" s="222" t="s">
        <v>35</v>
      </c>
      <c r="K17" s="223" t="s">
        <v>1062</v>
      </c>
      <c r="L17" s="222" t="s">
        <v>3528</v>
      </c>
      <c r="M17" s="222" t="s">
        <v>1698</v>
      </c>
    </row>
    <row r="18">
      <c r="A18" s="220" t="s">
        <v>3340</v>
      </c>
      <c r="B18" s="220" t="s">
        <v>3341</v>
      </c>
      <c r="C18" s="220">
        <v>300.0</v>
      </c>
      <c r="D18" s="220" t="s">
        <v>3517</v>
      </c>
      <c r="E18" s="220" t="s">
        <v>3525</v>
      </c>
      <c r="F18" s="222">
        <v>46022.0</v>
      </c>
      <c r="G18" s="222">
        <v>45044.0</v>
      </c>
      <c r="H18" s="220" t="s">
        <v>3342</v>
      </c>
      <c r="I18" s="220" t="s">
        <v>898</v>
      </c>
      <c r="J18" s="220" t="s">
        <v>35</v>
      </c>
      <c r="K18" s="221" t="s">
        <v>1179</v>
      </c>
      <c r="L18" s="220" t="s">
        <v>3343</v>
      </c>
      <c r="M18" s="220" t="s">
        <v>3344</v>
      </c>
    </row>
    <row r="19">
      <c r="A19" s="220" t="s">
        <v>2788</v>
      </c>
      <c r="B19" s="220" t="s">
        <v>2789</v>
      </c>
      <c r="C19" s="220">
        <v>743.0</v>
      </c>
      <c r="D19" s="220" t="s">
        <v>3517</v>
      </c>
      <c r="E19" s="220" t="s">
        <v>3525</v>
      </c>
      <c r="F19" s="222">
        <v>46022.0</v>
      </c>
      <c r="G19" s="222">
        <v>45044.0</v>
      </c>
      <c r="H19" s="220" t="s">
        <v>2790</v>
      </c>
      <c r="I19" s="220" t="s">
        <v>423</v>
      </c>
      <c r="J19" s="220" t="s">
        <v>35</v>
      </c>
      <c r="K19" s="221" t="s">
        <v>424</v>
      </c>
      <c r="L19" s="220" t="s">
        <v>2791</v>
      </c>
      <c r="M19" s="220" t="s">
        <v>2792</v>
      </c>
    </row>
    <row r="20">
      <c r="A20" s="220" t="s">
        <v>3405</v>
      </c>
      <c r="B20" s="220" t="s">
        <v>3406</v>
      </c>
      <c r="C20" s="220">
        <v>114.0</v>
      </c>
      <c r="D20" s="220" t="s">
        <v>3517</v>
      </c>
      <c r="E20" s="220" t="s">
        <v>3525</v>
      </c>
      <c r="F20" s="222">
        <v>45291.0</v>
      </c>
      <c r="G20" s="222">
        <v>44942.0</v>
      </c>
      <c r="H20" s="220" t="s">
        <v>3407</v>
      </c>
      <c r="I20" s="220" t="s">
        <v>56</v>
      </c>
      <c r="J20" s="220" t="s">
        <v>57</v>
      </c>
      <c r="K20" s="221" t="s">
        <v>63</v>
      </c>
      <c r="L20" s="220" t="s">
        <v>3408</v>
      </c>
      <c r="M20" s="220" t="s">
        <v>3409</v>
      </c>
    </row>
    <row r="21">
      <c r="A21" s="220" t="s">
        <v>3425</v>
      </c>
      <c r="B21" s="220" t="s">
        <v>3406</v>
      </c>
      <c r="C21" s="220">
        <v>76.0</v>
      </c>
      <c r="D21" s="220" t="s">
        <v>3517</v>
      </c>
      <c r="E21" s="220" t="s">
        <v>3525</v>
      </c>
      <c r="F21" s="222">
        <v>45291.0</v>
      </c>
      <c r="G21" s="222">
        <v>44942.0</v>
      </c>
      <c r="H21" s="220" t="s">
        <v>3407</v>
      </c>
      <c r="I21" s="220" t="s">
        <v>56</v>
      </c>
      <c r="J21" s="220" t="s">
        <v>57</v>
      </c>
      <c r="K21" s="221" t="s">
        <v>63</v>
      </c>
      <c r="L21" s="220" t="s">
        <v>3426</v>
      </c>
      <c r="M21" s="220" t="s">
        <v>3427</v>
      </c>
    </row>
    <row r="22">
      <c r="A22" s="220" t="s">
        <v>485</v>
      </c>
      <c r="B22" s="220" t="s">
        <v>1853</v>
      </c>
      <c r="C22" s="220">
        <v>964.0</v>
      </c>
      <c r="D22" s="220" t="s">
        <v>3517</v>
      </c>
      <c r="E22" s="220" t="s">
        <v>3525</v>
      </c>
      <c r="F22" s="222">
        <v>45291.0</v>
      </c>
      <c r="G22" s="222">
        <v>45036.0</v>
      </c>
      <c r="H22" s="222" t="s">
        <v>3529</v>
      </c>
      <c r="I22" s="222" t="s">
        <v>1375</v>
      </c>
      <c r="J22" s="220" t="s">
        <v>35</v>
      </c>
      <c r="K22" s="223" t="s">
        <v>3530</v>
      </c>
      <c r="L22" s="220" t="s">
        <v>1856</v>
      </c>
      <c r="M22" s="220" t="s">
        <v>1857</v>
      </c>
    </row>
    <row r="23">
      <c r="A23" s="220" t="s">
        <v>154</v>
      </c>
      <c r="B23" s="220" t="s">
        <v>2428</v>
      </c>
      <c r="C23" s="220">
        <v>828.0</v>
      </c>
      <c r="D23" s="220" t="s">
        <v>3517</v>
      </c>
      <c r="E23" s="220" t="s">
        <v>3525</v>
      </c>
      <c r="F23" s="222">
        <v>45291.0</v>
      </c>
      <c r="G23" s="222">
        <v>44936.0</v>
      </c>
      <c r="H23" s="220" t="s">
        <v>2429</v>
      </c>
      <c r="I23" s="220" t="s">
        <v>56</v>
      </c>
      <c r="J23" s="220" t="s">
        <v>57</v>
      </c>
      <c r="K23" s="221" t="s">
        <v>63</v>
      </c>
      <c r="L23" s="220" t="s">
        <v>2430</v>
      </c>
      <c r="M23" s="220" t="s">
        <v>2431</v>
      </c>
    </row>
    <row r="24">
      <c r="A24" s="220" t="s">
        <v>3475</v>
      </c>
      <c r="B24" s="220" t="s">
        <v>1305</v>
      </c>
      <c r="C24" s="220">
        <v>775.0</v>
      </c>
      <c r="D24" s="220" t="s">
        <v>3517</v>
      </c>
      <c r="E24" s="220" t="s">
        <v>3525</v>
      </c>
      <c r="F24" s="222">
        <v>45291.0</v>
      </c>
      <c r="G24" s="222">
        <v>45044.0</v>
      </c>
      <c r="H24" s="220" t="s">
        <v>3455</v>
      </c>
      <c r="I24" s="220" t="s">
        <v>56</v>
      </c>
      <c r="J24" s="220" t="s">
        <v>57</v>
      </c>
      <c r="K24" s="221">
        <v>82009.0</v>
      </c>
      <c r="L24" s="220" t="s">
        <v>3476</v>
      </c>
      <c r="M24" s="220" t="s">
        <v>3477</v>
      </c>
    </row>
    <row r="25">
      <c r="A25" s="222" t="s">
        <v>1027</v>
      </c>
      <c r="B25" s="222" t="s">
        <v>1713</v>
      </c>
      <c r="C25" s="222">
        <v>995.0</v>
      </c>
      <c r="D25" s="222" t="s">
        <v>3517</v>
      </c>
      <c r="E25" s="220" t="s">
        <v>3525</v>
      </c>
      <c r="F25" s="222">
        <v>45291.0</v>
      </c>
      <c r="G25" s="222">
        <v>44963.0</v>
      </c>
      <c r="H25" s="222" t="s">
        <v>1714</v>
      </c>
      <c r="I25" s="222" t="s">
        <v>42</v>
      </c>
      <c r="J25" s="222" t="s">
        <v>35</v>
      </c>
      <c r="K25" s="223" t="s">
        <v>293</v>
      </c>
      <c r="L25" s="222" t="s">
        <v>1715</v>
      </c>
      <c r="M25" s="222" t="s">
        <v>1716</v>
      </c>
    </row>
    <row r="26">
      <c r="A26" s="220" t="s">
        <v>2288</v>
      </c>
      <c r="B26" s="220" t="s">
        <v>2648</v>
      </c>
      <c r="C26" s="220">
        <v>776.0</v>
      </c>
      <c r="D26" s="220" t="s">
        <v>3517</v>
      </c>
      <c r="E26" s="220" t="s">
        <v>3525</v>
      </c>
      <c r="F26" s="222">
        <v>45291.0</v>
      </c>
      <c r="G26" s="222">
        <v>44976.0</v>
      </c>
      <c r="H26" s="220" t="s">
        <v>2649</v>
      </c>
      <c r="I26" s="220" t="s">
        <v>2650</v>
      </c>
      <c r="J26" s="220" t="s">
        <v>35</v>
      </c>
      <c r="K26" s="221">
        <v>81240.0</v>
      </c>
      <c r="L26" s="220" t="s">
        <v>2651</v>
      </c>
      <c r="M26" s="220" t="s">
        <v>2652</v>
      </c>
    </row>
    <row r="27">
      <c r="A27" s="222" t="s">
        <v>1379</v>
      </c>
      <c r="B27" s="222" t="s">
        <v>1380</v>
      </c>
      <c r="C27" s="222">
        <v>1074.0</v>
      </c>
      <c r="D27" s="222" t="s">
        <v>3517</v>
      </c>
      <c r="E27" s="222" t="s">
        <v>3525</v>
      </c>
      <c r="F27" s="222">
        <v>45291.0</v>
      </c>
      <c r="G27" s="222">
        <v>45041.0</v>
      </c>
      <c r="H27" s="222" t="s">
        <v>1381</v>
      </c>
      <c r="I27" s="222" t="s">
        <v>448</v>
      </c>
      <c r="J27" s="222" t="s">
        <v>35</v>
      </c>
      <c r="K27" s="223" t="s">
        <v>277</v>
      </c>
      <c r="L27" s="222" t="s">
        <v>1382</v>
      </c>
      <c r="M27" s="222">
        <v>9.702143012E9</v>
      </c>
    </row>
    <row r="28">
      <c r="A28" s="222" t="s">
        <v>1372</v>
      </c>
      <c r="B28" s="222" t="s">
        <v>1373</v>
      </c>
      <c r="C28" s="222">
        <v>1075.0</v>
      </c>
      <c r="D28" s="222" t="s">
        <v>3517</v>
      </c>
      <c r="E28" s="222" t="s">
        <v>3525</v>
      </c>
      <c r="F28" s="222">
        <v>45291.0</v>
      </c>
      <c r="G28" s="222">
        <v>45040.0</v>
      </c>
      <c r="H28" s="222" t="s">
        <v>1374</v>
      </c>
      <c r="I28" s="222" t="s">
        <v>1375</v>
      </c>
      <c r="J28" s="222" t="s">
        <v>35</v>
      </c>
      <c r="K28" s="223" t="s">
        <v>1376</v>
      </c>
      <c r="L28" s="222" t="s">
        <v>3531</v>
      </c>
      <c r="M28" s="222" t="s">
        <v>1378</v>
      </c>
    </row>
    <row r="29">
      <c r="A29" s="222" t="s">
        <v>488</v>
      </c>
      <c r="B29" s="222" t="s">
        <v>1104</v>
      </c>
      <c r="C29" s="222">
        <v>1066.0</v>
      </c>
      <c r="D29" s="222" t="s">
        <v>3519</v>
      </c>
      <c r="E29" s="222" t="s">
        <v>3525</v>
      </c>
      <c r="F29" s="222">
        <v>45291.0</v>
      </c>
      <c r="G29" s="222">
        <v>45020.0</v>
      </c>
      <c r="H29" s="222" t="s">
        <v>1408</v>
      </c>
      <c r="I29" s="222" t="s">
        <v>1409</v>
      </c>
      <c r="J29" s="222" t="s">
        <v>35</v>
      </c>
      <c r="K29" s="223" t="s">
        <v>1410</v>
      </c>
      <c r="L29" s="222" t="s">
        <v>1411</v>
      </c>
      <c r="M29" s="222">
        <v>3.03829886E9</v>
      </c>
    </row>
    <row r="30">
      <c r="A30" s="220" t="s">
        <v>2217</v>
      </c>
      <c r="B30" s="220" t="s">
        <v>2218</v>
      </c>
      <c r="C30" s="220">
        <v>876.0</v>
      </c>
      <c r="D30" s="220" t="s">
        <v>3517</v>
      </c>
      <c r="E30" s="220" t="s">
        <v>3525</v>
      </c>
      <c r="F30" s="222">
        <v>45291.0</v>
      </c>
      <c r="G30" s="222">
        <v>44937.0</v>
      </c>
      <c r="H30" s="220" t="s">
        <v>2219</v>
      </c>
      <c r="I30" s="220" t="s">
        <v>2000</v>
      </c>
      <c r="J30" s="220" t="s">
        <v>57</v>
      </c>
      <c r="K30" s="221">
        <v>82604.0</v>
      </c>
      <c r="L30" s="220" t="s">
        <v>2220</v>
      </c>
      <c r="M30" s="220" t="s">
        <v>2221</v>
      </c>
    </row>
    <row r="31">
      <c r="A31" s="220" t="s">
        <v>2931</v>
      </c>
      <c r="B31" s="220" t="s">
        <v>562</v>
      </c>
      <c r="C31" s="220">
        <v>711.0</v>
      </c>
      <c r="D31" s="220" t="s">
        <v>3517</v>
      </c>
      <c r="E31" s="220" t="s">
        <v>3525</v>
      </c>
      <c r="F31" s="222">
        <v>46022.0</v>
      </c>
      <c r="G31" s="222">
        <v>45042.0</v>
      </c>
      <c r="H31" s="220" t="s">
        <v>2932</v>
      </c>
      <c r="I31" s="220" t="s">
        <v>647</v>
      </c>
      <c r="J31" s="220" t="s">
        <v>35</v>
      </c>
      <c r="K31" s="221" t="s">
        <v>1062</v>
      </c>
      <c r="L31" s="220" t="s">
        <v>2933</v>
      </c>
      <c r="M31" s="220" t="s">
        <v>2934</v>
      </c>
    </row>
    <row r="32">
      <c r="A32" s="222" t="s">
        <v>1370</v>
      </c>
      <c r="B32" s="222" t="s">
        <v>1136</v>
      </c>
      <c r="C32" s="222">
        <v>1078.0</v>
      </c>
      <c r="D32" s="222" t="s">
        <v>3519</v>
      </c>
      <c r="E32" s="222" t="s">
        <v>3525</v>
      </c>
      <c r="F32" s="222">
        <v>45291.0</v>
      </c>
      <c r="G32" s="222">
        <v>45037.0</v>
      </c>
      <c r="H32" s="222" t="s">
        <v>1137</v>
      </c>
      <c r="I32" s="222" t="s">
        <v>3532</v>
      </c>
      <c r="J32" s="222" t="s">
        <v>35</v>
      </c>
      <c r="K32" s="223" t="s">
        <v>3533</v>
      </c>
      <c r="L32" s="222" t="s">
        <v>1140</v>
      </c>
      <c r="M32" s="222" t="s">
        <v>1141</v>
      </c>
    </row>
    <row r="33">
      <c r="A33" s="222" t="s">
        <v>984</v>
      </c>
      <c r="B33" s="222" t="s">
        <v>1136</v>
      </c>
      <c r="C33" s="222">
        <v>1077.0</v>
      </c>
      <c r="D33" s="222" t="s">
        <v>3519</v>
      </c>
      <c r="E33" s="222" t="s">
        <v>3525</v>
      </c>
      <c r="F33" s="222">
        <v>45291.0</v>
      </c>
      <c r="G33" s="222">
        <v>45038.0</v>
      </c>
      <c r="H33" s="222" t="s">
        <v>1137</v>
      </c>
      <c r="I33" s="222" t="s">
        <v>3532</v>
      </c>
      <c r="J33" s="222" t="s">
        <v>35</v>
      </c>
      <c r="K33" s="223" t="s">
        <v>3533</v>
      </c>
      <c r="L33" s="222" t="s">
        <v>1140</v>
      </c>
      <c r="M33" s="222" t="s">
        <v>1141</v>
      </c>
    </row>
    <row r="34">
      <c r="A34" s="222" t="s">
        <v>1371</v>
      </c>
      <c r="B34" s="222" t="s">
        <v>1136</v>
      </c>
      <c r="C34" s="222">
        <v>1076.0</v>
      </c>
      <c r="D34" s="222" t="s">
        <v>3517</v>
      </c>
      <c r="E34" s="222" t="s">
        <v>3525</v>
      </c>
      <c r="F34" s="222">
        <v>45291.0</v>
      </c>
      <c r="G34" s="222">
        <v>45039.0</v>
      </c>
      <c r="H34" s="222" t="s">
        <v>1137</v>
      </c>
      <c r="I34" s="222" t="s">
        <v>3532</v>
      </c>
      <c r="J34" s="222" t="s">
        <v>35</v>
      </c>
      <c r="K34" s="223" t="s">
        <v>3533</v>
      </c>
      <c r="L34" s="222" t="s">
        <v>1140</v>
      </c>
      <c r="M34" s="222" t="s">
        <v>1141</v>
      </c>
    </row>
    <row r="35">
      <c r="A35" s="220" t="s">
        <v>3228</v>
      </c>
      <c r="B35" s="220" t="s">
        <v>2419</v>
      </c>
      <c r="C35" s="220">
        <v>518.0</v>
      </c>
      <c r="D35" s="220" t="s">
        <v>3519</v>
      </c>
      <c r="E35" s="220" t="s">
        <v>3525</v>
      </c>
      <c r="F35" s="222">
        <v>45291.0</v>
      </c>
      <c r="G35" s="222">
        <v>45044.0</v>
      </c>
      <c r="H35" s="220" t="s">
        <v>2420</v>
      </c>
      <c r="I35" s="220" t="s">
        <v>42</v>
      </c>
      <c r="J35" s="220" t="s">
        <v>35</v>
      </c>
      <c r="K35" s="221" t="s">
        <v>239</v>
      </c>
      <c r="L35" s="220" t="s">
        <v>2421</v>
      </c>
      <c r="M35" s="220" t="s">
        <v>2422</v>
      </c>
    </row>
    <row r="36">
      <c r="A36" s="222" t="s">
        <v>1446</v>
      </c>
      <c r="B36" s="222" t="s">
        <v>1447</v>
      </c>
      <c r="C36" s="222">
        <v>1058.0</v>
      </c>
      <c r="D36" s="222" t="s">
        <v>3517</v>
      </c>
      <c r="E36" s="220" t="s">
        <v>3525</v>
      </c>
      <c r="F36" s="222">
        <v>45291.0</v>
      </c>
      <c r="G36" s="222">
        <v>45044.0</v>
      </c>
      <c r="H36" s="222" t="s">
        <v>1448</v>
      </c>
      <c r="I36" s="222" t="s">
        <v>42</v>
      </c>
      <c r="J36" s="222" t="s">
        <v>35</v>
      </c>
      <c r="K36" s="223" t="s">
        <v>131</v>
      </c>
      <c r="L36" s="222" t="s">
        <v>1449</v>
      </c>
      <c r="M36" s="222">
        <v>9.258589455E9</v>
      </c>
    </row>
    <row r="37">
      <c r="A37" s="220" t="s">
        <v>2319</v>
      </c>
      <c r="B37" s="220" t="s">
        <v>1968</v>
      </c>
      <c r="C37" s="220">
        <v>852.0</v>
      </c>
      <c r="D37" s="220" t="s">
        <v>3517</v>
      </c>
      <c r="E37" s="220" t="s">
        <v>3525</v>
      </c>
      <c r="F37" s="222">
        <v>46022.0</v>
      </c>
      <c r="G37" s="222">
        <v>45043.0</v>
      </c>
      <c r="H37" s="220" t="s">
        <v>1969</v>
      </c>
      <c r="I37" s="220" t="s">
        <v>56</v>
      </c>
      <c r="J37" s="220" t="s">
        <v>57</v>
      </c>
      <c r="K37" s="221">
        <v>82009.0</v>
      </c>
      <c r="L37" s="222" t="s">
        <v>2320</v>
      </c>
      <c r="M37" s="220" t="s">
        <v>2321</v>
      </c>
    </row>
    <row r="38">
      <c r="A38" s="222" t="s">
        <v>677</v>
      </c>
      <c r="B38" s="222" t="s">
        <v>1418</v>
      </c>
      <c r="C38" s="222">
        <v>1064.0</v>
      </c>
      <c r="D38" s="222" t="s">
        <v>3517</v>
      </c>
      <c r="E38" s="220" t="s">
        <v>3525</v>
      </c>
      <c r="F38" s="222">
        <v>45291.0</v>
      </c>
      <c r="G38" s="222">
        <v>44983.0</v>
      </c>
      <c r="H38" s="222" t="s">
        <v>1419</v>
      </c>
      <c r="I38" s="222" t="s">
        <v>157</v>
      </c>
      <c r="J38" s="222" t="s">
        <v>35</v>
      </c>
      <c r="K38" s="223" t="s">
        <v>158</v>
      </c>
      <c r="L38" s="222" t="s">
        <v>1420</v>
      </c>
      <c r="M38" s="222">
        <v>9.703028667E9</v>
      </c>
    </row>
    <row r="39">
      <c r="A39" s="220" t="s">
        <v>922</v>
      </c>
      <c r="B39" s="220" t="s">
        <v>1743</v>
      </c>
      <c r="C39" s="220">
        <v>989.0</v>
      </c>
      <c r="D39" s="220" t="s">
        <v>3517</v>
      </c>
      <c r="E39" s="220" t="s">
        <v>3525</v>
      </c>
      <c r="F39" s="222">
        <v>45291.0</v>
      </c>
      <c r="G39" s="222">
        <v>44928.0</v>
      </c>
      <c r="H39" s="220" t="s">
        <v>1744</v>
      </c>
      <c r="I39" s="220" t="s">
        <v>1745</v>
      </c>
      <c r="J39" s="220" t="s">
        <v>342</v>
      </c>
      <c r="K39" s="221">
        <v>64155.0</v>
      </c>
      <c r="L39" s="220" t="s">
        <v>1746</v>
      </c>
      <c r="M39" s="220" t="s">
        <v>1747</v>
      </c>
    </row>
    <row r="40">
      <c r="A40" s="220" t="s">
        <v>501</v>
      </c>
      <c r="B40" s="220" t="s">
        <v>2077</v>
      </c>
      <c r="C40" s="220">
        <v>910.0</v>
      </c>
      <c r="D40" s="220" t="s">
        <v>3517</v>
      </c>
      <c r="E40" s="220" t="s">
        <v>3525</v>
      </c>
      <c r="F40" s="222">
        <v>45291.0</v>
      </c>
      <c r="G40" s="222">
        <v>45039.0</v>
      </c>
      <c r="H40" s="220" t="s">
        <v>2078</v>
      </c>
      <c r="I40" s="220" t="s">
        <v>56</v>
      </c>
      <c r="J40" s="220" t="s">
        <v>57</v>
      </c>
      <c r="K40" s="221">
        <v>82009.0</v>
      </c>
      <c r="L40" s="220" t="s">
        <v>2079</v>
      </c>
      <c r="M40" s="220" t="s">
        <v>2080</v>
      </c>
    </row>
    <row r="41">
      <c r="A41" s="220" t="s">
        <v>2828</v>
      </c>
      <c r="B41" s="220" t="s">
        <v>2829</v>
      </c>
      <c r="C41" s="220">
        <v>734.0</v>
      </c>
      <c r="D41" s="220" t="s">
        <v>3517</v>
      </c>
      <c r="E41" s="220" t="s">
        <v>3525</v>
      </c>
      <c r="F41" s="222">
        <v>45291.0</v>
      </c>
      <c r="G41" s="222">
        <v>44950.0</v>
      </c>
      <c r="H41" s="220" t="s">
        <v>2830</v>
      </c>
      <c r="I41" s="220" t="s">
        <v>42</v>
      </c>
      <c r="J41" s="220" t="s">
        <v>35</v>
      </c>
      <c r="K41" s="221" t="s">
        <v>239</v>
      </c>
      <c r="L41" s="222" t="s">
        <v>2831</v>
      </c>
      <c r="M41" s="220" t="s">
        <v>2832</v>
      </c>
    </row>
    <row r="42">
      <c r="A42" s="220" t="s">
        <v>1315</v>
      </c>
      <c r="B42" s="220" t="s">
        <v>1788</v>
      </c>
      <c r="C42" s="220">
        <v>979.0</v>
      </c>
      <c r="D42" s="220" t="s">
        <v>3517</v>
      </c>
      <c r="E42" s="220" t="s">
        <v>3525</v>
      </c>
      <c r="F42" s="222">
        <v>46022.0</v>
      </c>
      <c r="G42" s="222">
        <v>45019.0</v>
      </c>
      <c r="H42" s="220" t="s">
        <v>1789</v>
      </c>
      <c r="I42" s="220" t="s">
        <v>448</v>
      </c>
      <c r="J42" s="220" t="s">
        <v>35</v>
      </c>
      <c r="K42" s="221">
        <v>80513.0</v>
      </c>
      <c r="L42" s="220" t="s">
        <v>1790</v>
      </c>
      <c r="M42" s="220" t="s">
        <v>1791</v>
      </c>
    </row>
    <row r="43">
      <c r="A43" s="222" t="s">
        <v>1470</v>
      </c>
      <c r="B43" s="222" t="s">
        <v>1471</v>
      </c>
      <c r="C43" s="222">
        <v>1051.0</v>
      </c>
      <c r="D43" s="222" t="s">
        <v>3517</v>
      </c>
      <c r="E43" s="220" t="s">
        <v>3525</v>
      </c>
      <c r="F43" s="222">
        <v>45291.0</v>
      </c>
      <c r="G43" s="222">
        <v>45015.0</v>
      </c>
      <c r="H43" s="222" t="s">
        <v>1472</v>
      </c>
      <c r="I43" s="222" t="s">
        <v>898</v>
      </c>
      <c r="J43" s="222" t="s">
        <v>35</v>
      </c>
      <c r="K43" s="223" t="s">
        <v>1179</v>
      </c>
      <c r="L43" s="222" t="s">
        <v>1473</v>
      </c>
      <c r="M43" s="222">
        <v>9.703812007E9</v>
      </c>
    </row>
    <row r="44">
      <c r="A44" s="222" t="s">
        <v>1425</v>
      </c>
      <c r="B44" s="222" t="s">
        <v>1426</v>
      </c>
      <c r="C44" s="222">
        <v>1062.0</v>
      </c>
      <c r="D44" s="222" t="s">
        <v>3517</v>
      </c>
      <c r="E44" s="222" t="s">
        <v>3525</v>
      </c>
      <c r="F44" s="222">
        <v>45291.0</v>
      </c>
      <c r="G44" s="222">
        <v>45007.0</v>
      </c>
      <c r="H44" s="222" t="s">
        <v>1427</v>
      </c>
      <c r="I44" s="222" t="s">
        <v>157</v>
      </c>
      <c r="J44" s="222" t="s">
        <v>35</v>
      </c>
      <c r="K44" s="223" t="s">
        <v>158</v>
      </c>
      <c r="L44" s="222" t="s">
        <v>1428</v>
      </c>
      <c r="M44" s="222">
        <v>9.705760084E9</v>
      </c>
    </row>
    <row r="45">
      <c r="A45" s="220" t="s">
        <v>2008</v>
      </c>
      <c r="B45" s="220" t="s">
        <v>2411</v>
      </c>
      <c r="C45" s="220">
        <v>832.0</v>
      </c>
      <c r="D45" s="220" t="s">
        <v>3517</v>
      </c>
      <c r="E45" s="220" t="s">
        <v>3525</v>
      </c>
      <c r="F45" s="222">
        <v>45291.0</v>
      </c>
      <c r="G45" s="222">
        <v>45032.0</v>
      </c>
      <c r="H45" s="222" t="s">
        <v>2412</v>
      </c>
      <c r="I45" s="220" t="s">
        <v>190</v>
      </c>
      <c r="J45" s="220" t="s">
        <v>35</v>
      </c>
      <c r="K45" s="223" t="s">
        <v>311</v>
      </c>
      <c r="L45" s="222" t="s">
        <v>2413</v>
      </c>
      <c r="M45" s="220" t="s">
        <v>2414</v>
      </c>
    </row>
    <row r="46">
      <c r="A46" s="220" t="s">
        <v>1738</v>
      </c>
      <c r="B46" s="220" t="s">
        <v>202</v>
      </c>
      <c r="C46" s="220">
        <v>990.0</v>
      </c>
      <c r="D46" s="220" t="s">
        <v>3517</v>
      </c>
      <c r="E46" s="220" t="s">
        <v>3525</v>
      </c>
      <c r="F46" s="222">
        <v>45291.0</v>
      </c>
      <c r="G46" s="222">
        <v>44938.0</v>
      </c>
      <c r="H46" s="222" t="s">
        <v>1739</v>
      </c>
      <c r="I46" s="222" t="s">
        <v>651</v>
      </c>
      <c r="J46" s="220" t="s">
        <v>35</v>
      </c>
      <c r="K46" s="223" t="s">
        <v>1740</v>
      </c>
      <c r="L46" s="220" t="s">
        <v>3534</v>
      </c>
      <c r="M46" s="220" t="s">
        <v>1742</v>
      </c>
    </row>
    <row r="47">
      <c r="A47" s="220" t="s">
        <v>438</v>
      </c>
      <c r="B47" s="220" t="s">
        <v>2775</v>
      </c>
      <c r="C47" s="220">
        <v>746.0</v>
      </c>
      <c r="D47" s="220" t="s">
        <v>3517</v>
      </c>
      <c r="E47" s="220" t="s">
        <v>3525</v>
      </c>
      <c r="F47" s="222">
        <v>45291.0</v>
      </c>
      <c r="G47" s="222">
        <v>45020.0</v>
      </c>
      <c r="H47" s="220" t="s">
        <v>2776</v>
      </c>
      <c r="I47" s="220" t="s">
        <v>473</v>
      </c>
      <c r="J47" s="220" t="s">
        <v>35</v>
      </c>
      <c r="K47" s="221" t="s">
        <v>474</v>
      </c>
      <c r="L47" s="220" t="s">
        <v>2777</v>
      </c>
      <c r="M47" s="220" t="s">
        <v>2778</v>
      </c>
    </row>
    <row r="48">
      <c r="A48" s="220" t="s">
        <v>2241</v>
      </c>
      <c r="B48" s="220" t="s">
        <v>2279</v>
      </c>
      <c r="C48" s="220">
        <v>860.0</v>
      </c>
      <c r="D48" s="220" t="s">
        <v>3517</v>
      </c>
      <c r="E48" s="220" t="s">
        <v>3525</v>
      </c>
      <c r="F48" s="222">
        <v>45291.0</v>
      </c>
      <c r="G48" s="222">
        <v>44979.0</v>
      </c>
      <c r="H48" s="220" t="s">
        <v>2280</v>
      </c>
      <c r="I48" s="220" t="s">
        <v>448</v>
      </c>
      <c r="J48" s="220" t="s">
        <v>35</v>
      </c>
      <c r="K48" s="221">
        <v>80513.0</v>
      </c>
      <c r="L48" s="222" t="s">
        <v>2281</v>
      </c>
      <c r="M48" s="220" t="s">
        <v>2282</v>
      </c>
    </row>
    <row r="49">
      <c r="A49" s="222" t="s">
        <v>1429</v>
      </c>
      <c r="B49" s="222" t="s">
        <v>1430</v>
      </c>
      <c r="C49" s="222">
        <v>1061.0</v>
      </c>
      <c r="D49" s="222" t="s">
        <v>3517</v>
      </c>
      <c r="E49" s="220" t="s">
        <v>3525</v>
      </c>
      <c r="F49" s="222">
        <v>45281.0</v>
      </c>
      <c r="G49" s="222">
        <v>44906.0</v>
      </c>
      <c r="H49" s="222" t="s">
        <v>1431</v>
      </c>
      <c r="I49" s="222" t="s">
        <v>1432</v>
      </c>
      <c r="J49" s="222" t="s">
        <v>244</v>
      </c>
      <c r="K49" s="223" t="s">
        <v>1433</v>
      </c>
      <c r="L49" s="222" t="s">
        <v>1434</v>
      </c>
      <c r="M49" s="222">
        <v>3.085300864E9</v>
      </c>
    </row>
    <row r="50">
      <c r="A50" s="222" t="s">
        <v>1412</v>
      </c>
      <c r="B50" s="222" t="s">
        <v>1413</v>
      </c>
      <c r="C50" s="222">
        <v>1065.0</v>
      </c>
      <c r="D50" s="222" t="s">
        <v>3517</v>
      </c>
      <c r="E50" s="220" t="s">
        <v>3525</v>
      </c>
      <c r="F50" s="222">
        <v>45291.0</v>
      </c>
      <c r="G50" s="222">
        <v>44991.0</v>
      </c>
      <c r="H50" s="222" t="s">
        <v>1414</v>
      </c>
      <c r="I50" s="222" t="s">
        <v>1415</v>
      </c>
      <c r="J50" s="222" t="s">
        <v>35</v>
      </c>
      <c r="K50" s="223" t="s">
        <v>1416</v>
      </c>
      <c r="L50" s="222" t="s">
        <v>1417</v>
      </c>
      <c r="M50" s="222">
        <v>3.039410129E9</v>
      </c>
    </row>
    <row r="51">
      <c r="A51" s="220" t="s">
        <v>2808</v>
      </c>
      <c r="B51" s="220" t="s">
        <v>2809</v>
      </c>
      <c r="C51" s="220">
        <v>739.0</v>
      </c>
      <c r="D51" s="220" t="s">
        <v>3517</v>
      </c>
      <c r="E51" s="220" t="s">
        <v>3525</v>
      </c>
      <c r="F51" s="222">
        <v>45291.0</v>
      </c>
      <c r="G51" s="222">
        <v>44703.0</v>
      </c>
      <c r="H51" s="220" t="s">
        <v>2810</v>
      </c>
      <c r="I51" s="220" t="s">
        <v>423</v>
      </c>
      <c r="J51" s="220" t="s">
        <v>35</v>
      </c>
      <c r="K51" s="221" t="s">
        <v>424</v>
      </c>
      <c r="L51" s="220" t="s">
        <v>2811</v>
      </c>
      <c r="M51" s="220" t="s">
        <v>2812</v>
      </c>
    </row>
    <row r="52">
      <c r="A52" s="220" t="s">
        <v>1783</v>
      </c>
      <c r="B52" s="220" t="s">
        <v>433</v>
      </c>
      <c r="C52" s="220">
        <v>808.0</v>
      </c>
      <c r="D52" s="220" t="s">
        <v>3519</v>
      </c>
      <c r="E52" s="220" t="s">
        <v>3525</v>
      </c>
      <c r="F52" s="222">
        <v>46022.0</v>
      </c>
      <c r="G52" s="222">
        <v>45044.0</v>
      </c>
      <c r="H52" s="220" t="s">
        <v>2504</v>
      </c>
      <c r="I52" s="220" t="s">
        <v>1626</v>
      </c>
      <c r="J52" s="220" t="s">
        <v>35</v>
      </c>
      <c r="K52" s="221">
        <v>80759.0</v>
      </c>
      <c r="L52" s="222" t="s">
        <v>1628</v>
      </c>
      <c r="M52" s="220" t="s">
        <v>2506</v>
      </c>
    </row>
    <row r="53">
      <c r="A53" s="220" t="s">
        <v>1498</v>
      </c>
      <c r="B53" s="220" t="s">
        <v>811</v>
      </c>
      <c r="C53" s="220">
        <v>914.0</v>
      </c>
      <c r="D53" s="220" t="s">
        <v>3517</v>
      </c>
      <c r="E53" s="220" t="s">
        <v>3525</v>
      </c>
      <c r="F53" s="222">
        <v>45291.0</v>
      </c>
      <c r="G53" s="222">
        <v>44927.0</v>
      </c>
      <c r="H53" s="220" t="s">
        <v>2063</v>
      </c>
      <c r="I53" s="220" t="s">
        <v>42</v>
      </c>
      <c r="J53" s="220" t="s">
        <v>35</v>
      </c>
      <c r="K53" s="221">
        <v>80526.0</v>
      </c>
      <c r="L53" s="220" t="s">
        <v>2064</v>
      </c>
      <c r="M53" s="220" t="s">
        <v>2065</v>
      </c>
    </row>
    <row r="54">
      <c r="A54" s="220" t="s">
        <v>2770</v>
      </c>
      <c r="B54" s="220" t="s">
        <v>2771</v>
      </c>
      <c r="C54" s="220">
        <v>747.0</v>
      </c>
      <c r="D54" s="220" t="s">
        <v>3517</v>
      </c>
      <c r="E54" s="220" t="s">
        <v>3525</v>
      </c>
      <c r="F54" s="222">
        <v>45291.0</v>
      </c>
      <c r="G54" s="222">
        <v>45035.0</v>
      </c>
      <c r="H54" s="222" t="s">
        <v>2772</v>
      </c>
      <c r="I54" s="220" t="s">
        <v>42</v>
      </c>
      <c r="J54" s="220" t="s">
        <v>35</v>
      </c>
      <c r="K54" s="221">
        <v>80528.0</v>
      </c>
      <c r="L54" s="220" t="s">
        <v>2773</v>
      </c>
      <c r="M54" s="220" t="s">
        <v>2774</v>
      </c>
    </row>
    <row r="55">
      <c r="A55" s="222" t="s">
        <v>1647</v>
      </c>
      <c r="B55" s="222" t="s">
        <v>709</v>
      </c>
      <c r="C55" s="222">
        <v>1009.0</v>
      </c>
      <c r="D55" s="222" t="s">
        <v>3519</v>
      </c>
      <c r="E55" s="220" t="s">
        <v>3525</v>
      </c>
      <c r="F55" s="222">
        <v>45291.0</v>
      </c>
      <c r="G55" s="222">
        <v>45020.0</v>
      </c>
      <c r="H55" s="222" t="s">
        <v>710</v>
      </c>
      <c r="I55" s="222" t="s">
        <v>68</v>
      </c>
      <c r="J55" s="222" t="s">
        <v>35</v>
      </c>
      <c r="K55" s="223" t="s">
        <v>69</v>
      </c>
      <c r="L55" s="222" t="s">
        <v>711</v>
      </c>
      <c r="M55" s="222" t="s">
        <v>1648</v>
      </c>
    </row>
    <row r="56">
      <c r="A56" s="222" t="s">
        <v>1401</v>
      </c>
      <c r="B56" s="222" t="s">
        <v>1402</v>
      </c>
      <c r="C56" s="222">
        <v>1068.0</v>
      </c>
      <c r="D56" s="222" t="s">
        <v>3517</v>
      </c>
      <c r="E56" s="222" t="s">
        <v>3525</v>
      </c>
      <c r="F56" s="222">
        <v>45291.0</v>
      </c>
      <c r="G56" s="222">
        <v>45042.0</v>
      </c>
      <c r="H56" s="222" t="s">
        <v>1403</v>
      </c>
      <c r="I56" s="222" t="s">
        <v>89</v>
      </c>
      <c r="J56" s="222" t="s">
        <v>35</v>
      </c>
      <c r="K56" s="223" t="s">
        <v>90</v>
      </c>
      <c r="L56" s="222" t="s">
        <v>1404</v>
      </c>
      <c r="M56" s="222">
        <v>9.702278255E9</v>
      </c>
    </row>
    <row r="57">
      <c r="A57" s="220" t="s">
        <v>1931</v>
      </c>
      <c r="B57" s="220" t="s">
        <v>1301</v>
      </c>
      <c r="C57" s="220">
        <v>944.0</v>
      </c>
      <c r="D57" s="220" t="s">
        <v>3519</v>
      </c>
      <c r="E57" s="220" t="s">
        <v>3525</v>
      </c>
      <c r="F57" s="222">
        <v>45291.0</v>
      </c>
      <c r="G57" s="222">
        <v>44978.0</v>
      </c>
      <c r="H57" s="220" t="s">
        <v>1932</v>
      </c>
      <c r="I57" s="220" t="s">
        <v>647</v>
      </c>
      <c r="J57" s="220" t="s">
        <v>35</v>
      </c>
      <c r="K57" s="221">
        <v>80503.0</v>
      </c>
      <c r="L57" s="220" t="s">
        <v>1933</v>
      </c>
      <c r="M57" s="220" t="s">
        <v>1934</v>
      </c>
    </row>
    <row r="58">
      <c r="A58" s="220" t="s">
        <v>358</v>
      </c>
      <c r="B58" s="220" t="s">
        <v>2964</v>
      </c>
      <c r="C58" s="220">
        <v>654.0</v>
      </c>
      <c r="D58" s="220" t="s">
        <v>3517</v>
      </c>
      <c r="E58" s="220" t="s">
        <v>3525</v>
      </c>
      <c r="F58" s="222">
        <v>45291.0</v>
      </c>
      <c r="G58" s="222">
        <v>45044.0</v>
      </c>
      <c r="H58" s="220" t="s">
        <v>2965</v>
      </c>
      <c r="I58" s="220" t="s">
        <v>1558</v>
      </c>
      <c r="J58" s="220" t="s">
        <v>35</v>
      </c>
      <c r="K58" s="221" t="s">
        <v>1559</v>
      </c>
      <c r="L58" s="222" t="s">
        <v>2966</v>
      </c>
      <c r="M58" s="220" t="s">
        <v>2967</v>
      </c>
    </row>
    <row r="59">
      <c r="A59" s="220" t="s">
        <v>2868</v>
      </c>
      <c r="B59" s="220" t="s">
        <v>2389</v>
      </c>
      <c r="C59" s="220">
        <v>726.0</v>
      </c>
      <c r="D59" s="220" t="s">
        <v>3517</v>
      </c>
      <c r="E59" s="220" t="s">
        <v>3525</v>
      </c>
      <c r="F59" s="222">
        <v>45291.0</v>
      </c>
      <c r="G59" s="222">
        <v>44955.0</v>
      </c>
      <c r="H59" s="220" t="s">
        <v>2869</v>
      </c>
      <c r="I59" s="220" t="s">
        <v>56</v>
      </c>
      <c r="J59" s="220" t="s">
        <v>57</v>
      </c>
      <c r="K59" s="221" t="s">
        <v>63</v>
      </c>
      <c r="L59" s="220" t="s">
        <v>2391</v>
      </c>
      <c r="M59" s="220" t="s">
        <v>2870</v>
      </c>
    </row>
    <row r="60">
      <c r="A60" s="220" t="s">
        <v>1862</v>
      </c>
      <c r="B60" s="220" t="s">
        <v>1863</v>
      </c>
      <c r="C60" s="220">
        <v>962.0</v>
      </c>
      <c r="D60" s="220" t="s">
        <v>3517</v>
      </c>
      <c r="E60" s="220" t="s">
        <v>3525</v>
      </c>
      <c r="F60" s="222">
        <v>45291.0</v>
      </c>
      <c r="G60" s="222">
        <v>45044.0</v>
      </c>
      <c r="H60" s="222" t="s">
        <v>1864</v>
      </c>
      <c r="I60" s="220" t="s">
        <v>42</v>
      </c>
      <c r="J60" s="220" t="s">
        <v>35</v>
      </c>
      <c r="K60" s="221">
        <v>80524.0</v>
      </c>
      <c r="L60" s="222" t="s">
        <v>1865</v>
      </c>
      <c r="M60" s="220" t="s">
        <v>1866</v>
      </c>
    </row>
    <row r="61">
      <c r="A61" s="222" t="s">
        <v>1164</v>
      </c>
      <c r="B61" s="222" t="s">
        <v>1011</v>
      </c>
      <c r="C61" s="222">
        <v>1067.0</v>
      </c>
      <c r="D61" s="222" t="s">
        <v>3519</v>
      </c>
      <c r="E61" s="222" t="s">
        <v>3525</v>
      </c>
      <c r="F61" s="222">
        <v>45291.0</v>
      </c>
      <c r="G61" s="222">
        <v>45041.0</v>
      </c>
      <c r="H61" s="222" t="s">
        <v>1405</v>
      </c>
      <c r="I61" s="222" t="s">
        <v>164</v>
      </c>
      <c r="J61" s="222" t="s">
        <v>35</v>
      </c>
      <c r="K61" s="223" t="s">
        <v>165</v>
      </c>
      <c r="L61" s="222" t="s">
        <v>1406</v>
      </c>
      <c r="M61" s="222" t="s">
        <v>1407</v>
      </c>
    </row>
    <row r="62">
      <c r="A62" s="222" t="s">
        <v>1603</v>
      </c>
      <c r="B62" s="222" t="s">
        <v>1604</v>
      </c>
      <c r="C62" s="222">
        <v>1021.0</v>
      </c>
      <c r="D62" s="222" t="s">
        <v>3517</v>
      </c>
      <c r="E62" s="220" t="s">
        <v>3525</v>
      </c>
      <c r="F62" s="222">
        <v>45291.0</v>
      </c>
      <c r="G62" s="222">
        <v>45004.0</v>
      </c>
      <c r="H62" s="222" t="s">
        <v>1605</v>
      </c>
      <c r="I62" s="222" t="s">
        <v>939</v>
      </c>
      <c r="J62" s="222" t="s">
        <v>35</v>
      </c>
      <c r="K62" s="223" t="s">
        <v>940</v>
      </c>
      <c r="L62" s="222" t="s">
        <v>1606</v>
      </c>
      <c r="M62" s="222">
        <v>3.077031168E9</v>
      </c>
    </row>
    <row r="63">
      <c r="K63" s="224"/>
    </row>
    <row r="64">
      <c r="K64" s="224"/>
    </row>
    <row r="65">
      <c r="K65" s="224"/>
    </row>
    <row r="66">
      <c r="K66" s="224"/>
    </row>
    <row r="67">
      <c r="K67" s="224"/>
    </row>
    <row r="68">
      <c r="K68" s="224"/>
    </row>
    <row r="69">
      <c r="K69" s="224"/>
    </row>
    <row r="70">
      <c r="K70" s="224"/>
    </row>
    <row r="71">
      <c r="K71" s="224"/>
    </row>
    <row r="72">
      <c r="K72" s="224"/>
    </row>
    <row r="73">
      <c r="K73" s="224"/>
    </row>
    <row r="74">
      <c r="K74" s="224"/>
    </row>
    <row r="75">
      <c r="K75" s="224"/>
    </row>
    <row r="76">
      <c r="K76" s="224"/>
    </row>
    <row r="77">
      <c r="K77" s="224"/>
    </row>
    <row r="78">
      <c r="K78" s="224"/>
    </row>
    <row r="79">
      <c r="K79" s="224"/>
    </row>
    <row r="80">
      <c r="K80" s="224"/>
    </row>
    <row r="81">
      <c r="K81" s="224"/>
    </row>
    <row r="82">
      <c r="K82" s="224"/>
    </row>
    <row r="83">
      <c r="K83" s="224"/>
    </row>
    <row r="84">
      <c r="K84" s="224"/>
    </row>
    <row r="85">
      <c r="K85" s="224"/>
    </row>
    <row r="86">
      <c r="K86" s="224"/>
    </row>
    <row r="87">
      <c r="K87" s="224"/>
    </row>
    <row r="88">
      <c r="K88" s="224"/>
    </row>
    <row r="89">
      <c r="K89" s="224"/>
    </row>
    <row r="90">
      <c r="K90" s="224"/>
    </row>
    <row r="91">
      <c r="K91" s="224"/>
    </row>
    <row r="92">
      <c r="K92" s="224"/>
    </row>
    <row r="93">
      <c r="K93" s="224"/>
    </row>
    <row r="94">
      <c r="K94" s="224"/>
    </row>
    <row r="95">
      <c r="K95" s="224"/>
    </row>
    <row r="96">
      <c r="K96" s="224"/>
    </row>
    <row r="97">
      <c r="K97" s="224"/>
    </row>
    <row r="98">
      <c r="K98" s="224"/>
    </row>
    <row r="99">
      <c r="K99" s="224"/>
    </row>
    <row r="100">
      <c r="K100" s="224"/>
    </row>
    <row r="101">
      <c r="K101" s="224"/>
    </row>
    <row r="102">
      <c r="K102" s="224"/>
    </row>
    <row r="103">
      <c r="K103" s="224"/>
    </row>
    <row r="104">
      <c r="K104" s="224"/>
    </row>
    <row r="105">
      <c r="K105" s="224"/>
    </row>
    <row r="106">
      <c r="K106" s="224"/>
    </row>
    <row r="107">
      <c r="K107" s="224"/>
    </row>
    <row r="108">
      <c r="K108" s="224"/>
    </row>
    <row r="109">
      <c r="K109" s="224"/>
    </row>
    <row r="110">
      <c r="K110" s="224"/>
    </row>
    <row r="111">
      <c r="K111" s="224"/>
    </row>
    <row r="112">
      <c r="K112" s="224"/>
    </row>
    <row r="113">
      <c r="K113" s="224"/>
    </row>
    <row r="114">
      <c r="K114" s="224"/>
    </row>
    <row r="115">
      <c r="K115" s="224"/>
    </row>
    <row r="116">
      <c r="K116" s="224"/>
    </row>
    <row r="117">
      <c r="K117" s="224"/>
    </row>
    <row r="118">
      <c r="K118" s="224"/>
    </row>
    <row r="119">
      <c r="K119" s="224"/>
    </row>
    <row r="120">
      <c r="K120" s="224"/>
    </row>
    <row r="121">
      <c r="K121" s="224"/>
    </row>
    <row r="122">
      <c r="K122" s="224"/>
    </row>
    <row r="123">
      <c r="K123" s="224"/>
    </row>
    <row r="124">
      <c r="K124" s="224"/>
    </row>
    <row r="125">
      <c r="K125" s="224"/>
    </row>
    <row r="126">
      <c r="K126" s="224"/>
    </row>
    <row r="127">
      <c r="K127" s="224"/>
    </row>
    <row r="128">
      <c r="K128" s="224"/>
    </row>
    <row r="129">
      <c r="K129" s="224"/>
    </row>
    <row r="130">
      <c r="K130" s="224"/>
    </row>
    <row r="131">
      <c r="K131" s="224"/>
    </row>
    <row r="132">
      <c r="K132" s="224"/>
    </row>
    <row r="133">
      <c r="K133" s="224"/>
    </row>
    <row r="134">
      <c r="K134" s="224"/>
    </row>
    <row r="135">
      <c r="K135" s="224"/>
    </row>
    <row r="136">
      <c r="K136" s="224"/>
    </row>
    <row r="137">
      <c r="K137" s="224"/>
    </row>
    <row r="138">
      <c r="K138" s="224"/>
    </row>
    <row r="139">
      <c r="K139" s="224"/>
    </row>
    <row r="140">
      <c r="K140" s="224"/>
    </row>
    <row r="141">
      <c r="K141" s="224"/>
    </row>
    <row r="142">
      <c r="K142" s="224"/>
    </row>
    <row r="143">
      <c r="K143" s="224"/>
    </row>
    <row r="144">
      <c r="K144" s="224"/>
    </row>
    <row r="145">
      <c r="K145" s="224"/>
    </row>
    <row r="146">
      <c r="K146" s="224"/>
    </row>
    <row r="147">
      <c r="K147" s="224"/>
    </row>
    <row r="148">
      <c r="K148" s="224"/>
    </row>
    <row r="149">
      <c r="K149" s="224"/>
    </row>
    <row r="150">
      <c r="K150" s="224"/>
    </row>
    <row r="151">
      <c r="K151" s="224"/>
    </row>
    <row r="152">
      <c r="K152" s="224"/>
    </row>
    <row r="153">
      <c r="K153" s="224"/>
    </row>
    <row r="154">
      <c r="K154" s="224"/>
    </row>
    <row r="155">
      <c r="K155" s="224"/>
    </row>
    <row r="156">
      <c r="K156" s="224"/>
    </row>
    <row r="157">
      <c r="K157" s="224"/>
    </row>
    <row r="158">
      <c r="K158" s="224"/>
    </row>
    <row r="159">
      <c r="K159" s="224"/>
    </row>
    <row r="160">
      <c r="K160" s="224"/>
    </row>
    <row r="161">
      <c r="K161" s="224"/>
    </row>
    <row r="162">
      <c r="K162" s="224"/>
    </row>
    <row r="163">
      <c r="K163" s="224"/>
    </row>
    <row r="164">
      <c r="K164" s="224"/>
    </row>
    <row r="165">
      <c r="K165" s="224"/>
    </row>
    <row r="166">
      <c r="K166" s="224"/>
    </row>
    <row r="167">
      <c r="K167" s="224"/>
    </row>
    <row r="168">
      <c r="K168" s="224"/>
    </row>
    <row r="169">
      <c r="K169" s="224"/>
    </row>
    <row r="170">
      <c r="K170" s="224"/>
    </row>
    <row r="171">
      <c r="K171" s="224"/>
    </row>
    <row r="172">
      <c r="K172" s="224"/>
    </row>
    <row r="173">
      <c r="K173" s="224"/>
    </row>
    <row r="174">
      <c r="K174" s="224"/>
    </row>
    <row r="175">
      <c r="K175" s="224"/>
    </row>
    <row r="176">
      <c r="K176" s="224"/>
    </row>
    <row r="177">
      <c r="K177" s="224"/>
    </row>
    <row r="178">
      <c r="K178" s="224"/>
    </row>
    <row r="179">
      <c r="K179" s="224"/>
    </row>
    <row r="180">
      <c r="K180" s="224"/>
    </row>
    <row r="181">
      <c r="K181" s="224"/>
    </row>
    <row r="182">
      <c r="K182" s="224"/>
    </row>
    <row r="183">
      <c r="K183" s="224"/>
    </row>
    <row r="184">
      <c r="K184" s="224"/>
    </row>
    <row r="185">
      <c r="K185" s="224"/>
    </row>
    <row r="186">
      <c r="K186" s="224"/>
    </row>
    <row r="187">
      <c r="K187" s="224"/>
    </row>
    <row r="188">
      <c r="K188" s="224"/>
    </row>
    <row r="189">
      <c r="K189" s="224"/>
    </row>
    <row r="190">
      <c r="K190" s="224"/>
    </row>
    <row r="191">
      <c r="K191" s="224"/>
    </row>
    <row r="192">
      <c r="K192" s="224"/>
    </row>
    <row r="193">
      <c r="K193" s="224"/>
    </row>
    <row r="194">
      <c r="K194" s="224"/>
    </row>
    <row r="195">
      <c r="K195" s="224"/>
    </row>
    <row r="196">
      <c r="K196" s="224"/>
    </row>
    <row r="197">
      <c r="K197" s="224"/>
    </row>
    <row r="198">
      <c r="K198" s="224"/>
    </row>
    <row r="199">
      <c r="K199" s="224"/>
    </row>
    <row r="200">
      <c r="K200" s="224"/>
    </row>
    <row r="201">
      <c r="K201" s="224"/>
    </row>
    <row r="202">
      <c r="K202" s="224"/>
    </row>
    <row r="203">
      <c r="K203" s="224"/>
    </row>
    <row r="204">
      <c r="K204" s="224"/>
    </row>
    <row r="205">
      <c r="K205" s="224"/>
    </row>
    <row r="206">
      <c r="K206" s="224"/>
    </row>
    <row r="207">
      <c r="K207" s="224"/>
    </row>
    <row r="208">
      <c r="K208" s="224"/>
    </row>
    <row r="209">
      <c r="K209" s="224"/>
    </row>
    <row r="210">
      <c r="K210" s="224"/>
    </row>
    <row r="211">
      <c r="K211" s="224"/>
    </row>
    <row r="212">
      <c r="K212" s="224"/>
    </row>
    <row r="213">
      <c r="K213" s="224"/>
    </row>
    <row r="214">
      <c r="K214" s="224"/>
    </row>
    <row r="215">
      <c r="K215" s="224"/>
    </row>
    <row r="216">
      <c r="K216" s="224"/>
    </row>
    <row r="217">
      <c r="K217" s="224"/>
    </row>
    <row r="218">
      <c r="K218" s="224"/>
    </row>
    <row r="219">
      <c r="K219" s="224"/>
    </row>
    <row r="220">
      <c r="K220" s="224"/>
    </row>
    <row r="221">
      <c r="K221" s="224"/>
    </row>
    <row r="222">
      <c r="K222" s="224"/>
    </row>
    <row r="223">
      <c r="K223" s="224"/>
    </row>
    <row r="224">
      <c r="K224" s="224"/>
    </row>
    <row r="225">
      <c r="K225" s="224"/>
    </row>
    <row r="226">
      <c r="K226" s="224"/>
    </row>
    <row r="227">
      <c r="K227" s="224"/>
    </row>
    <row r="228">
      <c r="K228" s="224"/>
    </row>
    <row r="229">
      <c r="K229" s="224"/>
    </row>
    <row r="230">
      <c r="K230" s="224"/>
    </row>
    <row r="231">
      <c r="K231" s="224"/>
    </row>
    <row r="232">
      <c r="K232" s="224"/>
    </row>
    <row r="233">
      <c r="K233" s="224"/>
    </row>
    <row r="234">
      <c r="K234" s="224"/>
    </row>
    <row r="235">
      <c r="K235" s="224"/>
    </row>
    <row r="236">
      <c r="K236" s="224"/>
    </row>
    <row r="237">
      <c r="K237" s="224"/>
    </row>
    <row r="238">
      <c r="K238" s="224"/>
    </row>
    <row r="239">
      <c r="K239" s="224"/>
    </row>
    <row r="240">
      <c r="K240" s="224"/>
    </row>
    <row r="241">
      <c r="K241" s="224"/>
    </row>
    <row r="242">
      <c r="K242" s="224"/>
    </row>
    <row r="243">
      <c r="K243" s="224"/>
    </row>
    <row r="244">
      <c r="K244" s="224"/>
    </row>
    <row r="245">
      <c r="K245" s="224"/>
    </row>
    <row r="246">
      <c r="K246" s="224"/>
    </row>
    <row r="247">
      <c r="K247" s="224"/>
    </row>
    <row r="248">
      <c r="K248" s="224"/>
    </row>
    <row r="249">
      <c r="K249" s="224"/>
    </row>
    <row r="250">
      <c r="K250" s="224"/>
    </row>
    <row r="251">
      <c r="K251" s="224"/>
    </row>
    <row r="252">
      <c r="K252" s="224"/>
    </row>
    <row r="253">
      <c r="K253" s="224"/>
    </row>
    <row r="254">
      <c r="K254" s="224"/>
    </row>
    <row r="255">
      <c r="K255" s="224"/>
    </row>
    <row r="256">
      <c r="K256" s="224"/>
    </row>
    <row r="257">
      <c r="K257" s="224"/>
    </row>
    <row r="258">
      <c r="K258" s="224"/>
    </row>
    <row r="259">
      <c r="K259" s="224"/>
    </row>
    <row r="260">
      <c r="K260" s="224"/>
    </row>
    <row r="261">
      <c r="K261" s="224"/>
    </row>
    <row r="262">
      <c r="K262" s="224"/>
    </row>
    <row r="263">
      <c r="K263" s="224"/>
    </row>
    <row r="264">
      <c r="K264" s="224"/>
    </row>
    <row r="265">
      <c r="K265" s="224"/>
    </row>
    <row r="266">
      <c r="K266" s="224"/>
    </row>
    <row r="267">
      <c r="K267" s="224"/>
    </row>
    <row r="268">
      <c r="K268" s="224"/>
    </row>
    <row r="269">
      <c r="K269" s="224"/>
    </row>
    <row r="270">
      <c r="K270" s="224"/>
    </row>
    <row r="271">
      <c r="K271" s="224"/>
    </row>
    <row r="272">
      <c r="K272" s="224"/>
    </row>
    <row r="273">
      <c r="K273" s="224"/>
    </row>
    <row r="274">
      <c r="K274" s="224"/>
    </row>
    <row r="275">
      <c r="K275" s="224"/>
    </row>
    <row r="276">
      <c r="K276" s="224"/>
    </row>
    <row r="277">
      <c r="K277" s="224"/>
    </row>
    <row r="278">
      <c r="K278" s="224"/>
    </row>
    <row r="279">
      <c r="K279" s="224"/>
    </row>
    <row r="280">
      <c r="K280" s="224"/>
    </row>
    <row r="281">
      <c r="K281" s="224"/>
    </row>
    <row r="282">
      <c r="K282" s="224"/>
    </row>
    <row r="283">
      <c r="K283" s="224"/>
    </row>
    <row r="284">
      <c r="K284" s="224"/>
    </row>
    <row r="285">
      <c r="K285" s="224"/>
    </row>
    <row r="286">
      <c r="K286" s="224"/>
    </row>
    <row r="287">
      <c r="K287" s="224"/>
    </row>
    <row r="288">
      <c r="K288" s="224"/>
    </row>
    <row r="289">
      <c r="K289" s="224"/>
    </row>
    <row r="290">
      <c r="K290" s="224"/>
    </row>
    <row r="291">
      <c r="K291" s="224"/>
    </row>
    <row r="292">
      <c r="K292" s="224"/>
    </row>
    <row r="293">
      <c r="K293" s="224"/>
    </row>
    <row r="294">
      <c r="K294" s="224"/>
    </row>
    <row r="295">
      <c r="K295" s="224"/>
    </row>
    <row r="296">
      <c r="K296" s="224"/>
    </row>
    <row r="297">
      <c r="K297" s="224"/>
    </row>
    <row r="298">
      <c r="K298" s="224"/>
    </row>
    <row r="299">
      <c r="K299" s="224"/>
    </row>
    <row r="300">
      <c r="K300" s="224"/>
    </row>
    <row r="301">
      <c r="K301" s="224"/>
    </row>
    <row r="302">
      <c r="K302" s="224"/>
    </row>
    <row r="303">
      <c r="K303" s="224"/>
    </row>
    <row r="304">
      <c r="K304" s="224"/>
    </row>
    <row r="305">
      <c r="K305" s="224"/>
    </row>
    <row r="306">
      <c r="K306" s="224"/>
    </row>
    <row r="307">
      <c r="K307" s="224"/>
    </row>
    <row r="308">
      <c r="K308" s="224"/>
    </row>
    <row r="309">
      <c r="K309" s="224"/>
    </row>
    <row r="310">
      <c r="K310" s="224"/>
    </row>
    <row r="311">
      <c r="K311" s="224"/>
    </row>
    <row r="312">
      <c r="K312" s="224"/>
    </row>
    <row r="313">
      <c r="K313" s="224"/>
    </row>
    <row r="314">
      <c r="K314" s="224"/>
    </row>
    <row r="315">
      <c r="K315" s="224"/>
    </row>
    <row r="316">
      <c r="K316" s="224"/>
    </row>
    <row r="317">
      <c r="K317" s="224"/>
    </row>
    <row r="318">
      <c r="K318" s="224"/>
    </row>
    <row r="319">
      <c r="K319" s="224"/>
    </row>
    <row r="320">
      <c r="K320" s="224"/>
    </row>
    <row r="321">
      <c r="K321" s="224"/>
    </row>
    <row r="322">
      <c r="K322" s="224"/>
    </row>
    <row r="323">
      <c r="K323" s="224"/>
    </row>
    <row r="324">
      <c r="K324" s="224"/>
    </row>
    <row r="325">
      <c r="K325" s="224"/>
    </row>
    <row r="326">
      <c r="K326" s="224"/>
    </row>
    <row r="327">
      <c r="K327" s="224"/>
    </row>
    <row r="328">
      <c r="K328" s="224"/>
    </row>
    <row r="329">
      <c r="K329" s="224"/>
    </row>
    <row r="330">
      <c r="K330" s="224"/>
    </row>
    <row r="331">
      <c r="K331" s="224"/>
    </row>
    <row r="332">
      <c r="K332" s="224"/>
    </row>
    <row r="333">
      <c r="K333" s="224"/>
    </row>
    <row r="334">
      <c r="K334" s="224"/>
    </row>
    <row r="335">
      <c r="K335" s="224"/>
    </row>
    <row r="336">
      <c r="K336" s="224"/>
    </row>
    <row r="337">
      <c r="K337" s="224"/>
    </row>
    <row r="338">
      <c r="K338" s="224"/>
    </row>
    <row r="339">
      <c r="K339" s="224"/>
    </row>
    <row r="340">
      <c r="K340" s="224"/>
    </row>
    <row r="341">
      <c r="K341" s="224"/>
    </row>
    <row r="342">
      <c r="K342" s="224"/>
    </row>
    <row r="343">
      <c r="K343" s="224"/>
    </row>
    <row r="344">
      <c r="K344" s="224"/>
    </row>
    <row r="345">
      <c r="K345" s="224"/>
    </row>
    <row r="346">
      <c r="K346" s="224"/>
    </row>
    <row r="347">
      <c r="K347" s="224"/>
    </row>
    <row r="348">
      <c r="K348" s="224"/>
    </row>
    <row r="349">
      <c r="K349" s="224"/>
    </row>
    <row r="350">
      <c r="K350" s="224"/>
    </row>
    <row r="351">
      <c r="K351" s="224"/>
    </row>
    <row r="352">
      <c r="K352" s="224"/>
    </row>
    <row r="353">
      <c r="K353" s="224"/>
    </row>
    <row r="354">
      <c r="K354" s="224"/>
    </row>
    <row r="355">
      <c r="K355" s="224"/>
    </row>
    <row r="356">
      <c r="K356" s="224"/>
    </row>
    <row r="357">
      <c r="K357" s="224"/>
    </row>
    <row r="358">
      <c r="K358" s="224"/>
    </row>
    <row r="359">
      <c r="K359" s="224"/>
    </row>
    <row r="360">
      <c r="K360" s="224"/>
    </row>
    <row r="361">
      <c r="K361" s="224"/>
    </row>
    <row r="362">
      <c r="K362" s="224"/>
    </row>
    <row r="363">
      <c r="K363" s="224"/>
    </row>
    <row r="364">
      <c r="K364" s="224"/>
    </row>
    <row r="365">
      <c r="K365" s="224"/>
    </row>
    <row r="366">
      <c r="K366" s="224"/>
    </row>
    <row r="367">
      <c r="K367" s="224"/>
    </row>
    <row r="368">
      <c r="K368" s="224"/>
    </row>
    <row r="369">
      <c r="K369" s="224"/>
    </row>
    <row r="370">
      <c r="K370" s="224"/>
    </row>
    <row r="371">
      <c r="K371" s="224"/>
    </row>
    <row r="372">
      <c r="K372" s="224"/>
    </row>
    <row r="373">
      <c r="K373" s="224"/>
    </row>
    <row r="374">
      <c r="K374" s="224"/>
    </row>
    <row r="375">
      <c r="K375" s="224"/>
    </row>
    <row r="376">
      <c r="K376" s="224"/>
    </row>
    <row r="377">
      <c r="K377" s="224"/>
    </row>
    <row r="378">
      <c r="K378" s="224"/>
    </row>
    <row r="379">
      <c r="K379" s="224"/>
    </row>
    <row r="380">
      <c r="K380" s="224"/>
    </row>
    <row r="381">
      <c r="K381" s="224"/>
    </row>
    <row r="382">
      <c r="K382" s="224"/>
    </row>
    <row r="383">
      <c r="K383" s="224"/>
    </row>
    <row r="384">
      <c r="K384" s="224"/>
    </row>
    <row r="385">
      <c r="K385" s="224"/>
    </row>
    <row r="386">
      <c r="K386" s="224"/>
    </row>
    <row r="387">
      <c r="K387" s="224"/>
    </row>
    <row r="388">
      <c r="K388" s="224"/>
    </row>
    <row r="389">
      <c r="K389" s="224"/>
    </row>
    <row r="390">
      <c r="K390" s="224"/>
    </row>
    <row r="391">
      <c r="K391" s="224"/>
    </row>
    <row r="392">
      <c r="K392" s="224"/>
    </row>
    <row r="393">
      <c r="K393" s="224"/>
    </row>
    <row r="394">
      <c r="K394" s="224"/>
    </row>
    <row r="395">
      <c r="K395" s="224"/>
    </row>
    <row r="396">
      <c r="K396" s="224"/>
    </row>
    <row r="397">
      <c r="K397" s="224"/>
    </row>
    <row r="398">
      <c r="K398" s="224"/>
    </row>
    <row r="399">
      <c r="K399" s="224"/>
    </row>
    <row r="400">
      <c r="K400" s="224"/>
    </row>
    <row r="401">
      <c r="K401" s="224"/>
    </row>
    <row r="402">
      <c r="K402" s="224"/>
    </row>
    <row r="403">
      <c r="K403" s="224"/>
    </row>
    <row r="404">
      <c r="K404" s="224"/>
    </row>
    <row r="405">
      <c r="K405" s="224"/>
    </row>
    <row r="406">
      <c r="K406" s="224"/>
    </row>
    <row r="407">
      <c r="K407" s="224"/>
    </row>
    <row r="408">
      <c r="K408" s="224"/>
    </row>
    <row r="409">
      <c r="K409" s="224"/>
    </row>
    <row r="410">
      <c r="K410" s="224"/>
    </row>
    <row r="411">
      <c r="K411" s="224"/>
    </row>
    <row r="412">
      <c r="K412" s="224"/>
    </row>
    <row r="413">
      <c r="K413" s="224"/>
    </row>
    <row r="414">
      <c r="K414" s="224"/>
    </row>
    <row r="415">
      <c r="K415" s="224"/>
    </row>
    <row r="416">
      <c r="K416" s="224"/>
    </row>
    <row r="417">
      <c r="K417" s="224"/>
    </row>
    <row r="418">
      <c r="K418" s="224"/>
    </row>
    <row r="419">
      <c r="K419" s="224"/>
    </row>
    <row r="420">
      <c r="K420" s="224"/>
    </row>
    <row r="421">
      <c r="K421" s="224"/>
    </row>
    <row r="422">
      <c r="K422" s="224"/>
    </row>
    <row r="423">
      <c r="K423" s="224"/>
    </row>
    <row r="424">
      <c r="K424" s="224"/>
    </row>
    <row r="425">
      <c r="K425" s="224"/>
    </row>
    <row r="426">
      <c r="K426" s="224"/>
    </row>
    <row r="427">
      <c r="K427" s="224"/>
    </row>
    <row r="428">
      <c r="K428" s="224"/>
    </row>
    <row r="429">
      <c r="K429" s="224"/>
    </row>
    <row r="430">
      <c r="K430" s="224"/>
    </row>
    <row r="431">
      <c r="K431" s="224"/>
    </row>
    <row r="432">
      <c r="K432" s="224"/>
    </row>
    <row r="433">
      <c r="K433" s="224"/>
    </row>
    <row r="434">
      <c r="K434" s="224"/>
    </row>
    <row r="435">
      <c r="K435" s="224"/>
    </row>
    <row r="436">
      <c r="K436" s="224"/>
    </row>
    <row r="437">
      <c r="K437" s="224"/>
    </row>
    <row r="438">
      <c r="K438" s="224"/>
    </row>
    <row r="439">
      <c r="K439" s="224"/>
    </row>
    <row r="440">
      <c r="K440" s="224"/>
    </row>
    <row r="441">
      <c r="K441" s="224"/>
    </row>
    <row r="442">
      <c r="K442" s="224"/>
    </row>
    <row r="443">
      <c r="K443" s="224"/>
    </row>
    <row r="444">
      <c r="K444" s="224"/>
    </row>
    <row r="445">
      <c r="K445" s="224"/>
    </row>
    <row r="446">
      <c r="K446" s="224"/>
    </row>
    <row r="447">
      <c r="K447" s="224"/>
    </row>
    <row r="448">
      <c r="K448" s="224"/>
    </row>
    <row r="449">
      <c r="K449" s="224"/>
    </row>
    <row r="450">
      <c r="K450" s="224"/>
    </row>
    <row r="451">
      <c r="K451" s="224"/>
    </row>
    <row r="452">
      <c r="K452" s="224"/>
    </row>
    <row r="453">
      <c r="K453" s="224"/>
    </row>
    <row r="454">
      <c r="K454" s="224"/>
    </row>
    <row r="455">
      <c r="K455" s="224"/>
    </row>
    <row r="456">
      <c r="K456" s="224"/>
    </row>
    <row r="457">
      <c r="K457" s="224"/>
    </row>
    <row r="458">
      <c r="K458" s="224"/>
    </row>
    <row r="459">
      <c r="K459" s="224"/>
    </row>
    <row r="460">
      <c r="K460" s="224"/>
    </row>
    <row r="461">
      <c r="K461" s="224"/>
    </row>
    <row r="462">
      <c r="K462" s="224"/>
    </row>
    <row r="463">
      <c r="K463" s="224"/>
    </row>
    <row r="464">
      <c r="K464" s="224"/>
    </row>
    <row r="465">
      <c r="K465" s="224"/>
    </row>
    <row r="466">
      <c r="K466" s="224"/>
    </row>
    <row r="467">
      <c r="K467" s="224"/>
    </row>
    <row r="468">
      <c r="K468" s="224"/>
    </row>
    <row r="469">
      <c r="K469" s="224"/>
    </row>
    <row r="470">
      <c r="K470" s="224"/>
    </row>
    <row r="471">
      <c r="K471" s="224"/>
    </row>
    <row r="472">
      <c r="K472" s="224"/>
    </row>
    <row r="473">
      <c r="K473" s="224"/>
    </row>
    <row r="474">
      <c r="K474" s="224"/>
    </row>
    <row r="475">
      <c r="K475" s="224"/>
    </row>
    <row r="476">
      <c r="K476" s="224"/>
    </row>
    <row r="477">
      <c r="K477" s="224"/>
    </row>
    <row r="478">
      <c r="K478" s="224"/>
    </row>
    <row r="479">
      <c r="K479" s="224"/>
    </row>
    <row r="480">
      <c r="K480" s="224"/>
    </row>
    <row r="481">
      <c r="K481" s="224"/>
    </row>
    <row r="482">
      <c r="K482" s="224"/>
    </row>
    <row r="483">
      <c r="K483" s="224"/>
    </row>
    <row r="484">
      <c r="K484" s="224"/>
    </row>
    <row r="485">
      <c r="K485" s="224"/>
    </row>
    <row r="486">
      <c r="K486" s="224"/>
    </row>
    <row r="487">
      <c r="K487" s="224"/>
    </row>
    <row r="488">
      <c r="K488" s="224"/>
    </row>
    <row r="489">
      <c r="K489" s="224"/>
    </row>
    <row r="490">
      <c r="K490" s="224"/>
    </row>
    <row r="491">
      <c r="K491" s="224"/>
    </row>
    <row r="492">
      <c r="K492" s="224"/>
    </row>
    <row r="493">
      <c r="K493" s="224"/>
    </row>
    <row r="494">
      <c r="K494" s="224"/>
    </row>
    <row r="495">
      <c r="K495" s="224"/>
    </row>
    <row r="496">
      <c r="K496" s="224"/>
    </row>
    <row r="497">
      <c r="K497" s="224"/>
    </row>
    <row r="498">
      <c r="K498" s="224"/>
    </row>
    <row r="499">
      <c r="K499" s="224"/>
    </row>
    <row r="500">
      <c r="K500" s="224"/>
    </row>
    <row r="501">
      <c r="K501" s="224"/>
    </row>
    <row r="502">
      <c r="K502" s="224"/>
    </row>
    <row r="503">
      <c r="K503" s="224"/>
    </row>
    <row r="504">
      <c r="K504" s="224"/>
    </row>
    <row r="505">
      <c r="K505" s="224"/>
    </row>
    <row r="506">
      <c r="K506" s="224"/>
    </row>
    <row r="507">
      <c r="K507" s="224"/>
    </row>
    <row r="508">
      <c r="K508" s="224"/>
    </row>
    <row r="509">
      <c r="K509" s="224"/>
    </row>
    <row r="510">
      <c r="K510" s="224"/>
    </row>
    <row r="511">
      <c r="K511" s="224"/>
    </row>
    <row r="512">
      <c r="K512" s="224"/>
    </row>
    <row r="513">
      <c r="K513" s="224"/>
    </row>
    <row r="514">
      <c r="K514" s="224"/>
    </row>
    <row r="515">
      <c r="K515" s="224"/>
    </row>
    <row r="516">
      <c r="K516" s="224"/>
    </row>
    <row r="517">
      <c r="K517" s="224"/>
    </row>
    <row r="518">
      <c r="K518" s="224"/>
    </row>
    <row r="519">
      <c r="K519" s="224"/>
    </row>
    <row r="520">
      <c r="K520" s="224"/>
    </row>
    <row r="521">
      <c r="K521" s="224"/>
    </row>
    <row r="522">
      <c r="K522" s="224"/>
    </row>
    <row r="523">
      <c r="K523" s="224"/>
    </row>
    <row r="524">
      <c r="K524" s="224"/>
    </row>
    <row r="525">
      <c r="K525" s="224"/>
    </row>
    <row r="526">
      <c r="K526" s="224"/>
    </row>
    <row r="527">
      <c r="K527" s="224"/>
    </row>
    <row r="528">
      <c r="K528" s="224"/>
    </row>
    <row r="529">
      <c r="K529" s="224"/>
    </row>
    <row r="530">
      <c r="K530" s="224"/>
    </row>
    <row r="531">
      <c r="K531" s="224"/>
    </row>
    <row r="532">
      <c r="K532" s="224"/>
    </row>
    <row r="533">
      <c r="K533" s="224"/>
    </row>
    <row r="534">
      <c r="K534" s="224"/>
    </row>
    <row r="535">
      <c r="K535" s="224"/>
    </row>
    <row r="536">
      <c r="K536" s="224"/>
    </row>
    <row r="537">
      <c r="K537" s="224"/>
    </row>
    <row r="538">
      <c r="K538" s="224"/>
    </row>
    <row r="539">
      <c r="K539" s="224"/>
    </row>
    <row r="540">
      <c r="K540" s="224"/>
    </row>
    <row r="541">
      <c r="K541" s="224"/>
    </row>
    <row r="542">
      <c r="K542" s="224"/>
    </row>
    <row r="543">
      <c r="K543" s="224"/>
    </row>
    <row r="544">
      <c r="K544" s="224"/>
    </row>
    <row r="545">
      <c r="K545" s="224"/>
    </row>
    <row r="546">
      <c r="K546" s="224"/>
    </row>
    <row r="547">
      <c r="K547" s="224"/>
    </row>
    <row r="548">
      <c r="K548" s="224"/>
    </row>
    <row r="549">
      <c r="K549" s="224"/>
    </row>
    <row r="550">
      <c r="K550" s="224"/>
    </row>
    <row r="551">
      <c r="K551" s="224"/>
    </row>
    <row r="552">
      <c r="K552" s="224"/>
    </row>
    <row r="553">
      <c r="K553" s="224"/>
    </row>
    <row r="554">
      <c r="K554" s="224"/>
    </row>
    <row r="555">
      <c r="K555" s="224"/>
    </row>
    <row r="556">
      <c r="K556" s="224"/>
    </row>
    <row r="557">
      <c r="K557" s="224"/>
    </row>
    <row r="558">
      <c r="K558" s="224"/>
    </row>
    <row r="559">
      <c r="K559" s="224"/>
    </row>
    <row r="560">
      <c r="K560" s="224"/>
    </row>
    <row r="561">
      <c r="K561" s="224"/>
    </row>
    <row r="562">
      <c r="K562" s="224"/>
    </row>
    <row r="563">
      <c r="K563" s="224"/>
    </row>
    <row r="564">
      <c r="K564" s="224"/>
    </row>
    <row r="565">
      <c r="K565" s="224"/>
    </row>
    <row r="566">
      <c r="K566" s="224"/>
    </row>
    <row r="567">
      <c r="K567" s="224"/>
    </row>
    <row r="568">
      <c r="K568" s="224"/>
    </row>
    <row r="569">
      <c r="K569" s="224"/>
    </row>
    <row r="570">
      <c r="K570" s="224"/>
    </row>
    <row r="571">
      <c r="K571" s="224"/>
    </row>
    <row r="572">
      <c r="K572" s="224"/>
    </row>
    <row r="573">
      <c r="K573" s="224"/>
    </row>
    <row r="574">
      <c r="K574" s="224"/>
    </row>
    <row r="575">
      <c r="K575" s="224"/>
    </row>
    <row r="576">
      <c r="K576" s="224"/>
    </row>
    <row r="577">
      <c r="K577" s="224"/>
    </row>
    <row r="578">
      <c r="K578" s="224"/>
    </row>
    <row r="579">
      <c r="K579" s="224"/>
    </row>
    <row r="580">
      <c r="K580" s="224"/>
    </row>
    <row r="581">
      <c r="K581" s="224"/>
    </row>
    <row r="582">
      <c r="K582" s="224"/>
    </row>
    <row r="583">
      <c r="K583" s="224"/>
    </row>
    <row r="584">
      <c r="K584" s="224"/>
    </row>
    <row r="585">
      <c r="K585" s="224"/>
    </row>
    <row r="586">
      <c r="K586" s="224"/>
    </row>
    <row r="587">
      <c r="K587" s="224"/>
    </row>
    <row r="588">
      <c r="K588" s="224"/>
    </row>
    <row r="589">
      <c r="K589" s="224"/>
    </row>
    <row r="590">
      <c r="K590" s="224"/>
    </row>
    <row r="591">
      <c r="K591" s="224"/>
    </row>
    <row r="592">
      <c r="K592" s="224"/>
    </row>
    <row r="593">
      <c r="K593" s="224"/>
    </row>
    <row r="594">
      <c r="K594" s="224"/>
    </row>
    <row r="595">
      <c r="K595" s="224"/>
    </row>
    <row r="596">
      <c r="K596" s="224"/>
    </row>
    <row r="597">
      <c r="K597" s="224"/>
    </row>
    <row r="598">
      <c r="K598" s="224"/>
    </row>
    <row r="599">
      <c r="K599" s="224"/>
    </row>
    <row r="600">
      <c r="K600" s="224"/>
    </row>
    <row r="601">
      <c r="K601" s="224"/>
    </row>
    <row r="602">
      <c r="K602" s="224"/>
    </row>
    <row r="603">
      <c r="K603" s="224"/>
    </row>
    <row r="604">
      <c r="K604" s="224"/>
    </row>
    <row r="605">
      <c r="K605" s="224"/>
    </row>
    <row r="606">
      <c r="K606" s="224"/>
    </row>
    <row r="607">
      <c r="K607" s="224"/>
    </row>
    <row r="608">
      <c r="K608" s="224"/>
    </row>
    <row r="609">
      <c r="K609" s="224"/>
    </row>
    <row r="610">
      <c r="K610" s="224"/>
    </row>
    <row r="611">
      <c r="K611" s="224"/>
    </row>
    <row r="612">
      <c r="K612" s="224"/>
    </row>
    <row r="613">
      <c r="K613" s="224"/>
    </row>
    <row r="614">
      <c r="K614" s="224"/>
    </row>
    <row r="615">
      <c r="K615" s="224"/>
    </row>
    <row r="616">
      <c r="K616" s="224"/>
    </row>
    <row r="617">
      <c r="K617" s="224"/>
    </row>
    <row r="618">
      <c r="K618" s="224"/>
    </row>
    <row r="619">
      <c r="K619" s="224"/>
    </row>
    <row r="620">
      <c r="K620" s="224"/>
    </row>
    <row r="621">
      <c r="K621" s="224"/>
    </row>
    <row r="622">
      <c r="K622" s="224"/>
    </row>
    <row r="623">
      <c r="K623" s="224"/>
    </row>
    <row r="624">
      <c r="K624" s="224"/>
    </row>
    <row r="625">
      <c r="K625" s="224"/>
    </row>
    <row r="626">
      <c r="K626" s="224"/>
    </row>
    <row r="627">
      <c r="K627" s="224"/>
    </row>
    <row r="628">
      <c r="K628" s="224"/>
    </row>
    <row r="629">
      <c r="K629" s="224"/>
    </row>
    <row r="630">
      <c r="K630" s="224"/>
    </row>
    <row r="631">
      <c r="K631" s="224"/>
    </row>
    <row r="632">
      <c r="K632" s="224"/>
    </row>
    <row r="633">
      <c r="K633" s="224"/>
    </row>
    <row r="634">
      <c r="K634" s="224"/>
    </row>
    <row r="635">
      <c r="K635" s="224"/>
    </row>
    <row r="636">
      <c r="K636" s="224"/>
    </row>
    <row r="637">
      <c r="K637" s="224"/>
    </row>
    <row r="638">
      <c r="K638" s="224"/>
    </row>
    <row r="639">
      <c r="K639" s="224"/>
    </row>
    <row r="640">
      <c r="K640" s="224"/>
    </row>
    <row r="641">
      <c r="K641" s="224"/>
    </row>
    <row r="642">
      <c r="K642" s="224"/>
    </row>
    <row r="643">
      <c r="K643" s="224"/>
    </row>
    <row r="644">
      <c r="K644" s="224"/>
    </row>
    <row r="645">
      <c r="K645" s="224"/>
    </row>
    <row r="646">
      <c r="K646" s="224"/>
    </row>
    <row r="647">
      <c r="K647" s="224"/>
    </row>
    <row r="648">
      <c r="K648" s="224"/>
    </row>
    <row r="649">
      <c r="K649" s="224"/>
    </row>
    <row r="650">
      <c r="K650" s="224"/>
    </row>
    <row r="651">
      <c r="K651" s="224"/>
    </row>
    <row r="652">
      <c r="K652" s="224"/>
    </row>
    <row r="653">
      <c r="K653" s="224"/>
    </row>
    <row r="654">
      <c r="K654" s="224"/>
    </row>
    <row r="655">
      <c r="K655" s="224"/>
    </row>
    <row r="656">
      <c r="K656" s="224"/>
    </row>
    <row r="657">
      <c r="K657" s="224"/>
    </row>
    <row r="658">
      <c r="K658" s="224"/>
    </row>
    <row r="659">
      <c r="K659" s="224"/>
    </row>
    <row r="660">
      <c r="K660" s="224"/>
    </row>
    <row r="661">
      <c r="K661" s="224"/>
    </row>
    <row r="662">
      <c r="K662" s="224"/>
    </row>
    <row r="663">
      <c r="K663" s="224"/>
    </row>
    <row r="664">
      <c r="K664" s="224"/>
    </row>
    <row r="665">
      <c r="K665" s="224"/>
    </row>
    <row r="666">
      <c r="K666" s="224"/>
    </row>
    <row r="667">
      <c r="K667" s="224"/>
    </row>
    <row r="668">
      <c r="K668" s="224"/>
    </row>
    <row r="669">
      <c r="K669" s="224"/>
    </row>
    <row r="670">
      <c r="K670" s="224"/>
    </row>
    <row r="671">
      <c r="K671" s="224"/>
    </row>
    <row r="672">
      <c r="K672" s="224"/>
    </row>
    <row r="673">
      <c r="K673" s="224"/>
    </row>
    <row r="674">
      <c r="K674" s="224"/>
    </row>
    <row r="675">
      <c r="K675" s="224"/>
    </row>
    <row r="676">
      <c r="K676" s="224"/>
    </row>
    <row r="677">
      <c r="K677" s="224"/>
    </row>
    <row r="678">
      <c r="K678" s="224"/>
    </row>
    <row r="679">
      <c r="K679" s="224"/>
    </row>
    <row r="680">
      <c r="K680" s="224"/>
    </row>
    <row r="681">
      <c r="K681" s="224"/>
    </row>
    <row r="682">
      <c r="K682" s="224"/>
    </row>
    <row r="683">
      <c r="K683" s="224"/>
    </row>
    <row r="684">
      <c r="K684" s="224"/>
    </row>
    <row r="685">
      <c r="K685" s="224"/>
    </row>
    <row r="686">
      <c r="K686" s="224"/>
    </row>
    <row r="687">
      <c r="K687" s="224"/>
    </row>
    <row r="688">
      <c r="K688" s="224"/>
    </row>
    <row r="689">
      <c r="K689" s="224"/>
    </row>
    <row r="690">
      <c r="K690" s="224"/>
    </row>
    <row r="691">
      <c r="K691" s="224"/>
    </row>
    <row r="692">
      <c r="K692" s="224"/>
    </row>
    <row r="693">
      <c r="K693" s="224"/>
    </row>
    <row r="694">
      <c r="K694" s="224"/>
    </row>
    <row r="695">
      <c r="K695" s="224"/>
    </row>
    <row r="696">
      <c r="K696" s="224"/>
    </row>
    <row r="697">
      <c r="K697" s="224"/>
    </row>
    <row r="698">
      <c r="K698" s="224"/>
    </row>
    <row r="699">
      <c r="K699" s="224"/>
    </row>
    <row r="700">
      <c r="K700" s="224"/>
    </row>
    <row r="701">
      <c r="K701" s="224"/>
    </row>
    <row r="702">
      <c r="K702" s="224"/>
    </row>
    <row r="703">
      <c r="K703" s="224"/>
    </row>
    <row r="704">
      <c r="K704" s="224"/>
    </row>
    <row r="705">
      <c r="K705" s="224"/>
    </row>
    <row r="706">
      <c r="K706" s="224"/>
    </row>
    <row r="707">
      <c r="K707" s="224"/>
    </row>
    <row r="708">
      <c r="K708" s="224"/>
    </row>
    <row r="709">
      <c r="K709" s="224"/>
    </row>
    <row r="710">
      <c r="K710" s="224"/>
    </row>
    <row r="711">
      <c r="K711" s="224"/>
    </row>
    <row r="712">
      <c r="K712" s="224"/>
    </row>
    <row r="713">
      <c r="K713" s="224"/>
    </row>
    <row r="714">
      <c r="K714" s="224"/>
    </row>
    <row r="715">
      <c r="K715" s="224"/>
    </row>
    <row r="716">
      <c r="K716" s="224"/>
    </row>
    <row r="717">
      <c r="K717" s="224"/>
    </row>
    <row r="718">
      <c r="K718" s="224"/>
    </row>
    <row r="719">
      <c r="K719" s="224"/>
    </row>
    <row r="720">
      <c r="K720" s="224"/>
    </row>
    <row r="721">
      <c r="K721" s="224"/>
    </row>
    <row r="722">
      <c r="K722" s="224"/>
    </row>
    <row r="723">
      <c r="K723" s="224"/>
    </row>
    <row r="724">
      <c r="K724" s="224"/>
    </row>
    <row r="725">
      <c r="K725" s="224"/>
    </row>
    <row r="726">
      <c r="K726" s="224"/>
    </row>
    <row r="727">
      <c r="K727" s="224"/>
    </row>
    <row r="728">
      <c r="K728" s="224"/>
    </row>
    <row r="729">
      <c r="K729" s="224"/>
    </row>
    <row r="730">
      <c r="K730" s="224"/>
    </row>
    <row r="731">
      <c r="K731" s="224"/>
    </row>
    <row r="732">
      <c r="K732" s="224"/>
    </row>
    <row r="733">
      <c r="K733" s="224"/>
    </row>
    <row r="734">
      <c r="K734" s="224"/>
    </row>
    <row r="735">
      <c r="K735" s="224"/>
    </row>
    <row r="736">
      <c r="K736" s="224"/>
    </row>
    <row r="737">
      <c r="K737" s="224"/>
    </row>
    <row r="738">
      <c r="K738" s="224"/>
    </row>
    <row r="739">
      <c r="K739" s="224"/>
    </row>
    <row r="740">
      <c r="K740" s="224"/>
    </row>
    <row r="741">
      <c r="K741" s="224"/>
    </row>
    <row r="742">
      <c r="K742" s="224"/>
    </row>
    <row r="743">
      <c r="K743" s="224"/>
    </row>
    <row r="744">
      <c r="K744" s="224"/>
    </row>
    <row r="745">
      <c r="K745" s="224"/>
    </row>
    <row r="746">
      <c r="K746" s="224"/>
    </row>
    <row r="747">
      <c r="K747" s="224"/>
    </row>
    <row r="748">
      <c r="K748" s="224"/>
    </row>
    <row r="749">
      <c r="K749" s="224"/>
    </row>
    <row r="750">
      <c r="K750" s="224"/>
    </row>
    <row r="751">
      <c r="K751" s="224"/>
    </row>
    <row r="752">
      <c r="K752" s="224"/>
    </row>
    <row r="753">
      <c r="K753" s="224"/>
    </row>
    <row r="754">
      <c r="K754" s="224"/>
    </row>
    <row r="755">
      <c r="K755" s="224"/>
    </row>
    <row r="756">
      <c r="K756" s="224"/>
    </row>
    <row r="757">
      <c r="K757" s="224"/>
    </row>
    <row r="758">
      <c r="K758" s="224"/>
    </row>
    <row r="759">
      <c r="K759" s="224"/>
    </row>
    <row r="760">
      <c r="K760" s="224"/>
    </row>
    <row r="761">
      <c r="K761" s="224"/>
    </row>
    <row r="762">
      <c r="K762" s="224"/>
    </row>
    <row r="763">
      <c r="K763" s="224"/>
    </row>
    <row r="764">
      <c r="K764" s="224"/>
    </row>
    <row r="765">
      <c r="K765" s="224"/>
    </row>
    <row r="766">
      <c r="K766" s="224"/>
    </row>
    <row r="767">
      <c r="K767" s="224"/>
    </row>
    <row r="768">
      <c r="K768" s="224"/>
    </row>
    <row r="769">
      <c r="K769" s="224"/>
    </row>
    <row r="770">
      <c r="K770" s="224"/>
    </row>
    <row r="771">
      <c r="K771" s="224"/>
    </row>
    <row r="772">
      <c r="K772" s="224"/>
    </row>
    <row r="773">
      <c r="K773" s="224"/>
    </row>
    <row r="774">
      <c r="K774" s="224"/>
    </row>
    <row r="775">
      <c r="K775" s="224"/>
    </row>
    <row r="776">
      <c r="K776" s="224"/>
    </row>
    <row r="777">
      <c r="K777" s="224"/>
    </row>
    <row r="778">
      <c r="K778" s="224"/>
    </row>
    <row r="779">
      <c r="K779" s="224"/>
    </row>
    <row r="780">
      <c r="K780" s="224"/>
    </row>
    <row r="781">
      <c r="K781" s="224"/>
    </row>
    <row r="782">
      <c r="K782" s="224"/>
    </row>
    <row r="783">
      <c r="K783" s="224"/>
    </row>
    <row r="784">
      <c r="K784" s="224"/>
    </row>
    <row r="785">
      <c r="K785" s="224"/>
    </row>
    <row r="786">
      <c r="K786" s="224"/>
    </row>
    <row r="787">
      <c r="K787" s="224"/>
    </row>
    <row r="788">
      <c r="K788" s="224"/>
    </row>
    <row r="789">
      <c r="K789" s="224"/>
    </row>
    <row r="790">
      <c r="K790" s="224"/>
    </row>
    <row r="791">
      <c r="K791" s="224"/>
    </row>
    <row r="792">
      <c r="K792" s="224"/>
    </row>
    <row r="793">
      <c r="K793" s="224"/>
    </row>
    <row r="794">
      <c r="K794" s="224"/>
    </row>
    <row r="795">
      <c r="K795" s="224"/>
    </row>
    <row r="796">
      <c r="K796" s="224"/>
    </row>
    <row r="797">
      <c r="K797" s="224"/>
    </row>
    <row r="798">
      <c r="K798" s="224"/>
    </row>
    <row r="799">
      <c r="K799" s="224"/>
    </row>
    <row r="800">
      <c r="K800" s="224"/>
    </row>
    <row r="801">
      <c r="K801" s="224"/>
    </row>
    <row r="802">
      <c r="K802" s="224"/>
    </row>
    <row r="803">
      <c r="K803" s="224"/>
    </row>
    <row r="804">
      <c r="K804" s="224"/>
    </row>
    <row r="805">
      <c r="K805" s="224"/>
    </row>
    <row r="806">
      <c r="K806" s="224"/>
    </row>
    <row r="807">
      <c r="K807" s="224"/>
    </row>
    <row r="808">
      <c r="K808" s="224"/>
    </row>
    <row r="809">
      <c r="K809" s="224"/>
    </row>
    <row r="810">
      <c r="K810" s="224"/>
    </row>
    <row r="811">
      <c r="K811" s="224"/>
    </row>
    <row r="812">
      <c r="K812" s="224"/>
    </row>
    <row r="813">
      <c r="K813" s="224"/>
    </row>
    <row r="814">
      <c r="K814" s="224"/>
    </row>
    <row r="815">
      <c r="K815" s="224"/>
    </row>
    <row r="816">
      <c r="K816" s="224"/>
    </row>
    <row r="817">
      <c r="K817" s="224"/>
    </row>
    <row r="818">
      <c r="K818" s="224"/>
    </row>
    <row r="819">
      <c r="K819" s="224"/>
    </row>
    <row r="820">
      <c r="K820" s="224"/>
    </row>
    <row r="821">
      <c r="K821" s="224"/>
    </row>
    <row r="822">
      <c r="K822" s="224"/>
    </row>
    <row r="823">
      <c r="K823" s="224"/>
    </row>
    <row r="824">
      <c r="K824" s="224"/>
    </row>
    <row r="825">
      <c r="K825" s="224"/>
    </row>
    <row r="826">
      <c r="K826" s="224"/>
    </row>
    <row r="827">
      <c r="K827" s="224"/>
    </row>
    <row r="828">
      <c r="K828" s="224"/>
    </row>
    <row r="829">
      <c r="K829" s="224"/>
    </row>
    <row r="830">
      <c r="K830" s="224"/>
    </row>
    <row r="831">
      <c r="K831" s="224"/>
    </row>
    <row r="832">
      <c r="K832" s="224"/>
    </row>
    <row r="833">
      <c r="K833" s="224"/>
    </row>
    <row r="834">
      <c r="K834" s="224"/>
    </row>
    <row r="835">
      <c r="K835" s="224"/>
    </row>
    <row r="836">
      <c r="K836" s="224"/>
    </row>
    <row r="837">
      <c r="K837" s="224"/>
    </row>
    <row r="838">
      <c r="K838" s="224"/>
    </row>
    <row r="839">
      <c r="K839" s="224"/>
    </row>
    <row r="840">
      <c r="K840" s="224"/>
    </row>
    <row r="841">
      <c r="K841" s="224"/>
    </row>
    <row r="842">
      <c r="K842" s="224"/>
    </row>
    <row r="843">
      <c r="K843" s="224"/>
    </row>
    <row r="844">
      <c r="K844" s="224"/>
    </row>
    <row r="845">
      <c r="K845" s="224"/>
    </row>
    <row r="846">
      <c r="K846" s="224"/>
    </row>
    <row r="847">
      <c r="K847" s="224"/>
    </row>
    <row r="848">
      <c r="K848" s="224"/>
    </row>
    <row r="849">
      <c r="K849" s="224"/>
    </row>
    <row r="850">
      <c r="K850" s="224"/>
    </row>
    <row r="851">
      <c r="K851" s="224"/>
    </row>
    <row r="852">
      <c r="K852" s="224"/>
    </row>
    <row r="853">
      <c r="K853" s="224"/>
    </row>
    <row r="854">
      <c r="K854" s="224"/>
    </row>
    <row r="855">
      <c r="K855" s="224"/>
    </row>
    <row r="856">
      <c r="K856" s="224"/>
    </row>
    <row r="857">
      <c r="K857" s="224"/>
    </row>
    <row r="858">
      <c r="K858" s="224"/>
    </row>
    <row r="859">
      <c r="K859" s="224"/>
    </row>
    <row r="860">
      <c r="K860" s="224"/>
    </row>
    <row r="861">
      <c r="K861" s="224"/>
    </row>
    <row r="862">
      <c r="K862" s="224"/>
    </row>
    <row r="863">
      <c r="K863" s="224"/>
    </row>
    <row r="864">
      <c r="K864" s="224"/>
    </row>
    <row r="865">
      <c r="K865" s="224"/>
    </row>
    <row r="866">
      <c r="K866" s="224"/>
    </row>
    <row r="867">
      <c r="K867" s="224"/>
    </row>
    <row r="868">
      <c r="K868" s="224"/>
    </row>
    <row r="869">
      <c r="K869" s="224"/>
    </row>
    <row r="870">
      <c r="K870" s="224"/>
    </row>
    <row r="871">
      <c r="K871" s="224"/>
    </row>
    <row r="872">
      <c r="K872" s="224"/>
    </row>
    <row r="873">
      <c r="K873" s="224"/>
    </row>
    <row r="874">
      <c r="K874" s="224"/>
    </row>
    <row r="875">
      <c r="K875" s="224"/>
    </row>
    <row r="876">
      <c r="K876" s="224"/>
    </row>
    <row r="877">
      <c r="K877" s="224"/>
    </row>
    <row r="878">
      <c r="K878" s="224"/>
    </row>
    <row r="879">
      <c r="K879" s="224"/>
    </row>
    <row r="880">
      <c r="K880" s="224"/>
    </row>
    <row r="881">
      <c r="K881" s="224"/>
    </row>
    <row r="882">
      <c r="K882" s="224"/>
    </row>
    <row r="883">
      <c r="K883" s="224"/>
    </row>
    <row r="884">
      <c r="K884" s="224"/>
    </row>
    <row r="885">
      <c r="K885" s="224"/>
    </row>
    <row r="886">
      <c r="K886" s="224"/>
    </row>
    <row r="887">
      <c r="K887" s="224"/>
    </row>
    <row r="888">
      <c r="K888" s="224"/>
    </row>
    <row r="889">
      <c r="K889" s="224"/>
    </row>
    <row r="890">
      <c r="K890" s="224"/>
    </row>
    <row r="891">
      <c r="K891" s="224"/>
    </row>
    <row r="892">
      <c r="K892" s="224"/>
    </row>
    <row r="893">
      <c r="K893" s="224"/>
    </row>
    <row r="894">
      <c r="K894" s="224"/>
    </row>
    <row r="895">
      <c r="K895" s="224"/>
    </row>
    <row r="896">
      <c r="K896" s="224"/>
    </row>
    <row r="897">
      <c r="K897" s="224"/>
    </row>
    <row r="898">
      <c r="K898" s="224"/>
    </row>
    <row r="899">
      <c r="K899" s="224"/>
    </row>
    <row r="900">
      <c r="K900" s="224"/>
    </row>
    <row r="901">
      <c r="K901" s="224"/>
    </row>
    <row r="902">
      <c r="K902" s="224"/>
    </row>
    <row r="903">
      <c r="K903" s="224"/>
    </row>
    <row r="904">
      <c r="K904" s="224"/>
    </row>
    <row r="905">
      <c r="K905" s="224"/>
    </row>
    <row r="906">
      <c r="K906" s="224"/>
    </row>
    <row r="907">
      <c r="K907" s="224"/>
    </row>
    <row r="908">
      <c r="K908" s="224"/>
    </row>
    <row r="909">
      <c r="K909" s="224"/>
    </row>
    <row r="910">
      <c r="K910" s="224"/>
    </row>
    <row r="911">
      <c r="K911" s="224"/>
    </row>
    <row r="912">
      <c r="K912" s="224"/>
    </row>
    <row r="913">
      <c r="K913" s="224"/>
    </row>
    <row r="914">
      <c r="K914" s="224"/>
    </row>
    <row r="915">
      <c r="K915" s="224"/>
    </row>
    <row r="916">
      <c r="K916" s="224"/>
    </row>
    <row r="917">
      <c r="K917" s="224"/>
    </row>
    <row r="918">
      <c r="K918" s="224"/>
    </row>
    <row r="919">
      <c r="K919" s="224"/>
    </row>
    <row r="920">
      <c r="K920" s="224"/>
    </row>
    <row r="921">
      <c r="K921" s="224"/>
    </row>
    <row r="922">
      <c r="K922" s="224"/>
    </row>
    <row r="923">
      <c r="K923" s="224"/>
    </row>
    <row r="924">
      <c r="K924" s="224"/>
    </row>
    <row r="925">
      <c r="K925" s="224"/>
    </row>
    <row r="926">
      <c r="K926" s="224"/>
    </row>
    <row r="927">
      <c r="K927" s="224"/>
    </row>
    <row r="928">
      <c r="K928" s="224"/>
    </row>
    <row r="929">
      <c r="K929" s="224"/>
    </row>
    <row r="930">
      <c r="K930" s="224"/>
    </row>
    <row r="931">
      <c r="K931" s="224"/>
    </row>
    <row r="932">
      <c r="K932" s="224"/>
    </row>
    <row r="933">
      <c r="K933" s="224"/>
    </row>
    <row r="934">
      <c r="K934" s="224"/>
    </row>
    <row r="935">
      <c r="K935" s="224"/>
    </row>
    <row r="936">
      <c r="K936" s="224"/>
    </row>
    <row r="937">
      <c r="K937" s="224"/>
    </row>
    <row r="938">
      <c r="K938" s="224"/>
    </row>
    <row r="939">
      <c r="K939" s="224"/>
    </row>
    <row r="940">
      <c r="K940" s="224"/>
    </row>
    <row r="941">
      <c r="K941" s="224"/>
    </row>
    <row r="942">
      <c r="K942" s="224"/>
    </row>
    <row r="943">
      <c r="K943" s="224"/>
    </row>
    <row r="944">
      <c r="K944" s="224"/>
    </row>
    <row r="945">
      <c r="K945" s="224"/>
    </row>
    <row r="946">
      <c r="K946" s="224"/>
    </row>
    <row r="947">
      <c r="K947" s="224"/>
    </row>
    <row r="948">
      <c r="K948" s="224"/>
    </row>
    <row r="949">
      <c r="K949" s="224"/>
    </row>
    <row r="950">
      <c r="K950" s="224"/>
    </row>
    <row r="951">
      <c r="K951" s="224"/>
    </row>
    <row r="952">
      <c r="K952" s="224"/>
    </row>
    <row r="953">
      <c r="K953" s="224"/>
    </row>
    <row r="954">
      <c r="K954" s="224"/>
    </row>
    <row r="955">
      <c r="K955" s="224"/>
    </row>
    <row r="956">
      <c r="K956" s="224"/>
    </row>
    <row r="957">
      <c r="K957" s="224"/>
    </row>
    <row r="958">
      <c r="K958" s="224"/>
    </row>
    <row r="959">
      <c r="K959" s="224"/>
    </row>
    <row r="960">
      <c r="K960" s="224"/>
    </row>
    <row r="961">
      <c r="K961" s="224"/>
    </row>
    <row r="962">
      <c r="K962" s="224"/>
    </row>
    <row r="963">
      <c r="K963" s="224"/>
    </row>
    <row r="964">
      <c r="K964" s="224"/>
    </row>
    <row r="965">
      <c r="K965" s="224"/>
    </row>
    <row r="966">
      <c r="K966" s="224"/>
    </row>
    <row r="967">
      <c r="K967" s="224"/>
    </row>
    <row r="968">
      <c r="K968" s="224"/>
    </row>
    <row r="969">
      <c r="K969" s="224"/>
    </row>
    <row r="970">
      <c r="K970" s="224"/>
    </row>
    <row r="971">
      <c r="K971" s="224"/>
    </row>
    <row r="972">
      <c r="K972" s="224"/>
    </row>
    <row r="973">
      <c r="K973" s="224"/>
    </row>
    <row r="974">
      <c r="K974" s="224"/>
    </row>
    <row r="975">
      <c r="K975" s="224"/>
    </row>
    <row r="976">
      <c r="K976" s="224"/>
    </row>
    <row r="977">
      <c r="K977" s="224"/>
    </row>
    <row r="978">
      <c r="K978" s="224"/>
    </row>
    <row r="979">
      <c r="K979" s="224"/>
    </row>
    <row r="980">
      <c r="K980" s="224"/>
    </row>
    <row r="981">
      <c r="K981" s="224"/>
    </row>
    <row r="982">
      <c r="K982" s="224"/>
    </row>
    <row r="983">
      <c r="K983" s="224"/>
    </row>
    <row r="984">
      <c r="K984" s="224"/>
    </row>
    <row r="985">
      <c r="K985" s="224"/>
    </row>
    <row r="986">
      <c r="K986" s="224"/>
    </row>
    <row r="987">
      <c r="K987" s="224"/>
    </row>
    <row r="988">
      <c r="K988" s="224"/>
    </row>
    <row r="989">
      <c r="K989" s="224"/>
    </row>
    <row r="990">
      <c r="K990" s="224"/>
    </row>
    <row r="991">
      <c r="K991" s="224"/>
    </row>
    <row r="992">
      <c r="K992" s="224"/>
    </row>
    <row r="993">
      <c r="K993" s="224"/>
    </row>
    <row r="994">
      <c r="K994" s="224"/>
    </row>
    <row r="995">
      <c r="K995" s="224"/>
    </row>
    <row r="996">
      <c r="K996" s="224"/>
    </row>
    <row r="997">
      <c r="K997" s="224"/>
    </row>
    <row r="998">
      <c r="K998" s="224"/>
    </row>
    <row r="999">
      <c r="K999" s="224"/>
    </row>
    <row r="1000">
      <c r="K1000" s="22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5" t="s">
        <v>2</v>
      </c>
      <c r="D1" s="15" t="s">
        <v>3</v>
      </c>
      <c r="E1" s="15" t="s">
        <v>4</v>
      </c>
      <c r="F1" s="15" t="s">
        <v>6</v>
      </c>
      <c r="G1" s="225" t="s">
        <v>3535</v>
      </c>
      <c r="H1" s="11" t="s">
        <v>9</v>
      </c>
      <c r="I1" s="11" t="s">
        <v>10</v>
      </c>
      <c r="J1" s="11" t="s">
        <v>11</v>
      </c>
      <c r="K1" s="11" t="s">
        <v>12</v>
      </c>
      <c r="L1" s="12" t="s">
        <v>13</v>
      </c>
      <c r="M1" s="13" t="s">
        <v>14</v>
      </c>
      <c r="N1" s="226"/>
      <c r="O1" s="226"/>
    </row>
    <row r="2">
      <c r="A2" s="20" t="s">
        <v>116</v>
      </c>
      <c r="B2" s="20" t="s">
        <v>291</v>
      </c>
      <c r="C2" s="21">
        <v>1323.0</v>
      </c>
      <c r="D2" s="22" t="str">
        <f t="shared" ref="D2:D87" si="1">ifs(isblank(O2),"General",O2&lt;19,"Youth",O2&gt;18,"General")</f>
        <v>General</v>
      </c>
      <c r="E2" s="23" t="str">
        <f t="shared" ref="E2:E124" si="2">IF(G2&gt;TODAY(), "Active","Lapsed")</f>
        <v>Lapsed</v>
      </c>
      <c r="F2" s="25">
        <v>45827.0</v>
      </c>
      <c r="G2" s="227">
        <v>46022.0</v>
      </c>
      <c r="H2" s="228" t="s">
        <v>292</v>
      </c>
      <c r="I2" s="29" t="s">
        <v>42</v>
      </c>
      <c r="J2" s="30" t="s">
        <v>35</v>
      </c>
      <c r="K2" s="42" t="s">
        <v>293</v>
      </c>
      <c r="L2" s="51" t="s">
        <v>3536</v>
      </c>
      <c r="M2" s="40">
        <v>4.049166523E9</v>
      </c>
      <c r="T2" s="229"/>
    </row>
    <row r="3">
      <c r="A3" s="20" t="s">
        <v>295</v>
      </c>
      <c r="B3" s="20" t="s">
        <v>296</v>
      </c>
      <c r="C3" s="21">
        <v>1322.0</v>
      </c>
      <c r="D3" s="22" t="str">
        <f t="shared" si="1"/>
        <v>General</v>
      </c>
      <c r="E3" s="23" t="str">
        <f t="shared" si="2"/>
        <v>Lapsed</v>
      </c>
      <c r="F3" s="25">
        <v>45817.0</v>
      </c>
      <c r="G3" s="227">
        <v>46022.0</v>
      </c>
      <c r="H3" s="29" t="s">
        <v>297</v>
      </c>
      <c r="I3" s="29" t="s">
        <v>298</v>
      </c>
      <c r="J3" s="30" t="s">
        <v>35</v>
      </c>
      <c r="K3" s="42" t="s">
        <v>299</v>
      </c>
      <c r="L3" s="230" t="s">
        <v>300</v>
      </c>
      <c r="M3" s="54" t="s">
        <v>301</v>
      </c>
      <c r="T3" s="229"/>
    </row>
    <row r="4">
      <c r="A4" s="20" t="s">
        <v>302</v>
      </c>
      <c r="B4" s="20" t="s">
        <v>303</v>
      </c>
      <c r="C4" s="21">
        <v>1321.0</v>
      </c>
      <c r="D4" s="22" t="str">
        <f t="shared" si="1"/>
        <v>General</v>
      </c>
      <c r="E4" s="23" t="str">
        <f t="shared" si="2"/>
        <v>Lapsed</v>
      </c>
      <c r="F4" s="25">
        <v>45817.0</v>
      </c>
      <c r="G4" s="227">
        <v>46022.0</v>
      </c>
      <c r="H4" s="29" t="s">
        <v>304</v>
      </c>
      <c r="I4" s="29" t="s">
        <v>305</v>
      </c>
      <c r="J4" s="30" t="s">
        <v>35</v>
      </c>
      <c r="K4" s="42" t="s">
        <v>306</v>
      </c>
      <c r="L4" s="230" t="s">
        <v>307</v>
      </c>
      <c r="M4" s="54"/>
      <c r="T4" s="229"/>
    </row>
    <row r="5">
      <c r="A5" s="20" t="s">
        <v>308</v>
      </c>
      <c r="B5" s="20" t="s">
        <v>309</v>
      </c>
      <c r="C5" s="21">
        <v>1320.0</v>
      </c>
      <c r="D5" s="22" t="str">
        <f t="shared" si="1"/>
        <v>General</v>
      </c>
      <c r="E5" s="23" t="str">
        <f t="shared" si="2"/>
        <v>Lapsed</v>
      </c>
      <c r="F5" s="25">
        <v>45817.0</v>
      </c>
      <c r="G5" s="227">
        <v>46022.0</v>
      </c>
      <c r="H5" s="29" t="s">
        <v>310</v>
      </c>
      <c r="I5" s="29" t="s">
        <v>190</v>
      </c>
      <c r="J5" s="30" t="s">
        <v>35</v>
      </c>
      <c r="K5" s="42" t="s">
        <v>311</v>
      </c>
      <c r="L5" s="230"/>
      <c r="M5" s="54" t="s">
        <v>312</v>
      </c>
      <c r="T5" s="229"/>
    </row>
    <row r="6">
      <c r="A6" s="20" t="s">
        <v>313</v>
      </c>
      <c r="B6" s="20" t="s">
        <v>314</v>
      </c>
      <c r="C6" s="21">
        <v>1319.0</v>
      </c>
      <c r="D6" s="22" t="str">
        <f t="shared" si="1"/>
        <v>General</v>
      </c>
      <c r="E6" s="23" t="str">
        <f t="shared" si="2"/>
        <v>Lapsed</v>
      </c>
      <c r="F6" s="25">
        <v>45817.0</v>
      </c>
      <c r="G6" s="227">
        <v>46022.0</v>
      </c>
      <c r="H6" s="29" t="s">
        <v>315</v>
      </c>
      <c r="I6" s="29" t="s">
        <v>89</v>
      </c>
      <c r="J6" s="30" t="s">
        <v>35</v>
      </c>
      <c r="K6" s="42" t="s">
        <v>90</v>
      </c>
      <c r="L6" s="230" t="s">
        <v>316</v>
      </c>
      <c r="M6" s="54" t="s">
        <v>317</v>
      </c>
      <c r="T6" s="229"/>
    </row>
    <row r="7">
      <c r="A7" s="20" t="s">
        <v>318</v>
      </c>
      <c r="B7" s="20" t="s">
        <v>314</v>
      </c>
      <c r="C7" s="21">
        <v>1318.0</v>
      </c>
      <c r="D7" s="22" t="str">
        <f t="shared" si="1"/>
        <v>General</v>
      </c>
      <c r="E7" s="23" t="str">
        <f t="shared" si="2"/>
        <v>Lapsed</v>
      </c>
      <c r="F7" s="25">
        <v>45817.0</v>
      </c>
      <c r="G7" s="227">
        <v>46022.0</v>
      </c>
      <c r="H7" s="29" t="s">
        <v>315</v>
      </c>
      <c r="I7" s="29" t="s">
        <v>89</v>
      </c>
      <c r="J7" s="30" t="s">
        <v>35</v>
      </c>
      <c r="K7" s="42" t="s">
        <v>90</v>
      </c>
      <c r="L7" s="230" t="s">
        <v>316</v>
      </c>
      <c r="M7" s="54" t="s">
        <v>317</v>
      </c>
      <c r="T7" s="229"/>
    </row>
    <row r="8">
      <c r="A8" s="20" t="s">
        <v>319</v>
      </c>
      <c r="B8" s="20" t="s">
        <v>320</v>
      </c>
      <c r="C8" s="21">
        <v>1317.0</v>
      </c>
      <c r="D8" s="22" t="str">
        <f t="shared" si="1"/>
        <v>General</v>
      </c>
      <c r="E8" s="23" t="str">
        <f t="shared" si="2"/>
        <v>Lapsed</v>
      </c>
      <c r="F8" s="25">
        <v>45817.0</v>
      </c>
      <c r="G8" s="227">
        <v>46022.0</v>
      </c>
      <c r="H8" s="29" t="s">
        <v>321</v>
      </c>
      <c r="I8" s="29" t="s">
        <v>322</v>
      </c>
      <c r="J8" s="30" t="s">
        <v>35</v>
      </c>
      <c r="K8" s="42" t="s">
        <v>323</v>
      </c>
      <c r="L8" s="230" t="s">
        <v>324</v>
      </c>
      <c r="M8" s="54" t="s">
        <v>325</v>
      </c>
      <c r="T8" s="229"/>
    </row>
    <row r="9">
      <c r="A9" s="20" t="s">
        <v>326</v>
      </c>
      <c r="B9" s="20" t="s">
        <v>327</v>
      </c>
      <c r="C9" s="21">
        <v>1316.0</v>
      </c>
      <c r="D9" s="22" t="str">
        <f t="shared" si="1"/>
        <v>General</v>
      </c>
      <c r="E9" s="23" t="str">
        <f t="shared" si="2"/>
        <v>Lapsed</v>
      </c>
      <c r="F9" s="25">
        <v>45817.0</v>
      </c>
      <c r="G9" s="227">
        <v>46022.0</v>
      </c>
      <c r="H9" s="29" t="s">
        <v>328</v>
      </c>
      <c r="I9" s="29" t="s">
        <v>329</v>
      </c>
      <c r="J9" s="30" t="s">
        <v>35</v>
      </c>
      <c r="K9" s="42" t="s">
        <v>330</v>
      </c>
      <c r="L9" s="230" t="s">
        <v>331</v>
      </c>
      <c r="M9" s="54" t="s">
        <v>332</v>
      </c>
      <c r="T9" s="229"/>
    </row>
    <row r="10">
      <c r="A10" s="20" t="s">
        <v>333</v>
      </c>
      <c r="B10" s="20" t="s">
        <v>334</v>
      </c>
      <c r="C10" s="21">
        <v>1315.0</v>
      </c>
      <c r="D10" s="22" t="str">
        <f t="shared" si="1"/>
        <v>General</v>
      </c>
      <c r="E10" s="23" t="str">
        <f t="shared" si="2"/>
        <v>Lapsed</v>
      </c>
      <c r="F10" s="25">
        <v>45817.0</v>
      </c>
      <c r="G10" s="227">
        <v>46022.0</v>
      </c>
      <c r="H10" s="29" t="s">
        <v>335</v>
      </c>
      <c r="I10" s="29" t="s">
        <v>305</v>
      </c>
      <c r="J10" s="30" t="s">
        <v>35</v>
      </c>
      <c r="K10" s="42" t="s">
        <v>306</v>
      </c>
      <c r="L10" s="230" t="s">
        <v>336</v>
      </c>
      <c r="M10" s="54" t="s">
        <v>337</v>
      </c>
      <c r="N10" s="231"/>
      <c r="T10" s="229"/>
    </row>
    <row r="11">
      <c r="A11" s="20" t="s">
        <v>338</v>
      </c>
      <c r="B11" s="20" t="s">
        <v>339</v>
      </c>
      <c r="C11" s="21">
        <v>1314.0</v>
      </c>
      <c r="D11" s="22" t="str">
        <f t="shared" si="1"/>
        <v>General</v>
      </c>
      <c r="E11" s="23" t="str">
        <f t="shared" si="2"/>
        <v>Lapsed</v>
      </c>
      <c r="F11" s="25">
        <v>45817.0</v>
      </c>
      <c r="G11" s="227">
        <v>46022.0</v>
      </c>
      <c r="H11" s="29" t="s">
        <v>340</v>
      </c>
      <c r="I11" s="29" t="s">
        <v>341</v>
      </c>
      <c r="J11" s="30" t="s">
        <v>342</v>
      </c>
      <c r="K11" s="42" t="s">
        <v>343</v>
      </c>
      <c r="L11" s="230" t="s">
        <v>344</v>
      </c>
      <c r="M11" s="54" t="s">
        <v>345</v>
      </c>
      <c r="T11" s="229"/>
    </row>
    <row r="12">
      <c r="A12" s="20" t="s">
        <v>346</v>
      </c>
      <c r="B12" s="20" t="s">
        <v>347</v>
      </c>
      <c r="C12" s="21">
        <v>1313.0</v>
      </c>
      <c r="D12" s="22" t="str">
        <f t="shared" si="1"/>
        <v>General</v>
      </c>
      <c r="E12" s="23" t="str">
        <f t="shared" si="2"/>
        <v>Lapsed</v>
      </c>
      <c r="F12" s="25">
        <v>45817.0</v>
      </c>
      <c r="G12" s="227">
        <v>46022.0</v>
      </c>
      <c r="H12" s="29" t="s">
        <v>348</v>
      </c>
      <c r="I12" s="29" t="s">
        <v>243</v>
      </c>
      <c r="J12" s="30" t="s">
        <v>244</v>
      </c>
      <c r="K12" s="42" t="s">
        <v>245</v>
      </c>
      <c r="L12" s="230" t="s">
        <v>349</v>
      </c>
      <c r="M12" s="54" t="s">
        <v>350</v>
      </c>
      <c r="T12" s="229"/>
    </row>
    <row r="13">
      <c r="A13" s="20" t="s">
        <v>351</v>
      </c>
      <c r="B13" s="20" t="s">
        <v>352</v>
      </c>
      <c r="C13" s="21">
        <v>1312.0</v>
      </c>
      <c r="D13" s="22" t="str">
        <f t="shared" si="1"/>
        <v>General</v>
      </c>
      <c r="E13" s="23" t="str">
        <f t="shared" si="2"/>
        <v>Lapsed</v>
      </c>
      <c r="F13" s="25">
        <v>45817.0</v>
      </c>
      <c r="G13" s="227">
        <v>46022.0</v>
      </c>
      <c r="H13" s="29" t="s">
        <v>353</v>
      </c>
      <c r="I13" s="29" t="s">
        <v>354</v>
      </c>
      <c r="J13" s="30" t="s">
        <v>244</v>
      </c>
      <c r="K13" s="42" t="s">
        <v>355</v>
      </c>
      <c r="L13" s="230" t="s">
        <v>356</v>
      </c>
      <c r="M13" s="54" t="s">
        <v>357</v>
      </c>
      <c r="T13" s="229"/>
    </row>
    <row r="14">
      <c r="A14" s="20" t="s">
        <v>358</v>
      </c>
      <c r="B14" s="20" t="s">
        <v>352</v>
      </c>
      <c r="C14" s="21">
        <v>1311.0</v>
      </c>
      <c r="D14" s="22" t="str">
        <f t="shared" si="1"/>
        <v>General</v>
      </c>
      <c r="E14" s="23" t="str">
        <f t="shared" si="2"/>
        <v>Lapsed</v>
      </c>
      <c r="F14" s="25">
        <v>45817.0</v>
      </c>
      <c r="G14" s="227">
        <v>46022.0</v>
      </c>
      <c r="H14" s="29" t="s">
        <v>353</v>
      </c>
      <c r="I14" s="29" t="s">
        <v>354</v>
      </c>
      <c r="J14" s="30" t="s">
        <v>244</v>
      </c>
      <c r="K14" s="42" t="s">
        <v>355</v>
      </c>
      <c r="L14" s="230" t="s">
        <v>356</v>
      </c>
      <c r="M14" s="54" t="s">
        <v>357</v>
      </c>
      <c r="T14" s="229"/>
    </row>
    <row r="15">
      <c r="A15" s="20" t="s">
        <v>56</v>
      </c>
      <c r="B15" s="20" t="s">
        <v>359</v>
      </c>
      <c r="C15" s="21">
        <v>1310.0</v>
      </c>
      <c r="D15" s="22" t="str">
        <f t="shared" si="1"/>
        <v>General</v>
      </c>
      <c r="E15" s="23" t="str">
        <f t="shared" si="2"/>
        <v>Lapsed</v>
      </c>
      <c r="F15" s="25">
        <v>45817.0</v>
      </c>
      <c r="G15" s="227">
        <v>46022.0</v>
      </c>
      <c r="H15" s="29" t="s">
        <v>360</v>
      </c>
      <c r="I15" s="29" t="s">
        <v>190</v>
      </c>
      <c r="J15" s="30" t="s">
        <v>35</v>
      </c>
      <c r="K15" s="42" t="s">
        <v>191</v>
      </c>
      <c r="L15" s="230" t="s">
        <v>361</v>
      </c>
      <c r="M15" s="54" t="s">
        <v>362</v>
      </c>
      <c r="T15" s="229"/>
    </row>
    <row r="16">
      <c r="A16" s="20" t="s">
        <v>363</v>
      </c>
      <c r="B16" s="20" t="s">
        <v>364</v>
      </c>
      <c r="C16" s="21">
        <v>1309.0</v>
      </c>
      <c r="D16" s="22" t="str">
        <f t="shared" si="1"/>
        <v>General</v>
      </c>
      <c r="E16" s="23" t="str">
        <f t="shared" si="2"/>
        <v>Lapsed</v>
      </c>
      <c r="F16" s="25">
        <v>45817.0</v>
      </c>
      <c r="G16" s="227">
        <v>46022.0</v>
      </c>
      <c r="H16" s="29" t="s">
        <v>365</v>
      </c>
      <c r="I16" s="29" t="s">
        <v>56</v>
      </c>
      <c r="J16" s="30" t="s">
        <v>57</v>
      </c>
      <c r="K16" s="42" t="s">
        <v>63</v>
      </c>
      <c r="L16" s="230"/>
      <c r="M16" s="54" t="s">
        <v>366</v>
      </c>
      <c r="N16" s="231"/>
      <c r="T16" s="229"/>
    </row>
    <row r="17">
      <c r="A17" s="20" t="s">
        <v>367</v>
      </c>
      <c r="B17" s="20" t="s">
        <v>368</v>
      </c>
      <c r="C17" s="21">
        <v>1308.0</v>
      </c>
      <c r="D17" s="22" t="str">
        <f t="shared" si="1"/>
        <v>General</v>
      </c>
      <c r="E17" s="23" t="str">
        <f t="shared" si="2"/>
        <v>Lapsed</v>
      </c>
      <c r="F17" s="25">
        <v>45817.0</v>
      </c>
      <c r="G17" s="227">
        <v>46022.0</v>
      </c>
      <c r="H17" s="29" t="s">
        <v>369</v>
      </c>
      <c r="I17" s="29" t="s">
        <v>56</v>
      </c>
      <c r="J17" s="30" t="s">
        <v>57</v>
      </c>
      <c r="K17" s="42" t="s">
        <v>58</v>
      </c>
      <c r="L17" s="230" t="s">
        <v>370</v>
      </c>
      <c r="M17" s="54" t="s">
        <v>371</v>
      </c>
      <c r="T17" s="229"/>
    </row>
    <row r="18">
      <c r="A18" s="20" t="s">
        <v>358</v>
      </c>
      <c r="B18" s="20" t="s">
        <v>372</v>
      </c>
      <c r="C18" s="21">
        <v>1307.0</v>
      </c>
      <c r="D18" s="22" t="str">
        <f t="shared" si="1"/>
        <v>General</v>
      </c>
      <c r="E18" s="23" t="str">
        <f t="shared" si="2"/>
        <v>Lapsed</v>
      </c>
      <c r="F18" s="25">
        <v>45817.0</v>
      </c>
      <c r="G18" s="227">
        <v>46022.0</v>
      </c>
      <c r="H18" s="29" t="s">
        <v>373</v>
      </c>
      <c r="I18" s="29" t="s">
        <v>374</v>
      </c>
      <c r="J18" s="30" t="s">
        <v>35</v>
      </c>
      <c r="K18" s="42" t="s">
        <v>375</v>
      </c>
      <c r="L18" s="230" t="s">
        <v>376</v>
      </c>
      <c r="M18" s="54" t="s">
        <v>377</v>
      </c>
      <c r="N18" s="231"/>
      <c r="T18" s="229"/>
    </row>
    <row r="19">
      <c r="A19" s="20" t="s">
        <v>378</v>
      </c>
      <c r="B19" s="20" t="s">
        <v>372</v>
      </c>
      <c r="C19" s="21">
        <v>1306.0</v>
      </c>
      <c r="D19" s="22" t="str">
        <f t="shared" si="1"/>
        <v>General</v>
      </c>
      <c r="E19" s="23" t="str">
        <f t="shared" si="2"/>
        <v>Lapsed</v>
      </c>
      <c r="F19" s="25">
        <v>45817.0</v>
      </c>
      <c r="G19" s="227">
        <v>46022.0</v>
      </c>
      <c r="H19" s="29" t="s">
        <v>373</v>
      </c>
      <c r="I19" s="29" t="s">
        <v>374</v>
      </c>
      <c r="J19" s="30" t="s">
        <v>35</v>
      </c>
      <c r="K19" s="42" t="s">
        <v>375</v>
      </c>
      <c r="L19" s="230" t="s">
        <v>376</v>
      </c>
      <c r="M19" s="54" t="s">
        <v>377</v>
      </c>
      <c r="N19" s="231"/>
      <c r="T19" s="229"/>
    </row>
    <row r="20">
      <c r="A20" s="20" t="s">
        <v>379</v>
      </c>
      <c r="B20" s="20" t="s">
        <v>372</v>
      </c>
      <c r="C20" s="21">
        <v>1305.0</v>
      </c>
      <c r="D20" s="22" t="str">
        <f t="shared" si="1"/>
        <v>General</v>
      </c>
      <c r="E20" s="23" t="str">
        <f t="shared" si="2"/>
        <v>Lapsed</v>
      </c>
      <c r="F20" s="25">
        <v>45817.0</v>
      </c>
      <c r="G20" s="227">
        <v>46022.0</v>
      </c>
      <c r="H20" s="29" t="s">
        <v>373</v>
      </c>
      <c r="I20" s="29" t="s">
        <v>374</v>
      </c>
      <c r="J20" s="30" t="s">
        <v>35</v>
      </c>
      <c r="K20" s="42" t="s">
        <v>375</v>
      </c>
      <c r="L20" s="230" t="s">
        <v>376</v>
      </c>
      <c r="M20" s="54" t="s">
        <v>377</v>
      </c>
      <c r="T20" s="229"/>
    </row>
    <row r="21">
      <c r="A21" s="20" t="s">
        <v>3537</v>
      </c>
      <c r="B21" s="20" t="s">
        <v>1385</v>
      </c>
      <c r="C21" s="21">
        <v>1304.0</v>
      </c>
      <c r="D21" s="22" t="str">
        <f t="shared" si="1"/>
        <v>General</v>
      </c>
      <c r="E21" s="23" t="str">
        <f t="shared" si="2"/>
        <v>Lapsed</v>
      </c>
      <c r="F21" s="25">
        <v>45817.0</v>
      </c>
      <c r="G21" s="227">
        <v>46022.0</v>
      </c>
      <c r="H21" s="29" t="s">
        <v>3538</v>
      </c>
      <c r="I21" s="29" t="s">
        <v>322</v>
      </c>
      <c r="J21" s="30" t="s">
        <v>35</v>
      </c>
      <c r="K21" s="42" t="s">
        <v>402</v>
      </c>
      <c r="L21" s="230"/>
      <c r="M21" s="54"/>
      <c r="T21" s="229"/>
    </row>
    <row r="22">
      <c r="A22" s="20" t="s">
        <v>381</v>
      </c>
      <c r="B22" s="20" t="s">
        <v>382</v>
      </c>
      <c r="C22" s="21">
        <v>1303.0</v>
      </c>
      <c r="D22" s="22" t="str">
        <f t="shared" si="1"/>
        <v>General</v>
      </c>
      <c r="E22" s="23" t="str">
        <f t="shared" si="2"/>
        <v>Lapsed</v>
      </c>
      <c r="F22" s="25">
        <v>45816.0</v>
      </c>
      <c r="G22" s="227">
        <v>46022.0</v>
      </c>
      <c r="H22" s="29" t="s">
        <v>383</v>
      </c>
      <c r="I22" s="29" t="s">
        <v>384</v>
      </c>
      <c r="J22" s="30" t="s">
        <v>35</v>
      </c>
      <c r="K22" s="42" t="s">
        <v>385</v>
      </c>
      <c r="L22" s="230" t="s">
        <v>386</v>
      </c>
      <c r="M22" s="54">
        <v>6.026907409E9</v>
      </c>
      <c r="T22" s="229"/>
    </row>
    <row r="23">
      <c r="A23" s="20" t="s">
        <v>387</v>
      </c>
      <c r="B23" s="20" t="s">
        <v>388</v>
      </c>
      <c r="C23" s="21">
        <v>1302.0</v>
      </c>
      <c r="D23" s="22" t="str">
        <f t="shared" si="1"/>
        <v>General</v>
      </c>
      <c r="E23" s="23" t="str">
        <f t="shared" si="2"/>
        <v>Lapsed</v>
      </c>
      <c r="F23" s="25">
        <v>45812.0</v>
      </c>
      <c r="G23" s="227">
        <v>46022.0</v>
      </c>
      <c r="H23" s="29" t="s">
        <v>389</v>
      </c>
      <c r="I23" s="29" t="s">
        <v>390</v>
      </c>
      <c r="J23" s="30" t="s">
        <v>35</v>
      </c>
      <c r="K23" s="42" t="s">
        <v>391</v>
      </c>
      <c r="L23" s="230" t="s">
        <v>392</v>
      </c>
      <c r="M23" s="54">
        <v>4.062103464E9</v>
      </c>
      <c r="T23" s="229"/>
    </row>
    <row r="24">
      <c r="A24" s="20" t="s">
        <v>393</v>
      </c>
      <c r="B24" s="20" t="s">
        <v>394</v>
      </c>
      <c r="C24" s="21">
        <v>1301.0</v>
      </c>
      <c r="D24" s="22" t="str">
        <f t="shared" si="1"/>
        <v>General</v>
      </c>
      <c r="E24" s="23" t="str">
        <f t="shared" si="2"/>
        <v>Lapsed</v>
      </c>
      <c r="F24" s="25">
        <v>45771.0</v>
      </c>
      <c r="G24" s="227">
        <v>46022.0</v>
      </c>
      <c r="H24" s="29" t="s">
        <v>395</v>
      </c>
      <c r="I24" s="29" t="s">
        <v>396</v>
      </c>
      <c r="J24" s="30" t="s">
        <v>35</v>
      </c>
      <c r="K24" s="42" t="s">
        <v>397</v>
      </c>
      <c r="L24" s="230" t="s">
        <v>398</v>
      </c>
      <c r="M24" s="54">
        <v>9.703311628E9</v>
      </c>
      <c r="T24" s="229"/>
    </row>
    <row r="25">
      <c r="A25" s="20" t="s">
        <v>399</v>
      </c>
      <c r="B25" s="20" t="s">
        <v>400</v>
      </c>
      <c r="C25" s="21">
        <v>1300.0</v>
      </c>
      <c r="D25" s="22" t="str">
        <f t="shared" si="1"/>
        <v>General</v>
      </c>
      <c r="E25" s="23" t="str">
        <f t="shared" si="2"/>
        <v>Lapsed</v>
      </c>
      <c r="F25" s="25">
        <v>45771.0</v>
      </c>
      <c r="G25" s="227">
        <v>46022.0</v>
      </c>
      <c r="H25" s="29" t="s">
        <v>401</v>
      </c>
      <c r="I25" s="29" t="s">
        <v>322</v>
      </c>
      <c r="J25" s="30" t="s">
        <v>35</v>
      </c>
      <c r="K25" s="42" t="s">
        <v>402</v>
      </c>
      <c r="L25" s="230" t="s">
        <v>403</v>
      </c>
      <c r="M25" s="54">
        <v>7.204801306E9</v>
      </c>
      <c r="T25" s="229"/>
    </row>
    <row r="26">
      <c r="A26" s="20" t="s">
        <v>404</v>
      </c>
      <c r="B26" s="20" t="s">
        <v>400</v>
      </c>
      <c r="C26" s="21">
        <v>1299.0</v>
      </c>
      <c r="D26" s="22" t="str">
        <f t="shared" si="1"/>
        <v>General</v>
      </c>
      <c r="E26" s="23" t="str">
        <f t="shared" si="2"/>
        <v>Lapsed</v>
      </c>
      <c r="F26" s="25">
        <v>45771.0</v>
      </c>
      <c r="G26" s="227">
        <v>46022.0</v>
      </c>
      <c r="H26" s="29" t="s">
        <v>401</v>
      </c>
      <c r="I26" s="29" t="s">
        <v>322</v>
      </c>
      <c r="J26" s="30" t="s">
        <v>35</v>
      </c>
      <c r="K26" s="42" t="s">
        <v>402</v>
      </c>
      <c r="L26" s="230" t="s">
        <v>403</v>
      </c>
      <c r="M26" s="54">
        <v>7.204801306E9</v>
      </c>
      <c r="T26" s="229"/>
    </row>
    <row r="27">
      <c r="A27" s="20" t="s">
        <v>351</v>
      </c>
      <c r="B27" s="20" t="s">
        <v>405</v>
      </c>
      <c r="C27" s="21">
        <v>1298.0</v>
      </c>
      <c r="D27" s="22" t="str">
        <f t="shared" si="1"/>
        <v>General</v>
      </c>
      <c r="E27" s="23" t="str">
        <f t="shared" si="2"/>
        <v>Lapsed</v>
      </c>
      <c r="F27" s="25">
        <v>45771.0</v>
      </c>
      <c r="G27" s="227">
        <v>46022.0</v>
      </c>
      <c r="H27" s="29" t="s">
        <v>406</v>
      </c>
      <c r="I27" s="29" t="s">
        <v>3539</v>
      </c>
      <c r="J27" s="30" t="s">
        <v>35</v>
      </c>
      <c r="K27" s="42" t="s">
        <v>408</v>
      </c>
      <c r="L27" s="230" t="s">
        <v>409</v>
      </c>
      <c r="M27" s="54">
        <v>2.488909175E9</v>
      </c>
      <c r="T27" s="229"/>
    </row>
    <row r="28">
      <c r="A28" s="20" t="s">
        <v>53</v>
      </c>
      <c r="B28" s="20" t="s">
        <v>309</v>
      </c>
      <c r="C28" s="21">
        <v>1297.0</v>
      </c>
      <c r="D28" s="22" t="str">
        <f t="shared" si="1"/>
        <v>General</v>
      </c>
      <c r="E28" s="23" t="str">
        <f t="shared" si="2"/>
        <v>Lapsed</v>
      </c>
      <c r="F28" s="25">
        <v>45771.0</v>
      </c>
      <c r="G28" s="227">
        <v>46022.0</v>
      </c>
      <c r="H28" s="29" t="s">
        <v>410</v>
      </c>
      <c r="I28" s="29" t="s">
        <v>190</v>
      </c>
      <c r="J28" s="30" t="s">
        <v>35</v>
      </c>
      <c r="K28" s="42" t="s">
        <v>311</v>
      </c>
      <c r="L28" s="230" t="s">
        <v>411</v>
      </c>
      <c r="M28" s="54">
        <v>9.702948448E9</v>
      </c>
      <c r="T28" s="229"/>
    </row>
    <row r="29">
      <c r="A29" s="20" t="s">
        <v>413</v>
      </c>
      <c r="B29" s="20" t="s">
        <v>414</v>
      </c>
      <c r="C29" s="21">
        <v>1296.0</v>
      </c>
      <c r="D29" s="22" t="str">
        <f t="shared" si="1"/>
        <v>General</v>
      </c>
      <c r="E29" s="23" t="str">
        <f t="shared" si="2"/>
        <v>Lapsed</v>
      </c>
      <c r="F29" s="25">
        <v>45771.0</v>
      </c>
      <c r="G29" s="227">
        <v>46022.0</v>
      </c>
      <c r="H29" s="29" t="s">
        <v>415</v>
      </c>
      <c r="I29" s="29" t="s">
        <v>416</v>
      </c>
      <c r="J29" s="30" t="s">
        <v>35</v>
      </c>
      <c r="K29" s="42" t="s">
        <v>417</v>
      </c>
      <c r="L29" s="230" t="s">
        <v>418</v>
      </c>
      <c r="M29" s="54" t="s">
        <v>419</v>
      </c>
      <c r="T29" s="229"/>
    </row>
    <row r="30">
      <c r="A30" s="20" t="s">
        <v>420</v>
      </c>
      <c r="B30" s="20" t="s">
        <v>421</v>
      </c>
      <c r="C30" s="21">
        <v>1295.0</v>
      </c>
      <c r="D30" s="22" t="str">
        <f t="shared" si="1"/>
        <v>General</v>
      </c>
      <c r="E30" s="23" t="str">
        <f t="shared" si="2"/>
        <v>Lapsed</v>
      </c>
      <c r="F30" s="25">
        <v>45771.0</v>
      </c>
      <c r="G30" s="227">
        <v>46022.0</v>
      </c>
      <c r="H30" s="29" t="s">
        <v>422</v>
      </c>
      <c r="I30" s="29" t="s">
        <v>423</v>
      </c>
      <c r="J30" s="30" t="s">
        <v>35</v>
      </c>
      <c r="K30" s="42" t="s">
        <v>424</v>
      </c>
      <c r="L30" s="230" t="s">
        <v>425</v>
      </c>
      <c r="M30" s="54">
        <v>4.05612094E9</v>
      </c>
      <c r="T30" s="229"/>
    </row>
    <row r="31">
      <c r="A31" s="20" t="s">
        <v>426</v>
      </c>
      <c r="B31" s="20" t="s">
        <v>427</v>
      </c>
      <c r="C31" s="21">
        <v>1294.0</v>
      </c>
      <c r="D31" s="22" t="str">
        <f t="shared" si="1"/>
        <v>General</v>
      </c>
      <c r="E31" s="23" t="str">
        <f t="shared" si="2"/>
        <v>Lapsed</v>
      </c>
      <c r="F31" s="25">
        <v>45771.0</v>
      </c>
      <c r="G31" s="227">
        <v>46022.0</v>
      </c>
      <c r="H31" s="29" t="s">
        <v>428</v>
      </c>
      <c r="I31" s="29" t="s">
        <v>429</v>
      </c>
      <c r="J31" s="30" t="s">
        <v>35</v>
      </c>
      <c r="K31" s="42" t="s">
        <v>430</v>
      </c>
      <c r="L31" s="230" t="s">
        <v>431</v>
      </c>
      <c r="M31" s="54">
        <v>9.706400743E9</v>
      </c>
      <c r="T31" s="229"/>
    </row>
    <row r="32">
      <c r="A32" s="20" t="s">
        <v>432</v>
      </c>
      <c r="B32" s="20" t="s">
        <v>433</v>
      </c>
      <c r="C32" s="21">
        <v>1293.0</v>
      </c>
      <c r="D32" s="22" t="str">
        <f t="shared" si="1"/>
        <v>General</v>
      </c>
      <c r="E32" s="23" t="str">
        <f t="shared" si="2"/>
        <v>Lapsed</v>
      </c>
      <c r="F32" s="25">
        <v>45771.0</v>
      </c>
      <c r="G32" s="227">
        <v>46022.0</v>
      </c>
      <c r="H32" s="29" t="s">
        <v>434</v>
      </c>
      <c r="I32" s="29" t="s">
        <v>435</v>
      </c>
      <c r="J32" s="30" t="s">
        <v>35</v>
      </c>
      <c r="K32" s="42" t="s">
        <v>436</v>
      </c>
      <c r="L32" s="230" t="s">
        <v>437</v>
      </c>
      <c r="M32" s="54">
        <v>9.704098785E9</v>
      </c>
      <c r="T32" s="229"/>
    </row>
    <row r="33">
      <c r="A33" s="20" t="s">
        <v>438</v>
      </c>
      <c r="B33" s="20" t="s">
        <v>439</v>
      </c>
      <c r="C33" s="21">
        <v>1292.0</v>
      </c>
      <c r="D33" s="22" t="str">
        <f t="shared" si="1"/>
        <v>General</v>
      </c>
      <c r="E33" s="23" t="str">
        <f t="shared" si="2"/>
        <v>Lapsed</v>
      </c>
      <c r="F33" s="25">
        <v>45771.0</v>
      </c>
      <c r="G33" s="227">
        <v>46022.0</v>
      </c>
      <c r="H33" s="29" t="s">
        <v>440</v>
      </c>
      <c r="I33" s="29" t="s">
        <v>56</v>
      </c>
      <c r="J33" s="30" t="s">
        <v>57</v>
      </c>
      <c r="K33" s="42" t="s">
        <v>63</v>
      </c>
      <c r="L33" s="230" t="s">
        <v>441</v>
      </c>
      <c r="M33" s="54">
        <v>3.073210238E9</v>
      </c>
      <c r="T33" s="229"/>
    </row>
    <row r="34">
      <c r="A34" s="20" t="s">
        <v>186</v>
      </c>
      <c r="B34" s="20" t="s">
        <v>442</v>
      </c>
      <c r="C34" s="21">
        <v>1291.0</v>
      </c>
      <c r="D34" s="22" t="str">
        <f t="shared" si="1"/>
        <v>General</v>
      </c>
      <c r="E34" s="23" t="str">
        <f t="shared" si="2"/>
        <v>Lapsed</v>
      </c>
      <c r="F34" s="25">
        <v>45771.0</v>
      </c>
      <c r="G34" s="227">
        <v>46022.0</v>
      </c>
      <c r="H34" s="29" t="s">
        <v>443</v>
      </c>
      <c r="I34" s="29" t="s">
        <v>276</v>
      </c>
      <c r="J34" s="30" t="s">
        <v>35</v>
      </c>
      <c r="K34" s="42" t="s">
        <v>277</v>
      </c>
      <c r="L34" s="230" t="s">
        <v>444</v>
      </c>
      <c r="M34" s="54">
        <v>8.602878163E9</v>
      </c>
      <c r="T34" s="229"/>
    </row>
    <row r="35">
      <c r="A35" s="20" t="s">
        <v>445</v>
      </c>
      <c r="B35" s="20" t="s">
        <v>446</v>
      </c>
      <c r="C35" s="21">
        <v>1290.0</v>
      </c>
      <c r="D35" s="22" t="str">
        <f t="shared" si="1"/>
        <v>General</v>
      </c>
      <c r="E35" s="23" t="str">
        <f t="shared" si="2"/>
        <v>Lapsed</v>
      </c>
      <c r="F35" s="25">
        <v>45771.0</v>
      </c>
      <c r="G35" s="227">
        <v>46022.0</v>
      </c>
      <c r="H35" s="28" t="s">
        <v>447</v>
      </c>
      <c r="I35" s="29" t="s">
        <v>448</v>
      </c>
      <c r="J35" s="30" t="s">
        <v>35</v>
      </c>
      <c r="K35" s="31" t="s">
        <v>277</v>
      </c>
      <c r="L35" s="57" t="s">
        <v>449</v>
      </c>
      <c r="M35" s="32">
        <v>9.72420181E9</v>
      </c>
      <c r="T35" s="229"/>
    </row>
    <row r="36">
      <c r="A36" s="20" t="s">
        <v>450</v>
      </c>
      <c r="B36" s="20" t="s">
        <v>451</v>
      </c>
      <c r="C36" s="21">
        <v>1289.0</v>
      </c>
      <c r="D36" s="22" t="str">
        <f t="shared" si="1"/>
        <v>General</v>
      </c>
      <c r="E36" s="23" t="str">
        <f t="shared" si="2"/>
        <v>Lapsed</v>
      </c>
      <c r="F36" s="25">
        <v>45771.0</v>
      </c>
      <c r="G36" s="227">
        <v>46022.0</v>
      </c>
      <c r="H36" s="29" t="s">
        <v>452</v>
      </c>
      <c r="I36" s="29" t="s">
        <v>89</v>
      </c>
      <c r="J36" s="30" t="s">
        <v>35</v>
      </c>
      <c r="K36" s="42" t="s">
        <v>90</v>
      </c>
      <c r="L36" s="230" t="s">
        <v>453</v>
      </c>
      <c r="M36" s="54">
        <v>9.705689022E9</v>
      </c>
      <c r="T36" s="229"/>
    </row>
    <row r="37">
      <c r="A37" s="20" t="s">
        <v>454</v>
      </c>
      <c r="B37" s="20" t="s">
        <v>455</v>
      </c>
      <c r="C37" s="21">
        <v>1288.0</v>
      </c>
      <c r="D37" s="22" t="str">
        <f t="shared" si="1"/>
        <v>General</v>
      </c>
      <c r="E37" s="23" t="str">
        <f t="shared" si="2"/>
        <v>Lapsed</v>
      </c>
      <c r="F37" s="25">
        <v>45771.0</v>
      </c>
      <c r="G37" s="227">
        <v>46022.0</v>
      </c>
      <c r="H37" s="29" t="s">
        <v>456</v>
      </c>
      <c r="I37" s="29" t="s">
        <v>457</v>
      </c>
      <c r="J37" s="30" t="s">
        <v>35</v>
      </c>
      <c r="K37" s="42" t="s">
        <v>458</v>
      </c>
      <c r="L37" s="230" t="s">
        <v>459</v>
      </c>
      <c r="M37" s="54">
        <v>7.194312306E9</v>
      </c>
      <c r="T37" s="229"/>
    </row>
    <row r="38">
      <c r="A38" s="20" t="s">
        <v>279</v>
      </c>
      <c r="B38" s="20" t="s">
        <v>460</v>
      </c>
      <c r="C38" s="21">
        <v>1287.0</v>
      </c>
      <c r="D38" s="22" t="str">
        <f t="shared" si="1"/>
        <v>General</v>
      </c>
      <c r="E38" s="23" t="str">
        <f t="shared" si="2"/>
        <v>Lapsed</v>
      </c>
      <c r="F38" s="25">
        <v>45771.0</v>
      </c>
      <c r="G38" s="227">
        <v>46022.0</v>
      </c>
      <c r="H38" s="29" t="s">
        <v>461</v>
      </c>
      <c r="I38" s="29" t="s">
        <v>276</v>
      </c>
      <c r="J38" s="30" t="s">
        <v>35</v>
      </c>
      <c r="K38" s="42" t="s">
        <v>462</v>
      </c>
      <c r="L38" s="230" t="s">
        <v>463</v>
      </c>
      <c r="M38" s="54">
        <v>3.039078855E9</v>
      </c>
      <c r="T38" s="229"/>
    </row>
    <row r="39">
      <c r="A39" s="20" t="s">
        <v>464</v>
      </c>
      <c r="B39" s="20" t="s">
        <v>465</v>
      </c>
      <c r="C39" s="21">
        <v>1286.0</v>
      </c>
      <c r="D39" s="22" t="str">
        <f t="shared" si="1"/>
        <v>General</v>
      </c>
      <c r="E39" s="23" t="str">
        <f t="shared" si="2"/>
        <v>Lapsed</v>
      </c>
      <c r="F39" s="25">
        <v>45771.0</v>
      </c>
      <c r="G39" s="227">
        <v>46022.0</v>
      </c>
      <c r="H39" s="29" t="s">
        <v>466</v>
      </c>
      <c r="I39" s="29" t="s">
        <v>467</v>
      </c>
      <c r="J39" s="30" t="s">
        <v>35</v>
      </c>
      <c r="K39" s="42" t="s">
        <v>468</v>
      </c>
      <c r="L39" s="230"/>
      <c r="M39" s="54"/>
      <c r="T39" s="229"/>
    </row>
    <row r="40">
      <c r="A40" s="20" t="s">
        <v>53</v>
      </c>
      <c r="B40" s="20" t="s">
        <v>471</v>
      </c>
      <c r="C40" s="21">
        <v>1285.0</v>
      </c>
      <c r="D40" s="22" t="str">
        <f t="shared" si="1"/>
        <v>General</v>
      </c>
      <c r="E40" s="23" t="str">
        <f t="shared" si="2"/>
        <v>Lapsed</v>
      </c>
      <c r="F40" s="25">
        <v>45771.0</v>
      </c>
      <c r="G40" s="227">
        <v>46022.0</v>
      </c>
      <c r="H40" s="29" t="s">
        <v>472</v>
      </c>
      <c r="I40" s="29" t="s">
        <v>473</v>
      </c>
      <c r="J40" s="30" t="s">
        <v>35</v>
      </c>
      <c r="K40" s="42" t="s">
        <v>474</v>
      </c>
      <c r="L40" s="230" t="s">
        <v>475</v>
      </c>
      <c r="M40" s="54" t="s">
        <v>476</v>
      </c>
      <c r="N40" s="231"/>
      <c r="T40" s="229"/>
    </row>
    <row r="41">
      <c r="A41" s="20" t="s">
        <v>477</v>
      </c>
      <c r="B41" s="20" t="s">
        <v>478</v>
      </c>
      <c r="C41" s="21">
        <v>1284.0</v>
      </c>
      <c r="D41" s="22" t="str">
        <f t="shared" si="1"/>
        <v>General</v>
      </c>
      <c r="E41" s="23" t="str">
        <f t="shared" si="2"/>
        <v>Lapsed</v>
      </c>
      <c r="F41" s="25">
        <v>45771.0</v>
      </c>
      <c r="G41" s="227">
        <v>46022.0</v>
      </c>
      <c r="H41" s="29" t="s">
        <v>479</v>
      </c>
      <c r="I41" s="29" t="s">
        <v>190</v>
      </c>
      <c r="J41" s="30" t="s">
        <v>35</v>
      </c>
      <c r="K41" s="42" t="s">
        <v>311</v>
      </c>
      <c r="L41" s="230" t="s">
        <v>480</v>
      </c>
      <c r="M41" s="54">
        <v>9.704736461E9</v>
      </c>
      <c r="N41" s="231"/>
      <c r="T41" s="229"/>
    </row>
    <row r="42">
      <c r="A42" s="20" t="s">
        <v>481</v>
      </c>
      <c r="B42" s="20" t="s">
        <v>260</v>
      </c>
      <c r="C42" s="21">
        <v>1283.0</v>
      </c>
      <c r="D42" s="22" t="str">
        <f t="shared" si="1"/>
        <v>General</v>
      </c>
      <c r="E42" s="23" t="str">
        <f t="shared" si="2"/>
        <v>Lapsed</v>
      </c>
      <c r="F42" s="25">
        <v>45771.0</v>
      </c>
      <c r="G42" s="227">
        <v>46022.0</v>
      </c>
      <c r="H42" s="29" t="s">
        <v>482</v>
      </c>
      <c r="I42" s="29" t="s">
        <v>190</v>
      </c>
      <c r="J42" s="30" t="s">
        <v>35</v>
      </c>
      <c r="K42" s="42" t="s">
        <v>311</v>
      </c>
      <c r="L42" s="230" t="s">
        <v>483</v>
      </c>
      <c r="M42" s="54">
        <v>9.703080856E9</v>
      </c>
      <c r="N42" s="231"/>
      <c r="T42" s="229"/>
    </row>
    <row r="43">
      <c r="A43" s="20" t="s">
        <v>484</v>
      </c>
      <c r="B43" s="20" t="s">
        <v>485</v>
      </c>
      <c r="C43" s="21">
        <v>1282.0</v>
      </c>
      <c r="D43" s="22" t="str">
        <f t="shared" si="1"/>
        <v>General</v>
      </c>
      <c r="E43" s="23" t="str">
        <f t="shared" si="2"/>
        <v>Lapsed</v>
      </c>
      <c r="F43" s="25">
        <v>45771.0</v>
      </c>
      <c r="G43" s="227">
        <v>46022.0</v>
      </c>
      <c r="H43" s="29" t="s">
        <v>486</v>
      </c>
      <c r="I43" s="29" t="s">
        <v>190</v>
      </c>
      <c r="J43" s="30" t="s">
        <v>35</v>
      </c>
      <c r="K43" s="42" t="s">
        <v>191</v>
      </c>
      <c r="L43" s="230"/>
      <c r="M43" s="54">
        <v>9.706981028E9</v>
      </c>
      <c r="T43" s="229"/>
    </row>
    <row r="44">
      <c r="A44" s="20" t="s">
        <v>488</v>
      </c>
      <c r="B44" s="20" t="s">
        <v>489</v>
      </c>
      <c r="C44" s="21">
        <v>1281.0</v>
      </c>
      <c r="D44" s="22" t="str">
        <f t="shared" si="1"/>
        <v>General</v>
      </c>
      <c r="E44" s="23" t="str">
        <f t="shared" si="2"/>
        <v>Lapsed</v>
      </c>
      <c r="F44" s="25">
        <v>45771.0</v>
      </c>
      <c r="G44" s="227">
        <v>46022.0</v>
      </c>
      <c r="H44" s="29" t="s">
        <v>490</v>
      </c>
      <c r="I44" s="29" t="s">
        <v>491</v>
      </c>
      <c r="J44" s="30" t="s">
        <v>35</v>
      </c>
      <c r="K44" s="42" t="s">
        <v>492</v>
      </c>
      <c r="L44" s="230" t="s">
        <v>493</v>
      </c>
      <c r="M44" s="54">
        <v>2.147331456E9</v>
      </c>
      <c r="T44" s="229"/>
    </row>
    <row r="45">
      <c r="A45" s="20" t="s">
        <v>494</v>
      </c>
      <c r="B45" s="20" t="s">
        <v>495</v>
      </c>
      <c r="C45" s="21">
        <v>1280.0</v>
      </c>
      <c r="D45" s="22" t="str">
        <f t="shared" si="1"/>
        <v>General</v>
      </c>
      <c r="E45" s="23" t="str">
        <f t="shared" si="2"/>
        <v>Lapsed</v>
      </c>
      <c r="F45" s="25">
        <v>45771.0</v>
      </c>
      <c r="G45" s="227">
        <v>46022.0</v>
      </c>
      <c r="H45" s="28" t="s">
        <v>496</v>
      </c>
      <c r="I45" s="29" t="s">
        <v>497</v>
      </c>
      <c r="J45" s="30" t="s">
        <v>35</v>
      </c>
      <c r="K45" s="31" t="s">
        <v>498</v>
      </c>
      <c r="L45" s="28" t="s">
        <v>499</v>
      </c>
      <c r="M45" s="32" t="s">
        <v>500</v>
      </c>
      <c r="N45" s="232"/>
      <c r="T45" s="229"/>
    </row>
    <row r="46">
      <c r="A46" s="20" t="s">
        <v>501</v>
      </c>
      <c r="B46" s="20" t="s">
        <v>124</v>
      </c>
      <c r="C46" s="21">
        <v>1279.0</v>
      </c>
      <c r="D46" s="22" t="str">
        <f t="shared" si="1"/>
        <v>General</v>
      </c>
      <c r="E46" s="23" t="str">
        <f t="shared" si="2"/>
        <v>Lapsed</v>
      </c>
      <c r="F46" s="25">
        <v>45737.0</v>
      </c>
      <c r="G46" s="227">
        <v>46022.0</v>
      </c>
      <c r="H46" s="29" t="s">
        <v>125</v>
      </c>
      <c r="I46" s="29" t="s">
        <v>119</v>
      </c>
      <c r="J46" s="30" t="s">
        <v>35</v>
      </c>
      <c r="K46" s="42" t="s">
        <v>120</v>
      </c>
      <c r="L46" s="230" t="s">
        <v>502</v>
      </c>
      <c r="M46" s="54">
        <v>9.70200701E9</v>
      </c>
      <c r="T46" s="229"/>
    </row>
    <row r="47">
      <c r="A47" s="20" t="s">
        <v>503</v>
      </c>
      <c r="B47" s="20" t="s">
        <v>504</v>
      </c>
      <c r="C47" s="21">
        <v>1278.0</v>
      </c>
      <c r="D47" s="22" t="str">
        <f t="shared" si="1"/>
        <v>General</v>
      </c>
      <c r="E47" s="23" t="str">
        <f t="shared" si="2"/>
        <v>Lapsed</v>
      </c>
      <c r="F47" s="25">
        <v>45738.0</v>
      </c>
      <c r="G47" s="227">
        <v>46022.0</v>
      </c>
      <c r="H47" s="29" t="s">
        <v>505</v>
      </c>
      <c r="I47" s="29" t="s">
        <v>506</v>
      </c>
      <c r="J47" s="30" t="s">
        <v>35</v>
      </c>
      <c r="K47" s="42" t="s">
        <v>507</v>
      </c>
      <c r="L47" s="230" t="s">
        <v>508</v>
      </c>
      <c r="M47" s="54">
        <v>9.703798242E9</v>
      </c>
      <c r="T47" s="229"/>
    </row>
    <row r="48">
      <c r="A48" s="20" t="s">
        <v>509</v>
      </c>
      <c r="B48" s="20" t="s">
        <v>510</v>
      </c>
      <c r="C48" s="21">
        <v>1277.0</v>
      </c>
      <c r="D48" s="22" t="str">
        <f t="shared" si="1"/>
        <v>General</v>
      </c>
      <c r="E48" s="23" t="str">
        <f t="shared" si="2"/>
        <v>Lapsed</v>
      </c>
      <c r="F48" s="25">
        <v>45739.0</v>
      </c>
      <c r="G48" s="227">
        <v>46022.0</v>
      </c>
      <c r="H48" s="29" t="s">
        <v>511</v>
      </c>
      <c r="I48" s="29" t="s">
        <v>512</v>
      </c>
      <c r="J48" s="30" t="s">
        <v>35</v>
      </c>
      <c r="K48" s="42" t="s">
        <v>513</v>
      </c>
      <c r="L48" s="230" t="s">
        <v>514</v>
      </c>
      <c r="M48" s="54">
        <v>9.704970006E9</v>
      </c>
      <c r="T48" s="229"/>
    </row>
    <row r="49">
      <c r="A49" s="20" t="s">
        <v>515</v>
      </c>
      <c r="B49" s="20" t="s">
        <v>516</v>
      </c>
      <c r="C49" s="21">
        <v>1276.0</v>
      </c>
      <c r="D49" s="22" t="str">
        <f t="shared" si="1"/>
        <v>General</v>
      </c>
      <c r="E49" s="23" t="str">
        <f t="shared" si="2"/>
        <v>Lapsed</v>
      </c>
      <c r="F49" s="25">
        <v>45740.0</v>
      </c>
      <c r="G49" s="227">
        <v>46022.0</v>
      </c>
      <c r="H49" s="29" t="s">
        <v>517</v>
      </c>
      <c r="I49" s="29" t="s">
        <v>218</v>
      </c>
      <c r="J49" s="30" t="s">
        <v>35</v>
      </c>
      <c r="K49" s="42" t="s">
        <v>219</v>
      </c>
      <c r="L49" s="230" t="s">
        <v>518</v>
      </c>
      <c r="M49" s="54">
        <v>9.706187208E9</v>
      </c>
      <c r="T49" s="229"/>
    </row>
    <row r="50">
      <c r="A50" s="20" t="s">
        <v>53</v>
      </c>
      <c r="B50" s="20" t="s">
        <v>519</v>
      </c>
      <c r="C50" s="21">
        <v>1275.0</v>
      </c>
      <c r="D50" s="22" t="str">
        <f t="shared" si="1"/>
        <v>General</v>
      </c>
      <c r="E50" s="23" t="str">
        <f t="shared" si="2"/>
        <v>Lapsed</v>
      </c>
      <c r="F50" s="25">
        <v>45741.0</v>
      </c>
      <c r="G50" s="227">
        <v>46022.0</v>
      </c>
      <c r="H50" s="29" t="s">
        <v>520</v>
      </c>
      <c r="I50" s="29" t="s">
        <v>506</v>
      </c>
      <c r="J50" s="30" t="s">
        <v>35</v>
      </c>
      <c r="K50" s="42" t="s">
        <v>521</v>
      </c>
      <c r="L50" s="230" t="s">
        <v>522</v>
      </c>
      <c r="M50" s="54">
        <v>9.703795537E9</v>
      </c>
      <c r="T50" s="229"/>
    </row>
    <row r="51">
      <c r="A51" s="20" t="s">
        <v>523</v>
      </c>
      <c r="B51" s="20" t="s">
        <v>524</v>
      </c>
      <c r="C51" s="21">
        <v>1274.0</v>
      </c>
      <c r="D51" s="22" t="str">
        <f t="shared" si="1"/>
        <v>General</v>
      </c>
      <c r="E51" s="23" t="str">
        <f t="shared" si="2"/>
        <v>Lapsed</v>
      </c>
      <c r="F51" s="25">
        <v>45742.0</v>
      </c>
      <c r="G51" s="227">
        <v>46022.0</v>
      </c>
      <c r="H51" s="29" t="s">
        <v>525</v>
      </c>
      <c r="I51" s="29" t="s">
        <v>526</v>
      </c>
      <c r="J51" s="30" t="s">
        <v>35</v>
      </c>
      <c r="K51" s="42" t="s">
        <v>527</v>
      </c>
      <c r="L51" s="230" t="s">
        <v>528</v>
      </c>
      <c r="M51" s="60" t="s">
        <v>529</v>
      </c>
      <c r="T51" s="229"/>
    </row>
    <row r="52">
      <c r="A52" s="20" t="s">
        <v>420</v>
      </c>
      <c r="B52" s="20" t="s">
        <v>530</v>
      </c>
      <c r="C52" s="21">
        <v>1273.0</v>
      </c>
      <c r="D52" s="22" t="str">
        <f t="shared" si="1"/>
        <v>General</v>
      </c>
      <c r="E52" s="23" t="str">
        <f t="shared" si="2"/>
        <v>Lapsed</v>
      </c>
      <c r="F52" s="25">
        <v>45743.0</v>
      </c>
      <c r="G52" s="227">
        <v>46022.0</v>
      </c>
      <c r="H52" s="29" t="s">
        <v>531</v>
      </c>
      <c r="I52" s="29" t="s">
        <v>119</v>
      </c>
      <c r="J52" s="30" t="s">
        <v>35</v>
      </c>
      <c r="K52" s="42" t="s">
        <v>120</v>
      </c>
      <c r="L52" s="230" t="s">
        <v>532</v>
      </c>
      <c r="M52" s="54">
        <v>9.704176492E9</v>
      </c>
      <c r="T52" s="229"/>
    </row>
    <row r="53">
      <c r="A53" s="20" t="s">
        <v>533</v>
      </c>
      <c r="B53" s="20" t="s">
        <v>534</v>
      </c>
      <c r="C53" s="21">
        <v>1272.0</v>
      </c>
      <c r="D53" s="22" t="str">
        <f t="shared" si="1"/>
        <v>General</v>
      </c>
      <c r="E53" s="23" t="str">
        <f t="shared" si="2"/>
        <v>Lapsed</v>
      </c>
      <c r="F53" s="25">
        <v>45744.0</v>
      </c>
      <c r="G53" s="227">
        <v>46022.0</v>
      </c>
      <c r="H53" s="29" t="s">
        <v>3540</v>
      </c>
      <c r="I53" s="29" t="s">
        <v>119</v>
      </c>
      <c r="J53" s="30" t="s">
        <v>35</v>
      </c>
      <c r="K53" s="42" t="s">
        <v>120</v>
      </c>
      <c r="L53" s="230" t="s">
        <v>536</v>
      </c>
      <c r="M53" s="54">
        <v>9.707733358E9</v>
      </c>
      <c r="T53" s="229"/>
    </row>
    <row r="54">
      <c r="A54" s="20" t="s">
        <v>537</v>
      </c>
      <c r="B54" s="20" t="s">
        <v>538</v>
      </c>
      <c r="C54" s="21">
        <v>1271.0</v>
      </c>
      <c r="D54" s="22" t="str">
        <f t="shared" si="1"/>
        <v>General</v>
      </c>
      <c r="E54" s="23" t="str">
        <f t="shared" si="2"/>
        <v>Lapsed</v>
      </c>
      <c r="F54" s="25">
        <v>45745.0</v>
      </c>
      <c r="G54" s="227">
        <v>46022.0</v>
      </c>
      <c r="H54" s="29" t="s">
        <v>539</v>
      </c>
      <c r="I54" s="29" t="s">
        <v>512</v>
      </c>
      <c r="J54" s="30" t="s">
        <v>35</v>
      </c>
      <c r="K54" s="42" t="s">
        <v>513</v>
      </c>
      <c r="L54" s="230"/>
      <c r="M54" s="54">
        <v>9.702093284E9</v>
      </c>
      <c r="N54" s="231"/>
      <c r="T54" s="229"/>
    </row>
    <row r="55">
      <c r="A55" s="20" t="s">
        <v>540</v>
      </c>
      <c r="B55" s="20" t="s">
        <v>538</v>
      </c>
      <c r="C55" s="21">
        <v>1270.0</v>
      </c>
      <c r="D55" s="22" t="str">
        <f t="shared" si="1"/>
        <v>General</v>
      </c>
      <c r="E55" s="23" t="str">
        <f t="shared" si="2"/>
        <v>Lapsed</v>
      </c>
      <c r="F55" s="25">
        <v>45746.0</v>
      </c>
      <c r="G55" s="227">
        <v>46022.0</v>
      </c>
      <c r="H55" s="29" t="s">
        <v>539</v>
      </c>
      <c r="I55" s="29" t="s">
        <v>512</v>
      </c>
      <c r="J55" s="30" t="s">
        <v>35</v>
      </c>
      <c r="K55" s="42" t="s">
        <v>513</v>
      </c>
      <c r="L55" s="230"/>
      <c r="M55" s="54">
        <v>9.702093284E9</v>
      </c>
      <c r="T55" s="229"/>
    </row>
    <row r="56">
      <c r="A56" s="20" t="s">
        <v>541</v>
      </c>
      <c r="B56" s="20" t="s">
        <v>542</v>
      </c>
      <c r="C56" s="21">
        <v>1269.0</v>
      </c>
      <c r="D56" s="22" t="str">
        <f t="shared" si="1"/>
        <v>General</v>
      </c>
      <c r="E56" s="23" t="str">
        <f t="shared" si="2"/>
        <v>Lapsed</v>
      </c>
      <c r="F56" s="25">
        <v>45747.0</v>
      </c>
      <c r="G56" s="227">
        <v>46022.0</v>
      </c>
      <c r="H56" s="29" t="s">
        <v>543</v>
      </c>
      <c r="I56" s="29" t="s">
        <v>544</v>
      </c>
      <c r="J56" s="30" t="s">
        <v>35</v>
      </c>
      <c r="K56" s="42" t="s">
        <v>545</v>
      </c>
      <c r="L56" s="230" t="s">
        <v>546</v>
      </c>
      <c r="M56" s="54">
        <v>3.039959705E9</v>
      </c>
      <c r="N56" s="231"/>
      <c r="T56" s="229"/>
    </row>
    <row r="57">
      <c r="A57" s="20" t="s">
        <v>547</v>
      </c>
      <c r="B57" s="20" t="s">
        <v>548</v>
      </c>
      <c r="C57" s="21">
        <v>1268.0</v>
      </c>
      <c r="D57" s="22" t="str">
        <f t="shared" si="1"/>
        <v>General</v>
      </c>
      <c r="E57" s="23" t="str">
        <f t="shared" si="2"/>
        <v>Lapsed</v>
      </c>
      <c r="F57" s="25">
        <v>45748.0</v>
      </c>
      <c r="G57" s="227">
        <v>46022.0</v>
      </c>
      <c r="H57" s="29" t="s">
        <v>549</v>
      </c>
      <c r="I57" s="29" t="s">
        <v>550</v>
      </c>
      <c r="J57" s="30" t="s">
        <v>35</v>
      </c>
      <c r="K57" s="42" t="s">
        <v>551</v>
      </c>
      <c r="L57" s="230" t="s">
        <v>552</v>
      </c>
      <c r="M57" s="54">
        <v>9.7073461E9</v>
      </c>
      <c r="T57" s="229"/>
    </row>
    <row r="58">
      <c r="A58" s="20" t="s">
        <v>553</v>
      </c>
      <c r="B58" s="20" t="s">
        <v>554</v>
      </c>
      <c r="C58" s="21">
        <v>1267.0</v>
      </c>
      <c r="D58" s="22" t="str">
        <f t="shared" si="1"/>
        <v>General</v>
      </c>
      <c r="E58" s="23" t="str">
        <f t="shared" si="2"/>
        <v>Lapsed</v>
      </c>
      <c r="F58" s="25">
        <v>45749.0</v>
      </c>
      <c r="G58" s="227">
        <v>46022.0</v>
      </c>
      <c r="H58" s="29" t="s">
        <v>555</v>
      </c>
      <c r="I58" s="29" t="s">
        <v>550</v>
      </c>
      <c r="J58" s="30" t="s">
        <v>35</v>
      </c>
      <c r="K58" s="42" t="s">
        <v>551</v>
      </c>
      <c r="L58" s="230" t="s">
        <v>556</v>
      </c>
      <c r="M58" s="54">
        <v>9.704212789E9</v>
      </c>
      <c r="T58" s="229"/>
    </row>
    <row r="59">
      <c r="A59" s="20" t="s">
        <v>284</v>
      </c>
      <c r="B59" s="20" t="s">
        <v>557</v>
      </c>
      <c r="C59" s="21">
        <v>1266.0</v>
      </c>
      <c r="D59" s="22" t="str">
        <f t="shared" si="1"/>
        <v>General</v>
      </c>
      <c r="E59" s="23" t="str">
        <f t="shared" si="2"/>
        <v>Lapsed</v>
      </c>
      <c r="F59" s="25">
        <v>45750.0</v>
      </c>
      <c r="G59" s="227">
        <v>46022.0</v>
      </c>
      <c r="H59" s="29" t="s">
        <v>558</v>
      </c>
      <c r="I59" s="29" t="s">
        <v>119</v>
      </c>
      <c r="J59" s="30" t="s">
        <v>35</v>
      </c>
      <c r="K59" s="42" t="s">
        <v>120</v>
      </c>
      <c r="L59" s="230" t="s">
        <v>559</v>
      </c>
      <c r="M59" s="54">
        <v>9.705882901E9</v>
      </c>
      <c r="T59" s="229"/>
    </row>
    <row r="60">
      <c r="A60" s="20" t="s">
        <v>560</v>
      </c>
      <c r="B60" s="20" t="s">
        <v>557</v>
      </c>
      <c r="C60" s="21">
        <v>1265.0</v>
      </c>
      <c r="D60" s="22" t="str">
        <f t="shared" si="1"/>
        <v>General</v>
      </c>
      <c r="E60" s="23" t="str">
        <f t="shared" si="2"/>
        <v>Lapsed</v>
      </c>
      <c r="F60" s="25">
        <v>45751.0</v>
      </c>
      <c r="G60" s="227">
        <v>46022.0</v>
      </c>
      <c r="H60" s="29" t="s">
        <v>558</v>
      </c>
      <c r="I60" s="29" t="s">
        <v>119</v>
      </c>
      <c r="J60" s="30" t="s">
        <v>35</v>
      </c>
      <c r="K60" s="42" t="s">
        <v>120</v>
      </c>
      <c r="L60" s="230" t="s">
        <v>559</v>
      </c>
      <c r="M60" s="54">
        <v>9.705882901E9</v>
      </c>
      <c r="N60" s="233"/>
      <c r="T60" s="229"/>
    </row>
    <row r="61">
      <c r="A61" s="20" t="s">
        <v>561</v>
      </c>
      <c r="B61" s="20" t="s">
        <v>562</v>
      </c>
      <c r="C61" s="21">
        <v>1264.0</v>
      </c>
      <c r="D61" s="22" t="str">
        <f t="shared" si="1"/>
        <v>General</v>
      </c>
      <c r="E61" s="23" t="str">
        <f t="shared" si="2"/>
        <v>Lapsed</v>
      </c>
      <c r="F61" s="25">
        <v>45752.0</v>
      </c>
      <c r="G61" s="227">
        <v>46022.0</v>
      </c>
      <c r="H61" s="29" t="s">
        <v>563</v>
      </c>
      <c r="I61" s="29" t="s">
        <v>564</v>
      </c>
      <c r="J61" s="30" t="s">
        <v>35</v>
      </c>
      <c r="K61" s="42" t="s">
        <v>565</v>
      </c>
      <c r="L61" s="230" t="s">
        <v>566</v>
      </c>
      <c r="M61" s="54">
        <v>9.70274524E9</v>
      </c>
      <c r="T61" s="229"/>
    </row>
    <row r="62">
      <c r="A62" s="20" t="s">
        <v>567</v>
      </c>
      <c r="B62" s="20" t="s">
        <v>568</v>
      </c>
      <c r="C62" s="21">
        <v>1263.0</v>
      </c>
      <c r="D62" s="22" t="str">
        <f t="shared" si="1"/>
        <v>General</v>
      </c>
      <c r="E62" s="23" t="str">
        <f t="shared" si="2"/>
        <v>Lapsed</v>
      </c>
      <c r="F62" s="25">
        <v>45753.0</v>
      </c>
      <c r="G62" s="227">
        <v>46022.0</v>
      </c>
      <c r="H62" s="29" t="s">
        <v>569</v>
      </c>
      <c r="I62" s="29" t="s">
        <v>570</v>
      </c>
      <c r="J62" s="30" t="s">
        <v>35</v>
      </c>
      <c r="K62" s="42" t="s">
        <v>571</v>
      </c>
      <c r="L62" s="230"/>
      <c r="M62" s="54">
        <v>9.285287898E9</v>
      </c>
      <c r="T62" s="229"/>
    </row>
    <row r="63">
      <c r="A63" s="20" t="s">
        <v>572</v>
      </c>
      <c r="B63" s="20" t="s">
        <v>573</v>
      </c>
      <c r="C63" s="21">
        <v>1262.0</v>
      </c>
      <c r="D63" s="22" t="str">
        <f t="shared" si="1"/>
        <v>General</v>
      </c>
      <c r="E63" s="23" t="str">
        <f t="shared" si="2"/>
        <v>Lapsed</v>
      </c>
      <c r="F63" s="25">
        <v>45754.0</v>
      </c>
      <c r="G63" s="227">
        <v>46022.0</v>
      </c>
      <c r="H63" s="29" t="s">
        <v>574</v>
      </c>
      <c r="I63" s="29" t="s">
        <v>575</v>
      </c>
      <c r="J63" s="30" t="s">
        <v>35</v>
      </c>
      <c r="K63" s="42" t="s">
        <v>576</v>
      </c>
      <c r="L63" s="234" t="s">
        <v>577</v>
      </c>
      <c r="M63" s="54">
        <v>9.704045509E9</v>
      </c>
      <c r="N63" s="231"/>
      <c r="T63" s="229"/>
    </row>
    <row r="64">
      <c r="A64" s="20" t="s">
        <v>578</v>
      </c>
      <c r="B64" s="20" t="s">
        <v>579</v>
      </c>
      <c r="C64" s="21">
        <v>1261.0</v>
      </c>
      <c r="D64" s="22" t="str">
        <f t="shared" si="1"/>
        <v>General</v>
      </c>
      <c r="E64" s="23" t="str">
        <f t="shared" si="2"/>
        <v>Lapsed</v>
      </c>
      <c r="F64" s="25">
        <v>45755.0</v>
      </c>
      <c r="G64" s="227">
        <v>46022.0</v>
      </c>
      <c r="H64" s="29" t="s">
        <v>580</v>
      </c>
      <c r="I64" s="29" t="s">
        <v>581</v>
      </c>
      <c r="J64" s="30" t="s">
        <v>35</v>
      </c>
      <c r="K64" s="42" t="s">
        <v>582</v>
      </c>
      <c r="L64" s="230" t="s">
        <v>583</v>
      </c>
      <c r="M64" s="54">
        <v>9.707730334E9</v>
      </c>
      <c r="T64" s="229"/>
    </row>
    <row r="65">
      <c r="A65" s="20" t="s">
        <v>584</v>
      </c>
      <c r="B65" s="20" t="s">
        <v>585</v>
      </c>
      <c r="C65" s="21">
        <v>1260.0</v>
      </c>
      <c r="D65" s="22" t="str">
        <f t="shared" si="1"/>
        <v>General</v>
      </c>
      <c r="E65" s="23" t="str">
        <f t="shared" si="2"/>
        <v>Lapsed</v>
      </c>
      <c r="F65" s="25">
        <v>45756.0</v>
      </c>
      <c r="G65" s="227">
        <v>46022.0</v>
      </c>
      <c r="H65" s="29" t="s">
        <v>586</v>
      </c>
      <c r="I65" s="29" t="s">
        <v>587</v>
      </c>
      <c r="J65" s="30" t="s">
        <v>35</v>
      </c>
      <c r="K65" s="42" t="s">
        <v>588</v>
      </c>
      <c r="L65" s="230" t="s">
        <v>589</v>
      </c>
      <c r="M65" s="54" t="s">
        <v>590</v>
      </c>
      <c r="T65" s="229"/>
    </row>
    <row r="66">
      <c r="A66" s="20" t="s">
        <v>591</v>
      </c>
      <c r="B66" s="20" t="s">
        <v>592</v>
      </c>
      <c r="C66" s="21">
        <v>1259.0</v>
      </c>
      <c r="D66" s="22" t="str">
        <f t="shared" si="1"/>
        <v>General</v>
      </c>
      <c r="E66" s="23" t="str">
        <f t="shared" si="2"/>
        <v>Lapsed</v>
      </c>
      <c r="F66" s="25">
        <v>45757.0</v>
      </c>
      <c r="G66" s="227">
        <v>46022.0</v>
      </c>
      <c r="H66" s="29" t="s">
        <v>593</v>
      </c>
      <c r="I66" s="29" t="s">
        <v>594</v>
      </c>
      <c r="J66" s="30" t="s">
        <v>35</v>
      </c>
      <c r="K66" s="42" t="s">
        <v>595</v>
      </c>
      <c r="L66" s="230" t="s">
        <v>596</v>
      </c>
      <c r="M66" s="54">
        <v>9.707121139E9</v>
      </c>
      <c r="T66" s="229"/>
    </row>
    <row r="67">
      <c r="A67" s="20" t="s">
        <v>597</v>
      </c>
      <c r="B67" s="20" t="s">
        <v>598</v>
      </c>
      <c r="C67" s="21">
        <v>1258.0</v>
      </c>
      <c r="D67" s="22" t="str">
        <f t="shared" si="1"/>
        <v>General</v>
      </c>
      <c r="E67" s="23" t="str">
        <f t="shared" si="2"/>
        <v>Lapsed</v>
      </c>
      <c r="F67" s="25">
        <v>45758.0</v>
      </c>
      <c r="G67" s="227">
        <v>46022.0</v>
      </c>
      <c r="H67" s="29" t="s">
        <v>599</v>
      </c>
      <c r="I67" s="29" t="s">
        <v>600</v>
      </c>
      <c r="J67" s="30" t="s">
        <v>35</v>
      </c>
      <c r="K67" s="42" t="s">
        <v>601</v>
      </c>
      <c r="L67" s="230" t="s">
        <v>602</v>
      </c>
      <c r="M67" s="54">
        <v>9.70623974E9</v>
      </c>
      <c r="T67" s="229"/>
    </row>
    <row r="68">
      <c r="A68" s="20" t="s">
        <v>603</v>
      </c>
      <c r="B68" s="20" t="s">
        <v>604</v>
      </c>
      <c r="C68" s="21">
        <v>1257.0</v>
      </c>
      <c r="D68" s="22" t="str">
        <f t="shared" si="1"/>
        <v>General</v>
      </c>
      <c r="E68" s="23" t="str">
        <f t="shared" si="2"/>
        <v>Lapsed</v>
      </c>
      <c r="F68" s="25">
        <v>45759.0</v>
      </c>
      <c r="G68" s="227">
        <v>46022.0</v>
      </c>
      <c r="H68" s="29" t="s">
        <v>605</v>
      </c>
      <c r="I68" s="29" t="s">
        <v>506</v>
      </c>
      <c r="J68" s="30" t="s">
        <v>35</v>
      </c>
      <c r="K68" s="42" t="s">
        <v>507</v>
      </c>
      <c r="L68" s="230" t="s">
        <v>606</v>
      </c>
      <c r="M68" s="54">
        <v>2.259376798E9</v>
      </c>
      <c r="T68" s="229"/>
    </row>
    <row r="69">
      <c r="A69" s="20" t="s">
        <v>607</v>
      </c>
      <c r="B69" s="20" t="s">
        <v>608</v>
      </c>
      <c r="C69" s="21">
        <v>1256.0</v>
      </c>
      <c r="D69" s="22" t="str">
        <f t="shared" si="1"/>
        <v>General</v>
      </c>
      <c r="E69" s="23" t="str">
        <f t="shared" si="2"/>
        <v>Lapsed</v>
      </c>
      <c r="F69" s="25">
        <v>45760.0</v>
      </c>
      <c r="G69" s="227">
        <v>46022.0</v>
      </c>
      <c r="H69" s="29" t="s">
        <v>609</v>
      </c>
      <c r="I69" s="29" t="s">
        <v>610</v>
      </c>
      <c r="J69" s="30" t="s">
        <v>35</v>
      </c>
      <c r="K69" s="42" t="s">
        <v>611</v>
      </c>
      <c r="L69" s="230" t="s">
        <v>612</v>
      </c>
      <c r="M69" s="54">
        <v>3.038865827E9</v>
      </c>
      <c r="T69" s="229"/>
    </row>
    <row r="70">
      <c r="A70" s="20" t="s">
        <v>613</v>
      </c>
      <c r="B70" s="20" t="s">
        <v>614</v>
      </c>
      <c r="C70" s="21">
        <v>1255.0</v>
      </c>
      <c r="D70" s="22" t="str">
        <f t="shared" si="1"/>
        <v>General</v>
      </c>
      <c r="E70" s="23" t="str">
        <f t="shared" si="2"/>
        <v>Lapsed</v>
      </c>
      <c r="F70" s="25">
        <v>45761.0</v>
      </c>
      <c r="G70" s="227">
        <v>46022.0</v>
      </c>
      <c r="H70" s="29" t="s">
        <v>615</v>
      </c>
      <c r="I70" s="29" t="s">
        <v>616</v>
      </c>
      <c r="J70" s="30" t="s">
        <v>35</v>
      </c>
      <c r="K70" s="42"/>
      <c r="L70" s="230" t="s">
        <v>617</v>
      </c>
      <c r="M70" s="54" t="s">
        <v>618</v>
      </c>
      <c r="T70" s="229"/>
    </row>
    <row r="71">
      <c r="A71" s="20" t="s">
        <v>619</v>
      </c>
      <c r="B71" s="20" t="s">
        <v>620</v>
      </c>
      <c r="C71" s="21">
        <v>1254.0</v>
      </c>
      <c r="D71" s="22" t="str">
        <f t="shared" si="1"/>
        <v>General</v>
      </c>
      <c r="E71" s="23" t="str">
        <f t="shared" si="2"/>
        <v>Lapsed</v>
      </c>
      <c r="F71" s="25">
        <v>45762.0</v>
      </c>
      <c r="G71" s="227">
        <v>46022.0</v>
      </c>
      <c r="H71" s="29" t="s">
        <v>621</v>
      </c>
      <c r="I71" s="29" t="s">
        <v>298</v>
      </c>
      <c r="J71" s="30" t="s">
        <v>35</v>
      </c>
      <c r="K71" s="42" t="s">
        <v>299</v>
      </c>
      <c r="L71" s="230" t="s">
        <v>622</v>
      </c>
      <c r="M71" s="54">
        <v>3.03720054E9</v>
      </c>
      <c r="T71" s="229"/>
    </row>
    <row r="72">
      <c r="A72" s="20" t="s">
        <v>619</v>
      </c>
      <c r="B72" s="20" t="s">
        <v>623</v>
      </c>
      <c r="C72" s="21">
        <v>1253.0</v>
      </c>
      <c r="D72" s="22" t="str">
        <f t="shared" si="1"/>
        <v>General</v>
      </c>
      <c r="E72" s="23" t="str">
        <f t="shared" si="2"/>
        <v>Lapsed</v>
      </c>
      <c r="F72" s="25">
        <v>45763.0</v>
      </c>
      <c r="G72" s="227">
        <v>46022.0</v>
      </c>
      <c r="H72" s="28" t="s">
        <v>624</v>
      </c>
      <c r="I72" s="29" t="s">
        <v>42</v>
      </c>
      <c r="J72" s="30" t="s">
        <v>35</v>
      </c>
      <c r="K72" s="31" t="s">
        <v>239</v>
      </c>
      <c r="L72" s="28" t="s">
        <v>625</v>
      </c>
      <c r="M72" s="32">
        <v>3.039185232E9</v>
      </c>
      <c r="T72" s="229"/>
    </row>
    <row r="73">
      <c r="A73" s="36" t="s">
        <v>626</v>
      </c>
      <c r="B73" s="20" t="s">
        <v>627</v>
      </c>
      <c r="C73" s="21">
        <v>1252.0</v>
      </c>
      <c r="D73" s="22" t="str">
        <f t="shared" si="1"/>
        <v>General</v>
      </c>
      <c r="E73" s="23" t="str">
        <f t="shared" si="2"/>
        <v>Lapsed</v>
      </c>
      <c r="F73" s="25">
        <v>45764.0</v>
      </c>
      <c r="G73" s="227">
        <v>46022.0</v>
      </c>
      <c r="H73" s="29" t="s">
        <v>628</v>
      </c>
      <c r="I73" s="29" t="s">
        <v>56</v>
      </c>
      <c r="J73" s="30" t="s">
        <v>57</v>
      </c>
      <c r="K73" s="42" t="s">
        <v>63</v>
      </c>
      <c r="L73" s="230" t="s">
        <v>629</v>
      </c>
      <c r="M73" s="54">
        <v>9.073019016E9</v>
      </c>
      <c r="T73" s="229"/>
    </row>
    <row r="74">
      <c r="A74" s="20" t="s">
        <v>630</v>
      </c>
      <c r="B74" s="20" t="s">
        <v>631</v>
      </c>
      <c r="C74" s="21">
        <v>1251.0</v>
      </c>
      <c r="D74" s="22" t="str">
        <f t="shared" si="1"/>
        <v>General</v>
      </c>
      <c r="E74" s="23" t="str">
        <f t="shared" si="2"/>
        <v>Lapsed</v>
      </c>
      <c r="F74" s="25">
        <v>45765.0</v>
      </c>
      <c r="G74" s="227">
        <v>46022.0</v>
      </c>
      <c r="H74" s="29" t="s">
        <v>632</v>
      </c>
      <c r="I74" s="29" t="s">
        <v>374</v>
      </c>
      <c r="J74" s="30" t="s">
        <v>35</v>
      </c>
      <c r="K74" s="42" t="s">
        <v>375</v>
      </c>
      <c r="L74" s="230" t="s">
        <v>633</v>
      </c>
      <c r="M74" s="54" t="s">
        <v>634</v>
      </c>
      <c r="N74" s="231"/>
      <c r="T74" s="229"/>
    </row>
    <row r="75">
      <c r="A75" s="20" t="s">
        <v>635</v>
      </c>
      <c r="B75" s="20" t="s">
        <v>631</v>
      </c>
      <c r="C75" s="21">
        <v>1250.0</v>
      </c>
      <c r="D75" s="22" t="str">
        <f t="shared" si="1"/>
        <v>General</v>
      </c>
      <c r="E75" s="23" t="str">
        <f t="shared" si="2"/>
        <v>Lapsed</v>
      </c>
      <c r="F75" s="25">
        <v>45766.0</v>
      </c>
      <c r="G75" s="227">
        <v>46022.0</v>
      </c>
      <c r="H75" s="29" t="s">
        <v>632</v>
      </c>
      <c r="I75" s="29" t="s">
        <v>374</v>
      </c>
      <c r="J75" s="30" t="s">
        <v>35</v>
      </c>
      <c r="K75" s="42" t="s">
        <v>375</v>
      </c>
      <c r="L75" s="230" t="s">
        <v>633</v>
      </c>
      <c r="M75" s="54" t="s">
        <v>634</v>
      </c>
      <c r="N75" s="231"/>
      <c r="T75" s="229"/>
    </row>
    <row r="76">
      <c r="A76" s="20" t="s">
        <v>636</v>
      </c>
      <c r="B76" s="20" t="s">
        <v>631</v>
      </c>
      <c r="C76" s="21">
        <v>1249.0</v>
      </c>
      <c r="D76" s="22" t="str">
        <f t="shared" si="1"/>
        <v>General</v>
      </c>
      <c r="E76" s="23" t="str">
        <f t="shared" si="2"/>
        <v>Lapsed</v>
      </c>
      <c r="F76" s="25">
        <v>45767.0</v>
      </c>
      <c r="G76" s="227">
        <v>46022.0</v>
      </c>
      <c r="H76" s="29" t="s">
        <v>632</v>
      </c>
      <c r="I76" s="29" t="s">
        <v>374</v>
      </c>
      <c r="J76" s="30" t="s">
        <v>35</v>
      </c>
      <c r="K76" s="42" t="s">
        <v>375</v>
      </c>
      <c r="L76" s="230" t="s">
        <v>633</v>
      </c>
      <c r="M76" s="54" t="s">
        <v>634</v>
      </c>
      <c r="N76" s="231"/>
      <c r="T76" s="229"/>
    </row>
    <row r="77">
      <c r="A77" s="20" t="s">
        <v>637</v>
      </c>
      <c r="B77" s="20" t="s">
        <v>638</v>
      </c>
      <c r="C77" s="21">
        <v>1248.0</v>
      </c>
      <c r="D77" s="22" t="str">
        <f t="shared" si="1"/>
        <v>General</v>
      </c>
      <c r="E77" s="23" t="str">
        <f t="shared" si="2"/>
        <v>Lapsed</v>
      </c>
      <c r="F77" s="25">
        <v>45768.0</v>
      </c>
      <c r="G77" s="227">
        <v>46022.0</v>
      </c>
      <c r="H77" s="62" t="s">
        <v>639</v>
      </c>
      <c r="I77" s="62" t="s">
        <v>640</v>
      </c>
      <c r="J77" s="63" t="s">
        <v>35</v>
      </c>
      <c r="K77" s="64" t="s">
        <v>641</v>
      </c>
      <c r="L77" s="65" t="s">
        <v>642</v>
      </c>
      <c r="M77" s="66" t="s">
        <v>643</v>
      </c>
      <c r="N77" s="231"/>
      <c r="T77" s="229"/>
    </row>
    <row r="78">
      <c r="A78" s="20" t="s">
        <v>644</v>
      </c>
      <c r="B78" s="20" t="s">
        <v>645</v>
      </c>
      <c r="C78" s="21">
        <v>1247.0</v>
      </c>
      <c r="D78" s="22" t="str">
        <f t="shared" si="1"/>
        <v>General</v>
      </c>
      <c r="E78" s="23" t="str">
        <f t="shared" si="2"/>
        <v>Lapsed</v>
      </c>
      <c r="F78" s="25">
        <v>45761.0</v>
      </c>
      <c r="G78" s="227">
        <v>46022.0</v>
      </c>
      <c r="H78" s="29" t="s">
        <v>646</v>
      </c>
      <c r="I78" s="29" t="s">
        <v>647</v>
      </c>
      <c r="J78" s="30" t="s">
        <v>35</v>
      </c>
      <c r="K78" s="42" t="s">
        <v>137</v>
      </c>
      <c r="L78" s="230" t="s">
        <v>648</v>
      </c>
      <c r="M78" s="54">
        <v>3.038075872E9</v>
      </c>
      <c r="T78" s="229"/>
    </row>
    <row r="79">
      <c r="A79" s="20" t="s">
        <v>133</v>
      </c>
      <c r="B79" s="20" t="s">
        <v>649</v>
      </c>
      <c r="C79" s="21">
        <v>1246.0</v>
      </c>
      <c r="D79" s="22" t="str">
        <f t="shared" si="1"/>
        <v>General</v>
      </c>
      <c r="E79" s="23" t="str">
        <f t="shared" si="2"/>
        <v>Lapsed</v>
      </c>
      <c r="F79" s="25">
        <v>45761.0</v>
      </c>
      <c r="G79" s="227">
        <v>46022.0</v>
      </c>
      <c r="H79" s="29" t="s">
        <v>650</v>
      </c>
      <c r="I79" s="29" t="s">
        <v>651</v>
      </c>
      <c r="J79" s="30" t="s">
        <v>35</v>
      </c>
      <c r="K79" s="42" t="s">
        <v>652</v>
      </c>
      <c r="L79" s="230" t="s">
        <v>653</v>
      </c>
      <c r="M79" s="54">
        <v>7.205902353E9</v>
      </c>
      <c r="N79" s="231"/>
      <c r="T79" s="229"/>
    </row>
    <row r="80">
      <c r="A80" s="20" t="s">
        <v>654</v>
      </c>
      <c r="B80" s="20" t="s">
        <v>655</v>
      </c>
      <c r="C80" s="21">
        <v>1245.0</v>
      </c>
      <c r="D80" s="22" t="str">
        <f t="shared" si="1"/>
        <v>General</v>
      </c>
      <c r="E80" s="23" t="str">
        <f t="shared" si="2"/>
        <v>Lapsed</v>
      </c>
      <c r="F80" s="25">
        <v>45756.0</v>
      </c>
      <c r="G80" s="227">
        <v>46022.0</v>
      </c>
      <c r="H80" s="29" t="s">
        <v>656</v>
      </c>
      <c r="I80" s="29" t="s">
        <v>657</v>
      </c>
      <c r="J80" s="30" t="s">
        <v>35</v>
      </c>
      <c r="K80" s="42" t="s">
        <v>658</v>
      </c>
      <c r="L80" s="230" t="s">
        <v>659</v>
      </c>
      <c r="M80" s="54">
        <v>7.196001687E9</v>
      </c>
      <c r="T80" s="229"/>
    </row>
    <row r="81">
      <c r="A81" s="20" t="s">
        <v>351</v>
      </c>
      <c r="B81" s="20" t="s">
        <v>660</v>
      </c>
      <c r="C81" s="21">
        <v>1244.0</v>
      </c>
      <c r="D81" s="22" t="str">
        <f t="shared" si="1"/>
        <v>General</v>
      </c>
      <c r="E81" s="23" t="str">
        <f t="shared" si="2"/>
        <v>Lapsed</v>
      </c>
      <c r="F81" s="25">
        <v>45756.0</v>
      </c>
      <c r="G81" s="227">
        <v>46022.0</v>
      </c>
      <c r="H81" s="29" t="s">
        <v>661</v>
      </c>
      <c r="I81" s="29" t="s">
        <v>56</v>
      </c>
      <c r="J81" s="30" t="s">
        <v>57</v>
      </c>
      <c r="K81" s="42" t="s">
        <v>63</v>
      </c>
      <c r="L81" s="230" t="s">
        <v>662</v>
      </c>
      <c r="M81" s="54">
        <v>3.077570188E9</v>
      </c>
      <c r="T81" s="229"/>
    </row>
    <row r="82">
      <c r="A82" s="20" t="s">
        <v>663</v>
      </c>
      <c r="B82" s="20" t="s">
        <v>664</v>
      </c>
      <c r="C82" s="21">
        <v>1243.0</v>
      </c>
      <c r="D82" s="22" t="str">
        <f t="shared" si="1"/>
        <v>General</v>
      </c>
      <c r="E82" s="23" t="str">
        <f t="shared" si="2"/>
        <v>Lapsed</v>
      </c>
      <c r="F82" s="25">
        <v>45756.0</v>
      </c>
      <c r="G82" s="227">
        <v>46022.0</v>
      </c>
      <c r="H82" s="29" t="s">
        <v>665</v>
      </c>
      <c r="I82" s="29" t="s">
        <v>305</v>
      </c>
      <c r="J82" s="30" t="s">
        <v>35</v>
      </c>
      <c r="K82" s="42" t="s">
        <v>306</v>
      </c>
      <c r="L82" s="230" t="s">
        <v>666</v>
      </c>
      <c r="M82" s="54">
        <v>9.705804158E9</v>
      </c>
      <c r="T82" s="229"/>
    </row>
    <row r="83">
      <c r="A83" s="20" t="s">
        <v>228</v>
      </c>
      <c r="B83" s="20" t="s">
        <v>667</v>
      </c>
      <c r="C83" s="21">
        <v>1242.0</v>
      </c>
      <c r="D83" s="22" t="str">
        <f t="shared" si="1"/>
        <v>General</v>
      </c>
      <c r="E83" s="23" t="str">
        <f t="shared" si="2"/>
        <v>Lapsed</v>
      </c>
      <c r="F83" s="25">
        <v>45738.0</v>
      </c>
      <c r="G83" s="227">
        <v>46022.0</v>
      </c>
      <c r="H83" s="29" t="s">
        <v>668</v>
      </c>
      <c r="I83" s="29" t="s">
        <v>647</v>
      </c>
      <c r="J83" s="30" t="s">
        <v>35</v>
      </c>
      <c r="K83" s="42" t="s">
        <v>669</v>
      </c>
      <c r="L83" s="230" t="s">
        <v>670</v>
      </c>
      <c r="M83" s="54">
        <v>7.206848287E9</v>
      </c>
      <c r="T83" s="229"/>
    </row>
    <row r="84">
      <c r="A84" s="20" t="s">
        <v>672</v>
      </c>
      <c r="B84" s="20" t="s">
        <v>673</v>
      </c>
      <c r="C84" s="21">
        <v>1241.0</v>
      </c>
      <c r="D84" s="22" t="str">
        <f t="shared" si="1"/>
        <v>General</v>
      </c>
      <c r="E84" s="23" t="str">
        <f t="shared" si="2"/>
        <v>Lapsed</v>
      </c>
      <c r="F84" s="25">
        <v>45738.0</v>
      </c>
      <c r="G84" s="227">
        <v>46022.0</v>
      </c>
      <c r="H84" s="29" t="s">
        <v>674</v>
      </c>
      <c r="I84" s="29" t="s">
        <v>564</v>
      </c>
      <c r="J84" s="30" t="s">
        <v>35</v>
      </c>
      <c r="K84" s="42" t="s">
        <v>565</v>
      </c>
      <c r="L84" s="230" t="s">
        <v>675</v>
      </c>
      <c r="M84" s="54">
        <v>9.709484536E9</v>
      </c>
      <c r="T84" s="229"/>
    </row>
    <row r="85">
      <c r="A85" s="20" t="s">
        <v>677</v>
      </c>
      <c r="B85" s="20" t="s">
        <v>516</v>
      </c>
      <c r="C85" s="21">
        <v>1240.0</v>
      </c>
      <c r="D85" s="22" t="str">
        <f t="shared" si="1"/>
        <v>General</v>
      </c>
      <c r="E85" s="23" t="str">
        <f t="shared" si="2"/>
        <v>Lapsed</v>
      </c>
      <c r="F85" s="25">
        <v>45738.0</v>
      </c>
      <c r="G85" s="227">
        <v>46022.0</v>
      </c>
      <c r="H85" s="29" t="s">
        <v>678</v>
      </c>
      <c r="I85" s="29" t="s">
        <v>564</v>
      </c>
      <c r="J85" s="30" t="s">
        <v>35</v>
      </c>
      <c r="K85" s="42" t="s">
        <v>565</v>
      </c>
      <c r="L85" s="230" t="s">
        <v>679</v>
      </c>
      <c r="M85" s="54">
        <v>9.706185633E9</v>
      </c>
      <c r="T85" s="229"/>
    </row>
    <row r="86">
      <c r="A86" s="20" t="s">
        <v>680</v>
      </c>
      <c r="B86" s="20" t="s">
        <v>681</v>
      </c>
      <c r="C86" s="21">
        <v>1239.0</v>
      </c>
      <c r="D86" s="22" t="str">
        <f t="shared" si="1"/>
        <v>General</v>
      </c>
      <c r="E86" s="23" t="str">
        <f t="shared" si="2"/>
        <v>Lapsed</v>
      </c>
      <c r="F86" s="25">
        <v>45738.0</v>
      </c>
      <c r="G86" s="227">
        <v>46022.0</v>
      </c>
      <c r="H86" s="29" t="s">
        <v>682</v>
      </c>
      <c r="I86" s="29" t="s">
        <v>683</v>
      </c>
      <c r="J86" s="30" t="s">
        <v>35</v>
      </c>
      <c r="K86" s="42" t="s">
        <v>684</v>
      </c>
      <c r="L86" s="230" t="s">
        <v>685</v>
      </c>
      <c r="M86" s="54" t="s">
        <v>686</v>
      </c>
      <c r="T86" s="229"/>
    </row>
    <row r="87">
      <c r="A87" s="20" t="s">
        <v>687</v>
      </c>
      <c r="B87" s="20" t="s">
        <v>688</v>
      </c>
      <c r="C87" s="21">
        <v>1238.0</v>
      </c>
      <c r="D87" s="22" t="str">
        <f t="shared" si="1"/>
        <v>General</v>
      </c>
      <c r="E87" s="23" t="str">
        <f t="shared" si="2"/>
        <v>Lapsed</v>
      </c>
      <c r="F87" s="25">
        <v>45740.0</v>
      </c>
      <c r="G87" s="227">
        <v>46022.0</v>
      </c>
      <c r="H87" s="29" t="s">
        <v>689</v>
      </c>
      <c r="I87" s="29" t="s">
        <v>690</v>
      </c>
      <c r="J87" s="30" t="s">
        <v>35</v>
      </c>
      <c r="K87" s="42" t="s">
        <v>691</v>
      </c>
      <c r="L87" s="230" t="s">
        <v>692</v>
      </c>
      <c r="M87" s="54" t="s">
        <v>693</v>
      </c>
      <c r="T87" s="229"/>
    </row>
    <row r="88">
      <c r="A88" s="67" t="s">
        <v>488</v>
      </c>
      <c r="B88" s="67" t="s">
        <v>694</v>
      </c>
      <c r="C88" s="23">
        <v>1237.0</v>
      </c>
      <c r="D88" s="235" t="s">
        <v>3519</v>
      </c>
      <c r="E88" s="236" t="str">
        <f t="shared" si="2"/>
        <v>Lapsed</v>
      </c>
      <c r="F88" s="69">
        <v>45740.0</v>
      </c>
      <c r="G88" s="227">
        <v>46022.0</v>
      </c>
      <c r="H88" s="67" t="s">
        <v>695</v>
      </c>
      <c r="I88" s="67" t="s">
        <v>42</v>
      </c>
      <c r="J88" s="23" t="s">
        <v>35</v>
      </c>
      <c r="K88" s="71" t="s">
        <v>293</v>
      </c>
      <c r="L88" s="237" t="s">
        <v>696</v>
      </c>
      <c r="M88" s="73">
        <v>9.708181771E9</v>
      </c>
      <c r="N88" s="238"/>
      <c r="T88" s="229"/>
    </row>
    <row r="89">
      <c r="A89" s="20" t="s">
        <v>697</v>
      </c>
      <c r="B89" s="20" t="s">
        <v>698</v>
      </c>
      <c r="C89" s="21">
        <v>1236.0</v>
      </c>
      <c r="D89" s="22" t="str">
        <f t="shared" ref="D89:D93" si="3">ifs(isblank(O89),"General",O89&lt;19,"Youth",O89&gt;18,"General")</f>
        <v>General</v>
      </c>
      <c r="E89" s="23" t="str">
        <f t="shared" si="2"/>
        <v>Lapsed</v>
      </c>
      <c r="F89" s="25">
        <v>45724.0</v>
      </c>
      <c r="G89" s="227">
        <v>46022.0</v>
      </c>
      <c r="H89" s="29" t="s">
        <v>699</v>
      </c>
      <c r="I89" s="29" t="s">
        <v>700</v>
      </c>
      <c r="J89" s="30" t="s">
        <v>701</v>
      </c>
      <c r="K89" s="42" t="s">
        <v>702</v>
      </c>
      <c r="L89" s="239" t="s">
        <v>703</v>
      </c>
      <c r="M89" s="54">
        <v>5.803011957E9</v>
      </c>
      <c r="N89" s="240"/>
      <c r="T89" s="229"/>
    </row>
    <row r="90">
      <c r="A90" s="20" t="s">
        <v>704</v>
      </c>
      <c r="B90" s="20" t="s">
        <v>705</v>
      </c>
      <c r="C90" s="21">
        <v>1235.0</v>
      </c>
      <c r="D90" s="22" t="str">
        <f t="shared" si="3"/>
        <v>General</v>
      </c>
      <c r="E90" s="23" t="str">
        <f t="shared" si="2"/>
        <v>Lapsed</v>
      </c>
      <c r="F90" s="25">
        <v>45715.0</v>
      </c>
      <c r="G90" s="227">
        <v>46022.0</v>
      </c>
      <c r="H90" s="29" t="s">
        <v>706</v>
      </c>
      <c r="I90" s="29" t="s">
        <v>594</v>
      </c>
      <c r="J90" s="30" t="s">
        <v>35</v>
      </c>
      <c r="K90" s="42" t="s">
        <v>595</v>
      </c>
      <c r="L90" s="54" t="s">
        <v>707</v>
      </c>
      <c r="M90" s="79">
        <v>9.703719826E9</v>
      </c>
      <c r="T90" s="229"/>
    </row>
    <row r="91">
      <c r="A91" s="20" t="s">
        <v>708</v>
      </c>
      <c r="B91" s="20" t="s">
        <v>709</v>
      </c>
      <c r="C91" s="21">
        <v>1234.0</v>
      </c>
      <c r="D91" s="22" t="str">
        <f t="shared" si="3"/>
        <v>General</v>
      </c>
      <c r="E91" s="23" t="str">
        <f t="shared" si="2"/>
        <v>Lapsed</v>
      </c>
      <c r="F91" s="25">
        <v>45686.0</v>
      </c>
      <c r="G91" s="227">
        <v>46022.0</v>
      </c>
      <c r="H91" s="29" t="s">
        <v>710</v>
      </c>
      <c r="I91" s="29" t="s">
        <v>68</v>
      </c>
      <c r="J91" s="30" t="s">
        <v>35</v>
      </c>
      <c r="K91" s="42" t="s">
        <v>69</v>
      </c>
      <c r="L91" s="230" t="s">
        <v>711</v>
      </c>
      <c r="M91" s="54">
        <v>9.702193801E9</v>
      </c>
      <c r="T91" s="229"/>
    </row>
    <row r="92">
      <c r="A92" s="20" t="s">
        <v>712</v>
      </c>
      <c r="B92" s="20" t="s">
        <v>713</v>
      </c>
      <c r="C92" s="21">
        <v>1233.0</v>
      </c>
      <c r="D92" s="22" t="str">
        <f t="shared" si="3"/>
        <v>General</v>
      </c>
      <c r="E92" s="23" t="str">
        <f t="shared" si="2"/>
        <v>Lapsed</v>
      </c>
      <c r="F92" s="25">
        <v>45658.0</v>
      </c>
      <c r="G92" s="227">
        <v>46022.0</v>
      </c>
      <c r="H92" s="29" t="s">
        <v>714</v>
      </c>
      <c r="I92" s="29" t="s">
        <v>497</v>
      </c>
      <c r="J92" s="30" t="s">
        <v>35</v>
      </c>
      <c r="K92" s="42" t="s">
        <v>498</v>
      </c>
      <c r="L92" s="230" t="s">
        <v>715</v>
      </c>
      <c r="M92" s="54">
        <v>7.20842902E9</v>
      </c>
      <c r="T92" s="229"/>
    </row>
    <row r="93">
      <c r="A93" s="20" t="s">
        <v>379</v>
      </c>
      <c r="B93" s="20" t="s">
        <v>433</v>
      </c>
      <c r="C93" s="21">
        <v>1231.0</v>
      </c>
      <c r="D93" s="22" t="str">
        <f t="shared" si="3"/>
        <v>General</v>
      </c>
      <c r="E93" s="23" t="str">
        <f t="shared" si="2"/>
        <v>Lapsed</v>
      </c>
      <c r="F93" s="25">
        <v>45658.0</v>
      </c>
      <c r="G93" s="227">
        <v>46022.0</v>
      </c>
      <c r="H93" s="29" t="s">
        <v>719</v>
      </c>
      <c r="I93" s="29" t="s">
        <v>720</v>
      </c>
      <c r="J93" s="30" t="s">
        <v>721</v>
      </c>
      <c r="K93" s="42" t="s">
        <v>722</v>
      </c>
      <c r="L93" s="230" t="s">
        <v>723</v>
      </c>
      <c r="M93" s="54">
        <v>8.082270507E9</v>
      </c>
      <c r="T93" s="229"/>
    </row>
    <row r="94">
      <c r="A94" s="20"/>
      <c r="B94" s="20" t="s">
        <v>724</v>
      </c>
      <c r="C94" s="21">
        <v>1230.0</v>
      </c>
      <c r="D94" s="22" t="s">
        <v>3517</v>
      </c>
      <c r="E94" s="23" t="str">
        <f t="shared" si="2"/>
        <v>Lapsed</v>
      </c>
      <c r="F94" s="25">
        <v>45589.0</v>
      </c>
      <c r="G94" s="227">
        <v>46022.0</v>
      </c>
      <c r="H94" s="29" t="s">
        <v>725</v>
      </c>
      <c r="I94" s="29" t="s">
        <v>726</v>
      </c>
      <c r="J94" s="30" t="s">
        <v>35</v>
      </c>
      <c r="K94" s="42" t="s">
        <v>198</v>
      </c>
      <c r="L94" s="230" t="s">
        <v>727</v>
      </c>
      <c r="M94" s="54">
        <v>9.707690157E9</v>
      </c>
      <c r="T94" s="229"/>
    </row>
    <row r="95">
      <c r="A95" s="20" t="s">
        <v>734</v>
      </c>
      <c r="B95" s="20" t="s">
        <v>735</v>
      </c>
      <c r="C95" s="21">
        <v>1228.0</v>
      </c>
      <c r="D95" s="22" t="str">
        <f t="shared" ref="D95:D160" si="4">ifs(isblank(O95),"General",O95&lt;19,"Youth",O95&gt;18,"General")</f>
        <v>General</v>
      </c>
      <c r="E95" s="23" t="str">
        <f t="shared" si="2"/>
        <v>Lapsed</v>
      </c>
      <c r="F95" s="25">
        <v>45817.0</v>
      </c>
      <c r="G95" s="227">
        <v>46022.0</v>
      </c>
      <c r="H95" s="29" t="s">
        <v>736</v>
      </c>
      <c r="I95" s="29" t="s">
        <v>329</v>
      </c>
      <c r="J95" s="30" t="s">
        <v>35</v>
      </c>
      <c r="K95" s="42" t="s">
        <v>330</v>
      </c>
      <c r="L95" s="230" t="s">
        <v>737</v>
      </c>
      <c r="M95" s="54">
        <v>9.703971695E9</v>
      </c>
      <c r="T95" s="229"/>
    </row>
    <row r="96">
      <c r="A96" s="20" t="s">
        <v>738</v>
      </c>
      <c r="B96" s="20" t="s">
        <v>314</v>
      </c>
      <c r="C96" s="21">
        <v>1227.0</v>
      </c>
      <c r="D96" s="22" t="str">
        <f t="shared" si="4"/>
        <v>General</v>
      </c>
      <c r="E96" s="23" t="str">
        <f t="shared" si="2"/>
        <v>Lapsed</v>
      </c>
      <c r="F96" s="25">
        <v>45817.0</v>
      </c>
      <c r="G96" s="227">
        <v>46022.0</v>
      </c>
      <c r="H96" s="29" t="s">
        <v>315</v>
      </c>
      <c r="I96" s="29" t="s">
        <v>89</v>
      </c>
      <c r="J96" s="30" t="s">
        <v>35</v>
      </c>
      <c r="K96" s="42" t="s">
        <v>90</v>
      </c>
      <c r="L96" s="230" t="s">
        <v>316</v>
      </c>
      <c r="M96" s="54" t="s">
        <v>739</v>
      </c>
      <c r="T96" s="229"/>
    </row>
    <row r="97">
      <c r="A97" s="20" t="s">
        <v>445</v>
      </c>
      <c r="B97" s="20" t="s">
        <v>754</v>
      </c>
      <c r="C97" s="21">
        <v>1224.0</v>
      </c>
      <c r="D97" s="22" t="str">
        <f t="shared" si="4"/>
        <v>General</v>
      </c>
      <c r="E97" s="23" t="str">
        <f t="shared" si="2"/>
        <v>Lapsed</v>
      </c>
      <c r="F97" s="25">
        <v>45771.0</v>
      </c>
      <c r="G97" s="227">
        <v>46022.0</v>
      </c>
      <c r="H97" s="29" t="s">
        <v>755</v>
      </c>
      <c r="I97" s="29" t="s">
        <v>42</v>
      </c>
      <c r="J97" s="30" t="s">
        <v>35</v>
      </c>
      <c r="K97" s="42" t="s">
        <v>99</v>
      </c>
      <c r="L97" s="230" t="s">
        <v>756</v>
      </c>
      <c r="M97" s="54" t="s">
        <v>757</v>
      </c>
      <c r="T97" s="229"/>
    </row>
    <row r="98">
      <c r="A98" s="20" t="s">
        <v>379</v>
      </c>
      <c r="B98" s="20" t="s">
        <v>765</v>
      </c>
      <c r="C98" s="21">
        <v>1222.0</v>
      </c>
      <c r="D98" s="22" t="str">
        <f t="shared" si="4"/>
        <v>General</v>
      </c>
      <c r="E98" s="23" t="str">
        <f t="shared" si="2"/>
        <v>Lapsed</v>
      </c>
      <c r="F98" s="25">
        <v>45771.0</v>
      </c>
      <c r="G98" s="227">
        <v>46022.0</v>
      </c>
      <c r="H98" s="29" t="s">
        <v>766</v>
      </c>
      <c r="I98" s="29" t="s">
        <v>767</v>
      </c>
      <c r="J98" s="30" t="s">
        <v>35</v>
      </c>
      <c r="K98" s="42" t="s">
        <v>768</v>
      </c>
      <c r="L98" s="230" t="s">
        <v>769</v>
      </c>
      <c r="M98" s="54" t="s">
        <v>770</v>
      </c>
      <c r="T98" s="229"/>
    </row>
    <row r="99">
      <c r="A99" s="20" t="s">
        <v>773</v>
      </c>
      <c r="B99" s="20" t="s">
        <v>774</v>
      </c>
      <c r="C99" s="21">
        <v>1220.0</v>
      </c>
      <c r="D99" s="22" t="str">
        <f t="shared" si="4"/>
        <v>General</v>
      </c>
      <c r="E99" s="23" t="str">
        <f t="shared" si="2"/>
        <v>Lapsed</v>
      </c>
      <c r="F99" s="25">
        <v>45771.0</v>
      </c>
      <c r="G99" s="227">
        <v>46022.0</v>
      </c>
      <c r="H99" s="29" t="s">
        <v>775</v>
      </c>
      <c r="I99" s="29" t="s">
        <v>776</v>
      </c>
      <c r="J99" s="30" t="s">
        <v>35</v>
      </c>
      <c r="K99" s="42" t="s">
        <v>777</v>
      </c>
      <c r="L99" s="230" t="s">
        <v>778</v>
      </c>
      <c r="M99" s="54">
        <v>7.209798893E9</v>
      </c>
      <c r="T99" s="229"/>
    </row>
    <row r="100">
      <c r="A100" s="20" t="s">
        <v>797</v>
      </c>
      <c r="B100" s="20" t="s">
        <v>798</v>
      </c>
      <c r="C100" s="21">
        <v>1214.0</v>
      </c>
      <c r="D100" s="22" t="str">
        <f t="shared" si="4"/>
        <v>General</v>
      </c>
      <c r="E100" s="23" t="str">
        <f t="shared" si="2"/>
        <v>Lapsed</v>
      </c>
      <c r="F100" s="25">
        <v>45771.0</v>
      </c>
      <c r="G100" s="227">
        <v>46022.0</v>
      </c>
      <c r="H100" s="62" t="s">
        <v>799</v>
      </c>
      <c r="I100" s="62" t="s">
        <v>89</v>
      </c>
      <c r="J100" s="63" t="s">
        <v>35</v>
      </c>
      <c r="K100" s="64" t="s">
        <v>90</v>
      </c>
      <c r="L100" s="230" t="s">
        <v>94</v>
      </c>
      <c r="M100" s="66" t="s">
        <v>95</v>
      </c>
      <c r="T100" s="229"/>
    </row>
    <row r="101">
      <c r="A101" s="84" t="s">
        <v>863</v>
      </c>
      <c r="B101" s="84" t="s">
        <v>864</v>
      </c>
      <c r="C101" s="21">
        <v>1201.0</v>
      </c>
      <c r="D101" s="22" t="str">
        <f t="shared" si="4"/>
        <v>General</v>
      </c>
      <c r="E101" s="23" t="str">
        <f t="shared" si="2"/>
        <v>Lapsed</v>
      </c>
      <c r="F101" s="25">
        <v>45817.0</v>
      </c>
      <c r="G101" s="227">
        <v>46022.0</v>
      </c>
      <c r="H101" s="28" t="s">
        <v>865</v>
      </c>
      <c r="I101" s="29" t="s">
        <v>866</v>
      </c>
      <c r="J101" s="30" t="s">
        <v>35</v>
      </c>
      <c r="K101" s="31" t="s">
        <v>867</v>
      </c>
      <c r="L101" s="32" t="s">
        <v>727</v>
      </c>
      <c r="M101" s="32" t="s">
        <v>868</v>
      </c>
      <c r="N101" s="232"/>
      <c r="T101" s="229"/>
    </row>
    <row r="102">
      <c r="A102" s="84" t="s">
        <v>869</v>
      </c>
      <c r="B102" s="84" t="s">
        <v>870</v>
      </c>
      <c r="C102" s="21">
        <v>1200.0</v>
      </c>
      <c r="D102" s="22" t="str">
        <f t="shared" si="4"/>
        <v>General</v>
      </c>
      <c r="E102" s="23" t="str">
        <f t="shared" si="2"/>
        <v>Lapsed</v>
      </c>
      <c r="F102" s="25">
        <v>45771.0</v>
      </c>
      <c r="G102" s="227">
        <v>46022.0</v>
      </c>
      <c r="H102" s="28" t="s">
        <v>871</v>
      </c>
      <c r="I102" s="29" t="s">
        <v>3541</v>
      </c>
      <c r="J102" s="30" t="s">
        <v>35</v>
      </c>
      <c r="K102" s="31" t="s">
        <v>198</v>
      </c>
      <c r="L102" s="32" t="s">
        <v>872</v>
      </c>
      <c r="M102" s="32">
        <v>9.707690157E9</v>
      </c>
      <c r="N102" s="232"/>
      <c r="T102" s="229"/>
    </row>
    <row r="103">
      <c r="A103" s="84" t="s">
        <v>873</v>
      </c>
      <c r="B103" s="84" t="s">
        <v>874</v>
      </c>
      <c r="C103" s="21">
        <v>1197.0</v>
      </c>
      <c r="D103" s="22" t="str">
        <f t="shared" si="4"/>
        <v>General</v>
      </c>
      <c r="E103" s="23" t="str">
        <f t="shared" si="2"/>
        <v>Lapsed</v>
      </c>
      <c r="F103" s="25">
        <v>45771.0</v>
      </c>
      <c r="G103" s="227">
        <v>46022.0</v>
      </c>
      <c r="H103" s="241" t="s">
        <v>875</v>
      </c>
      <c r="I103" s="29" t="s">
        <v>42</v>
      </c>
      <c r="J103" s="29" t="s">
        <v>35</v>
      </c>
      <c r="K103" s="94" t="s">
        <v>239</v>
      </c>
      <c r="L103" s="91" t="s">
        <v>876</v>
      </c>
      <c r="M103" s="91" t="s">
        <v>877</v>
      </c>
      <c r="N103" s="232"/>
      <c r="T103" s="229"/>
    </row>
    <row r="104">
      <c r="A104" s="84" t="s">
        <v>883</v>
      </c>
      <c r="B104" s="84" t="s">
        <v>884</v>
      </c>
      <c r="C104" s="21">
        <v>1193.0</v>
      </c>
      <c r="D104" s="22" t="str">
        <f t="shared" si="4"/>
        <v>General</v>
      </c>
      <c r="E104" s="23" t="str">
        <f t="shared" si="2"/>
        <v>Lapsed</v>
      </c>
      <c r="F104" s="25">
        <v>45817.0</v>
      </c>
      <c r="G104" s="227">
        <v>46022.0</v>
      </c>
      <c r="H104" s="28"/>
      <c r="I104" s="29"/>
      <c r="J104" s="30"/>
      <c r="K104" s="31"/>
      <c r="L104" s="91" t="s">
        <v>885</v>
      </c>
      <c r="M104" s="32"/>
      <c r="N104" s="232"/>
      <c r="T104" s="229"/>
    </row>
    <row r="105">
      <c r="A105" s="84" t="s">
        <v>39</v>
      </c>
      <c r="B105" s="84" t="s">
        <v>364</v>
      </c>
      <c r="C105" s="21">
        <v>1185.0</v>
      </c>
      <c r="D105" s="22" t="str">
        <f t="shared" si="4"/>
        <v>General</v>
      </c>
      <c r="E105" s="23" t="str">
        <f t="shared" si="2"/>
        <v>Lapsed</v>
      </c>
      <c r="F105" s="25">
        <v>45817.0</v>
      </c>
      <c r="G105" s="227">
        <v>46022.0</v>
      </c>
      <c r="H105" s="28" t="s">
        <v>365</v>
      </c>
      <c r="I105" s="29" t="s">
        <v>56</v>
      </c>
      <c r="J105" s="30" t="s">
        <v>57</v>
      </c>
      <c r="K105" s="31" t="s">
        <v>63</v>
      </c>
      <c r="L105" s="32" t="s">
        <v>919</v>
      </c>
      <c r="M105" s="32" t="s">
        <v>366</v>
      </c>
      <c r="N105" s="232"/>
      <c r="T105" s="229"/>
    </row>
    <row r="106">
      <c r="A106" s="84" t="s">
        <v>922</v>
      </c>
      <c r="B106" s="84" t="s">
        <v>923</v>
      </c>
      <c r="C106" s="21">
        <v>1183.0</v>
      </c>
      <c r="D106" s="22" t="str">
        <f t="shared" si="4"/>
        <v>General</v>
      </c>
      <c r="E106" s="23" t="str">
        <f t="shared" si="2"/>
        <v>Lapsed</v>
      </c>
      <c r="F106" s="25">
        <v>45480.0</v>
      </c>
      <c r="G106" s="227">
        <v>46022.0</v>
      </c>
      <c r="H106" s="28" t="s">
        <v>924</v>
      </c>
      <c r="I106" s="29" t="s">
        <v>925</v>
      </c>
      <c r="J106" s="30" t="s">
        <v>35</v>
      </c>
      <c r="K106" s="31" t="s">
        <v>926</v>
      </c>
      <c r="L106" s="57" t="s">
        <v>927</v>
      </c>
      <c r="M106" s="32" t="s">
        <v>928</v>
      </c>
      <c r="N106" s="232"/>
      <c r="T106" s="229"/>
    </row>
    <row r="107">
      <c r="A107" s="84" t="s">
        <v>929</v>
      </c>
      <c r="B107" s="84" t="s">
        <v>930</v>
      </c>
      <c r="C107" s="21">
        <v>1182.0</v>
      </c>
      <c r="D107" s="22" t="str">
        <f t="shared" si="4"/>
        <v>General</v>
      </c>
      <c r="E107" s="23" t="str">
        <f t="shared" si="2"/>
        <v>Lapsed</v>
      </c>
      <c r="F107" s="25">
        <v>45817.0</v>
      </c>
      <c r="G107" s="227">
        <v>46022.0</v>
      </c>
      <c r="H107" s="28" t="s">
        <v>931</v>
      </c>
      <c r="I107" s="29" t="s">
        <v>56</v>
      </c>
      <c r="J107" s="30" t="s">
        <v>57</v>
      </c>
      <c r="K107" s="31" t="s">
        <v>63</v>
      </c>
      <c r="L107" s="32" t="s">
        <v>932</v>
      </c>
      <c r="M107" s="32">
        <v>3.075787921E9</v>
      </c>
      <c r="N107" s="232"/>
      <c r="T107" s="229"/>
    </row>
    <row r="108">
      <c r="A108" s="84" t="s">
        <v>995</v>
      </c>
      <c r="B108" s="84" t="s">
        <v>996</v>
      </c>
      <c r="C108" s="21">
        <v>1169.0</v>
      </c>
      <c r="D108" s="22" t="str">
        <f t="shared" si="4"/>
        <v>General</v>
      </c>
      <c r="E108" s="23" t="str">
        <f t="shared" si="2"/>
        <v>Lapsed</v>
      </c>
      <c r="F108" s="25">
        <v>45771.0</v>
      </c>
      <c r="G108" s="227">
        <v>46022.0</v>
      </c>
      <c r="H108" s="28" t="s">
        <v>997</v>
      </c>
      <c r="I108" s="29" t="s">
        <v>190</v>
      </c>
      <c r="J108" s="30" t="s">
        <v>35</v>
      </c>
      <c r="K108" s="31" t="s">
        <v>311</v>
      </c>
      <c r="L108" s="32" t="s">
        <v>998</v>
      </c>
      <c r="M108" s="32">
        <v>9.704308183E9</v>
      </c>
      <c r="N108" s="232"/>
      <c r="T108" s="229"/>
    </row>
    <row r="109">
      <c r="A109" s="84" t="s">
        <v>1010</v>
      </c>
      <c r="B109" s="84" t="s">
        <v>1011</v>
      </c>
      <c r="C109" s="21">
        <v>1165.0</v>
      </c>
      <c r="D109" s="22" t="str">
        <f t="shared" si="4"/>
        <v>General</v>
      </c>
      <c r="E109" s="23" t="str">
        <f t="shared" si="2"/>
        <v>Lapsed</v>
      </c>
      <c r="F109" s="25">
        <v>45817.0</v>
      </c>
      <c r="G109" s="227">
        <v>46022.0</v>
      </c>
      <c r="H109" s="28" t="s">
        <v>1012</v>
      </c>
      <c r="I109" s="29" t="s">
        <v>56</v>
      </c>
      <c r="J109" s="30" t="s">
        <v>57</v>
      </c>
      <c r="K109" s="31" t="s">
        <v>63</v>
      </c>
      <c r="L109" s="102" t="s">
        <v>3542</v>
      </c>
      <c r="M109" s="32">
        <v>3.074140505E9</v>
      </c>
      <c r="N109" s="232"/>
      <c r="T109" s="229"/>
    </row>
    <row r="110">
      <c r="A110" s="84" t="s">
        <v>284</v>
      </c>
      <c r="B110" s="84" t="s">
        <v>1070</v>
      </c>
      <c r="C110" s="21">
        <v>1151.0</v>
      </c>
      <c r="D110" s="22" t="str">
        <f t="shared" si="4"/>
        <v>General</v>
      </c>
      <c r="E110" s="23" t="str">
        <f t="shared" si="2"/>
        <v>Lapsed</v>
      </c>
      <c r="F110" s="25">
        <v>45679.0</v>
      </c>
      <c r="G110" s="227">
        <v>46022.0</v>
      </c>
      <c r="H110" s="28" t="s">
        <v>1071</v>
      </c>
      <c r="I110" s="29" t="s">
        <v>56</v>
      </c>
      <c r="J110" s="30" t="s">
        <v>57</v>
      </c>
      <c r="K110" s="31" t="s">
        <v>63</v>
      </c>
      <c r="L110" s="102" t="s">
        <v>1072</v>
      </c>
      <c r="M110" s="32">
        <v>3.072747991E9</v>
      </c>
      <c r="N110" s="232"/>
      <c r="T110" s="229"/>
    </row>
    <row r="111">
      <c r="A111" s="84" t="s">
        <v>450</v>
      </c>
      <c r="B111" s="84" t="s">
        <v>1073</v>
      </c>
      <c r="C111" s="21">
        <v>1150.0</v>
      </c>
      <c r="D111" s="22" t="str">
        <f t="shared" si="4"/>
        <v>General</v>
      </c>
      <c r="E111" s="23" t="str">
        <f t="shared" si="2"/>
        <v>Lapsed</v>
      </c>
      <c r="F111" s="25">
        <v>45768.0</v>
      </c>
      <c r="G111" s="227">
        <v>46022.0</v>
      </c>
      <c r="H111" s="28" t="s">
        <v>1074</v>
      </c>
      <c r="I111" s="29" t="s">
        <v>497</v>
      </c>
      <c r="J111" s="30" t="s">
        <v>35</v>
      </c>
      <c r="K111" s="31" t="s">
        <v>498</v>
      </c>
      <c r="L111" s="102" t="s">
        <v>1075</v>
      </c>
      <c r="M111" s="32" t="s">
        <v>1076</v>
      </c>
      <c r="T111" s="229"/>
    </row>
    <row r="112">
      <c r="A112" s="84" t="s">
        <v>1078</v>
      </c>
      <c r="B112" s="84" t="s">
        <v>1073</v>
      </c>
      <c r="C112" s="21">
        <v>1149.0</v>
      </c>
      <c r="D112" s="22" t="str">
        <f t="shared" si="4"/>
        <v>General</v>
      </c>
      <c r="E112" s="23" t="str">
        <f t="shared" si="2"/>
        <v>Lapsed</v>
      </c>
      <c r="F112" s="25">
        <v>45768.0</v>
      </c>
      <c r="G112" s="227">
        <v>46022.0</v>
      </c>
      <c r="H112" s="28" t="s">
        <v>1074</v>
      </c>
      <c r="I112" s="29" t="s">
        <v>497</v>
      </c>
      <c r="J112" s="30" t="s">
        <v>35</v>
      </c>
      <c r="K112" s="31" t="s">
        <v>498</v>
      </c>
      <c r="L112" s="102" t="s">
        <v>1079</v>
      </c>
      <c r="M112" s="32" t="s">
        <v>1076</v>
      </c>
      <c r="N112" s="232"/>
      <c r="T112" s="229"/>
    </row>
    <row r="113">
      <c r="A113" s="84" t="s">
        <v>1085</v>
      </c>
      <c r="B113" s="84" t="s">
        <v>1086</v>
      </c>
      <c r="C113" s="21">
        <v>1147.0</v>
      </c>
      <c r="D113" s="22" t="str">
        <f t="shared" si="4"/>
        <v>General</v>
      </c>
      <c r="E113" s="23" t="str">
        <f t="shared" si="2"/>
        <v>Lapsed</v>
      </c>
      <c r="F113" s="25">
        <v>45771.0</v>
      </c>
      <c r="G113" s="227">
        <v>46022.0</v>
      </c>
      <c r="H113" s="28" t="s">
        <v>1087</v>
      </c>
      <c r="I113" s="29" t="s">
        <v>640</v>
      </c>
      <c r="J113" s="30" t="s">
        <v>35</v>
      </c>
      <c r="K113" s="31" t="s">
        <v>641</v>
      </c>
      <c r="L113" s="65" t="s">
        <v>1088</v>
      </c>
      <c r="M113" s="57" t="s">
        <v>1089</v>
      </c>
      <c r="N113" s="232"/>
      <c r="T113" s="229"/>
    </row>
    <row r="114">
      <c r="A114" s="84" t="s">
        <v>1090</v>
      </c>
      <c r="B114" s="84" t="s">
        <v>638</v>
      </c>
      <c r="C114" s="21">
        <v>1146.0</v>
      </c>
      <c r="D114" s="22" t="str">
        <f t="shared" si="4"/>
        <v>General</v>
      </c>
      <c r="E114" s="23" t="str">
        <f t="shared" si="2"/>
        <v>Lapsed</v>
      </c>
      <c r="F114" s="25">
        <v>45768.0</v>
      </c>
      <c r="G114" s="227">
        <v>46022.0</v>
      </c>
      <c r="H114" s="62" t="s">
        <v>639</v>
      </c>
      <c r="I114" s="62" t="s">
        <v>640</v>
      </c>
      <c r="J114" s="63" t="s">
        <v>35</v>
      </c>
      <c r="K114" s="64" t="s">
        <v>641</v>
      </c>
      <c r="L114" s="65" t="s">
        <v>642</v>
      </c>
      <c r="M114" s="66" t="s">
        <v>643</v>
      </c>
      <c r="N114" s="232"/>
      <c r="T114" s="229"/>
    </row>
    <row r="115">
      <c r="A115" s="20" t="s">
        <v>1103</v>
      </c>
      <c r="B115" s="20" t="s">
        <v>1104</v>
      </c>
      <c r="C115" s="21">
        <v>1142.0</v>
      </c>
      <c r="D115" s="22" t="str">
        <f t="shared" si="4"/>
        <v>General</v>
      </c>
      <c r="E115" s="23" t="str">
        <f t="shared" si="2"/>
        <v>Lapsed</v>
      </c>
      <c r="F115" s="25">
        <v>45320.0</v>
      </c>
      <c r="G115" s="227">
        <v>46022.0</v>
      </c>
      <c r="H115" s="28" t="s">
        <v>1105</v>
      </c>
      <c r="I115" s="29" t="s">
        <v>56</v>
      </c>
      <c r="J115" s="30" t="s">
        <v>57</v>
      </c>
      <c r="K115" s="31" t="s">
        <v>63</v>
      </c>
      <c r="L115" s="104" t="s">
        <v>1106</v>
      </c>
      <c r="M115" s="32">
        <v>3.07250428E9</v>
      </c>
      <c r="N115" s="232"/>
      <c r="T115" s="229"/>
    </row>
    <row r="116">
      <c r="A116" s="20" t="s">
        <v>1131</v>
      </c>
      <c r="B116" s="20" t="s">
        <v>1132</v>
      </c>
      <c r="C116" s="21">
        <v>1134.0</v>
      </c>
      <c r="D116" s="22" t="str">
        <f t="shared" si="4"/>
        <v>General</v>
      </c>
      <c r="E116" s="23" t="str">
        <f t="shared" si="2"/>
        <v>Lapsed</v>
      </c>
      <c r="F116" s="25">
        <v>45771.0</v>
      </c>
      <c r="G116" s="227">
        <v>46022.0</v>
      </c>
      <c r="H116" s="28" t="s">
        <v>1133</v>
      </c>
      <c r="I116" s="29" t="s">
        <v>68</v>
      </c>
      <c r="J116" s="30" t="s">
        <v>35</v>
      </c>
      <c r="K116" s="31" t="s">
        <v>69</v>
      </c>
      <c r="L116" s="57" t="s">
        <v>1134</v>
      </c>
      <c r="M116" s="32">
        <v>9.709994004E9</v>
      </c>
      <c r="N116" s="232"/>
      <c r="T116" s="229"/>
    </row>
    <row r="117">
      <c r="A117" s="20" t="s">
        <v>1135</v>
      </c>
      <c r="B117" s="20" t="s">
        <v>1136</v>
      </c>
      <c r="C117" s="21">
        <v>1133.0</v>
      </c>
      <c r="D117" s="22" t="str">
        <f t="shared" si="4"/>
        <v>General</v>
      </c>
      <c r="E117" s="23" t="str">
        <f t="shared" si="2"/>
        <v>Lapsed</v>
      </c>
      <c r="F117" s="25">
        <v>45699.0</v>
      </c>
      <c r="G117" s="227">
        <v>46022.0</v>
      </c>
      <c r="H117" s="28" t="s">
        <v>1137</v>
      </c>
      <c r="I117" s="29" t="s">
        <v>3532</v>
      </c>
      <c r="J117" s="30" t="s">
        <v>35</v>
      </c>
      <c r="K117" s="31" t="s">
        <v>1139</v>
      </c>
      <c r="L117" s="230" t="s">
        <v>1140</v>
      </c>
      <c r="M117" s="32" t="s">
        <v>1141</v>
      </c>
      <c r="N117" s="232"/>
      <c r="T117" s="229"/>
    </row>
    <row r="118">
      <c r="A118" s="20" t="s">
        <v>1153</v>
      </c>
      <c r="B118" s="20" t="s">
        <v>267</v>
      </c>
      <c r="C118" s="21">
        <v>1129.0</v>
      </c>
      <c r="D118" s="22" t="str">
        <f t="shared" si="4"/>
        <v>General</v>
      </c>
      <c r="E118" s="23" t="str">
        <f t="shared" si="2"/>
        <v>Lapsed</v>
      </c>
      <c r="F118" s="25">
        <v>45816.0</v>
      </c>
      <c r="G118" s="227">
        <v>46022.0</v>
      </c>
      <c r="H118" s="28" t="s">
        <v>3543</v>
      </c>
      <c r="I118" s="29" t="s">
        <v>269</v>
      </c>
      <c r="J118" s="30" t="s">
        <v>270</v>
      </c>
      <c r="K118" s="31" t="s">
        <v>271</v>
      </c>
      <c r="L118" s="230" t="s">
        <v>1155</v>
      </c>
      <c r="M118" s="32">
        <v>6.056454634E9</v>
      </c>
      <c r="N118" s="232"/>
      <c r="T118" s="229"/>
    </row>
    <row r="119">
      <c r="A119" s="20" t="s">
        <v>3523</v>
      </c>
      <c r="B119" s="20" t="s">
        <v>1171</v>
      </c>
      <c r="C119" s="21">
        <v>1125.0</v>
      </c>
      <c r="D119" s="22" t="str">
        <f t="shared" si="4"/>
        <v>General</v>
      </c>
      <c r="E119" s="23" t="str">
        <f t="shared" si="2"/>
        <v>Lapsed</v>
      </c>
      <c r="F119" s="25">
        <v>45181.0</v>
      </c>
      <c r="G119" s="227">
        <v>46022.0</v>
      </c>
      <c r="H119" s="28" t="s">
        <v>1172</v>
      </c>
      <c r="I119" s="29" t="s">
        <v>164</v>
      </c>
      <c r="J119" s="30" t="s">
        <v>35</v>
      </c>
      <c r="K119" s="31" t="s">
        <v>165</v>
      </c>
      <c r="L119" s="230" t="s">
        <v>1173</v>
      </c>
      <c r="M119" s="32">
        <v>7.207088379E9</v>
      </c>
      <c r="N119" s="232"/>
      <c r="T119" s="229"/>
    </row>
    <row r="120">
      <c r="A120" s="20" t="s">
        <v>578</v>
      </c>
      <c r="B120" s="20" t="s">
        <v>1187</v>
      </c>
      <c r="C120" s="21">
        <v>1121.0</v>
      </c>
      <c r="D120" s="22" t="str">
        <f t="shared" si="4"/>
        <v>General</v>
      </c>
      <c r="E120" s="23" t="str">
        <f t="shared" si="2"/>
        <v>Lapsed</v>
      </c>
      <c r="F120" s="25">
        <v>45500.0</v>
      </c>
      <c r="G120" s="227">
        <v>46022.0</v>
      </c>
      <c r="H120" s="28" t="s">
        <v>791</v>
      </c>
      <c r="I120" s="29" t="s">
        <v>792</v>
      </c>
      <c r="J120" s="30" t="s">
        <v>35</v>
      </c>
      <c r="K120" s="31" t="s">
        <v>793</v>
      </c>
      <c r="L120" s="230" t="s">
        <v>794</v>
      </c>
      <c r="M120" s="32">
        <v>7.195688667E9</v>
      </c>
      <c r="N120" s="232"/>
      <c r="T120" s="229"/>
    </row>
    <row r="121">
      <c r="A121" s="20" t="s">
        <v>1207</v>
      </c>
      <c r="B121" s="20" t="s">
        <v>1208</v>
      </c>
      <c r="C121" s="21">
        <v>1116.0</v>
      </c>
      <c r="D121" s="22" t="str">
        <f t="shared" si="4"/>
        <v>General</v>
      </c>
      <c r="E121" s="23" t="str">
        <f t="shared" si="2"/>
        <v>Lapsed</v>
      </c>
      <c r="F121" s="25">
        <v>45756.0</v>
      </c>
      <c r="G121" s="227">
        <v>46022.0</v>
      </c>
      <c r="H121" s="28" t="s">
        <v>1209</v>
      </c>
      <c r="I121" s="29" t="s">
        <v>190</v>
      </c>
      <c r="J121" s="30" t="s">
        <v>35</v>
      </c>
      <c r="K121" s="31" t="s">
        <v>311</v>
      </c>
      <c r="L121" s="230" t="s">
        <v>1210</v>
      </c>
      <c r="M121" s="32" t="s">
        <v>1211</v>
      </c>
      <c r="N121" s="232"/>
      <c r="T121" s="229"/>
    </row>
    <row r="122">
      <c r="A122" s="20" t="s">
        <v>1243</v>
      </c>
      <c r="B122" s="20" t="s">
        <v>1244</v>
      </c>
      <c r="C122" s="21">
        <v>1107.0</v>
      </c>
      <c r="D122" s="22" t="str">
        <f t="shared" si="4"/>
        <v>General</v>
      </c>
      <c r="E122" s="23" t="str">
        <f t="shared" si="2"/>
        <v>Lapsed</v>
      </c>
      <c r="F122" s="25">
        <v>45771.0</v>
      </c>
      <c r="G122" s="227">
        <v>46022.0</v>
      </c>
      <c r="H122" s="28" t="s">
        <v>1245</v>
      </c>
      <c r="I122" s="29" t="s">
        <v>56</v>
      </c>
      <c r="J122" s="30" t="s">
        <v>57</v>
      </c>
      <c r="K122" s="31" t="s">
        <v>58</v>
      </c>
      <c r="L122" s="230" t="s">
        <v>1246</v>
      </c>
      <c r="M122" s="32">
        <v>3.074386282E9</v>
      </c>
      <c r="N122" s="232"/>
      <c r="T122" s="229"/>
    </row>
    <row r="123">
      <c r="A123" s="20" t="s">
        <v>1282</v>
      </c>
      <c r="B123" s="20" t="s">
        <v>1283</v>
      </c>
      <c r="C123" s="21">
        <v>1099.0</v>
      </c>
      <c r="D123" s="22" t="str">
        <f t="shared" si="4"/>
        <v>General</v>
      </c>
      <c r="E123" s="23" t="str">
        <f t="shared" si="2"/>
        <v>Lapsed</v>
      </c>
      <c r="F123" s="25">
        <v>45817.0</v>
      </c>
      <c r="G123" s="227">
        <v>46022.0</v>
      </c>
      <c r="H123" s="28" t="s">
        <v>1284</v>
      </c>
      <c r="I123" s="29" t="s">
        <v>305</v>
      </c>
      <c r="J123" s="30" t="s">
        <v>35</v>
      </c>
      <c r="K123" s="31" t="s">
        <v>306</v>
      </c>
      <c r="L123" s="230" t="s">
        <v>1285</v>
      </c>
      <c r="M123" s="32"/>
      <c r="N123" s="232"/>
      <c r="T123" s="229"/>
    </row>
    <row r="124">
      <c r="A124" s="20" t="s">
        <v>1347</v>
      </c>
      <c r="B124" s="20" t="s">
        <v>1348</v>
      </c>
      <c r="C124" s="21">
        <v>1084.0</v>
      </c>
      <c r="D124" s="22" t="str">
        <f t="shared" si="4"/>
        <v>General</v>
      </c>
      <c r="E124" s="23" t="str">
        <f t="shared" si="2"/>
        <v>Lapsed</v>
      </c>
      <c r="F124" s="25">
        <v>45818.0</v>
      </c>
      <c r="G124" s="227">
        <v>46022.0</v>
      </c>
      <c r="H124" s="28" t="s">
        <v>1349</v>
      </c>
      <c r="I124" s="29" t="s">
        <v>42</v>
      </c>
      <c r="J124" s="30" t="s">
        <v>35</v>
      </c>
      <c r="K124" s="31" t="s">
        <v>239</v>
      </c>
      <c r="L124" s="230" t="s">
        <v>1350</v>
      </c>
      <c r="M124" s="32" t="s">
        <v>1351</v>
      </c>
      <c r="N124" s="232"/>
      <c r="T124" s="229"/>
    </row>
    <row r="125">
      <c r="A125" s="20" t="s">
        <v>86</v>
      </c>
      <c r="B125" s="20" t="s">
        <v>1352</v>
      </c>
      <c r="C125" s="21">
        <v>1082.0</v>
      </c>
      <c r="D125" s="22" t="str">
        <f t="shared" si="4"/>
        <v>General</v>
      </c>
      <c r="E125" s="242" t="s">
        <v>3525</v>
      </c>
      <c r="F125" s="25">
        <v>45068.0</v>
      </c>
      <c r="G125" s="227">
        <v>46022.0</v>
      </c>
      <c r="H125" s="28" t="s">
        <v>1353</v>
      </c>
      <c r="I125" s="29" t="s">
        <v>157</v>
      </c>
      <c r="J125" s="30" t="s">
        <v>35</v>
      </c>
      <c r="K125" s="31" t="s">
        <v>158</v>
      </c>
      <c r="L125" s="230" t="s">
        <v>1354</v>
      </c>
      <c r="M125" s="32" t="s">
        <v>185</v>
      </c>
      <c r="N125" s="232"/>
      <c r="T125" s="229"/>
    </row>
    <row r="126">
      <c r="A126" s="20" t="s">
        <v>1355</v>
      </c>
      <c r="B126" s="20" t="s">
        <v>1356</v>
      </c>
      <c r="C126" s="21">
        <v>1081.0</v>
      </c>
      <c r="D126" s="22" t="str">
        <f t="shared" si="4"/>
        <v>General</v>
      </c>
      <c r="E126" s="23" t="str">
        <f t="shared" ref="E126:E214" si="5">IF(G126&gt;TODAY(), "Active","Lapsed")</f>
        <v>Lapsed</v>
      </c>
      <c r="F126" s="25">
        <v>45771.0</v>
      </c>
      <c r="G126" s="227">
        <v>46022.0</v>
      </c>
      <c r="H126" s="28" t="s">
        <v>1357</v>
      </c>
      <c r="I126" s="29" t="s">
        <v>647</v>
      </c>
      <c r="J126" s="30" t="s">
        <v>35</v>
      </c>
      <c r="K126" s="31" t="s">
        <v>137</v>
      </c>
      <c r="L126" s="230" t="s">
        <v>1358</v>
      </c>
      <c r="M126" s="32">
        <v>3.03990388E9</v>
      </c>
      <c r="N126" s="232"/>
      <c r="T126" s="229"/>
    </row>
    <row r="127">
      <c r="A127" s="20" t="s">
        <v>326</v>
      </c>
      <c r="B127" s="20" t="s">
        <v>1364</v>
      </c>
      <c r="C127" s="21">
        <v>1079.0</v>
      </c>
      <c r="D127" s="22" t="str">
        <f t="shared" si="4"/>
        <v>General</v>
      </c>
      <c r="E127" s="23" t="str">
        <f t="shared" si="5"/>
        <v>Lapsed</v>
      </c>
      <c r="F127" s="25">
        <v>45771.0</v>
      </c>
      <c r="G127" s="227">
        <v>46022.0</v>
      </c>
      <c r="H127" s="28" t="s">
        <v>1365</v>
      </c>
      <c r="I127" s="29" t="s">
        <v>1366</v>
      </c>
      <c r="J127" s="30" t="s">
        <v>35</v>
      </c>
      <c r="K127" s="31" t="s">
        <v>1367</v>
      </c>
      <c r="L127" s="230" t="s">
        <v>1368</v>
      </c>
      <c r="M127" s="32" t="s">
        <v>1369</v>
      </c>
      <c r="N127" s="232"/>
      <c r="T127" s="229"/>
    </row>
    <row r="128">
      <c r="A128" s="20" t="s">
        <v>1370</v>
      </c>
      <c r="B128" s="20" t="s">
        <v>1136</v>
      </c>
      <c r="C128" s="21">
        <v>1078.0</v>
      </c>
      <c r="D128" s="22" t="str">
        <f t="shared" si="4"/>
        <v>General</v>
      </c>
      <c r="E128" s="23" t="str">
        <f t="shared" si="5"/>
        <v>Lapsed</v>
      </c>
      <c r="F128" s="25">
        <v>45699.0</v>
      </c>
      <c r="G128" s="227">
        <v>46022.0</v>
      </c>
      <c r="H128" s="28" t="s">
        <v>1137</v>
      </c>
      <c r="I128" s="29" t="s">
        <v>3532</v>
      </c>
      <c r="J128" s="30" t="s">
        <v>35</v>
      </c>
      <c r="K128" s="31" t="s">
        <v>1139</v>
      </c>
      <c r="L128" s="230" t="s">
        <v>1140</v>
      </c>
      <c r="M128" s="32" t="s">
        <v>1141</v>
      </c>
      <c r="N128" s="232"/>
      <c r="T128" s="229"/>
    </row>
    <row r="129">
      <c r="A129" s="20" t="s">
        <v>984</v>
      </c>
      <c r="B129" s="20" t="s">
        <v>1136</v>
      </c>
      <c r="C129" s="21">
        <v>1077.0</v>
      </c>
      <c r="D129" s="22" t="str">
        <f t="shared" si="4"/>
        <v>General</v>
      </c>
      <c r="E129" s="23" t="str">
        <f t="shared" si="5"/>
        <v>Lapsed</v>
      </c>
      <c r="F129" s="25">
        <v>45699.0</v>
      </c>
      <c r="G129" s="227">
        <v>46022.0</v>
      </c>
      <c r="H129" s="28" t="s">
        <v>1137</v>
      </c>
      <c r="I129" s="29" t="s">
        <v>3532</v>
      </c>
      <c r="J129" s="30" t="s">
        <v>35</v>
      </c>
      <c r="K129" s="31" t="s">
        <v>1139</v>
      </c>
      <c r="L129" s="230" t="s">
        <v>1140</v>
      </c>
      <c r="M129" s="32" t="s">
        <v>1141</v>
      </c>
      <c r="N129" s="232"/>
      <c r="T129" s="229"/>
    </row>
    <row r="130">
      <c r="A130" s="20" t="s">
        <v>1371</v>
      </c>
      <c r="B130" s="20" t="s">
        <v>1136</v>
      </c>
      <c r="C130" s="21">
        <v>1076.0</v>
      </c>
      <c r="D130" s="22" t="str">
        <f t="shared" si="4"/>
        <v>General</v>
      </c>
      <c r="E130" s="23" t="str">
        <f t="shared" si="5"/>
        <v>Lapsed</v>
      </c>
      <c r="F130" s="25">
        <v>45699.0</v>
      </c>
      <c r="G130" s="227">
        <v>46022.0</v>
      </c>
      <c r="H130" s="28" t="s">
        <v>1137</v>
      </c>
      <c r="I130" s="29" t="s">
        <v>3532</v>
      </c>
      <c r="J130" s="30" t="s">
        <v>35</v>
      </c>
      <c r="K130" s="31" t="s">
        <v>1139</v>
      </c>
      <c r="L130" s="230" t="s">
        <v>1140</v>
      </c>
      <c r="M130" s="32" t="s">
        <v>1141</v>
      </c>
      <c r="N130" s="232"/>
      <c r="T130" s="229"/>
    </row>
    <row r="131">
      <c r="A131" s="20" t="s">
        <v>1200</v>
      </c>
      <c r="B131" s="20" t="s">
        <v>1385</v>
      </c>
      <c r="C131" s="21">
        <v>1072.0</v>
      </c>
      <c r="D131" s="22" t="str">
        <f t="shared" si="4"/>
        <v>General</v>
      </c>
      <c r="E131" s="23" t="str">
        <f t="shared" si="5"/>
        <v>Lapsed</v>
      </c>
      <c r="F131" s="25">
        <v>45817.0</v>
      </c>
      <c r="G131" s="227">
        <v>46022.0</v>
      </c>
      <c r="H131" s="28" t="s">
        <v>1386</v>
      </c>
      <c r="I131" s="29" t="s">
        <v>3527</v>
      </c>
      <c r="J131" s="30" t="s">
        <v>35</v>
      </c>
      <c r="K131" s="31" t="s">
        <v>402</v>
      </c>
      <c r="L131" s="243" t="s">
        <v>1387</v>
      </c>
      <c r="M131" s="32" t="s">
        <v>1388</v>
      </c>
      <c r="N131" s="232"/>
      <c r="T131" s="229"/>
    </row>
    <row r="132">
      <c r="A132" s="20" t="s">
        <v>423</v>
      </c>
      <c r="B132" s="20" t="s">
        <v>1385</v>
      </c>
      <c r="C132" s="21">
        <v>1071.0</v>
      </c>
      <c r="D132" s="22" t="str">
        <f t="shared" si="4"/>
        <v>General</v>
      </c>
      <c r="E132" s="23" t="str">
        <f t="shared" si="5"/>
        <v>Lapsed</v>
      </c>
      <c r="F132" s="25">
        <v>45801.0</v>
      </c>
      <c r="G132" s="227">
        <v>46022.0</v>
      </c>
      <c r="H132" s="28" t="s">
        <v>1386</v>
      </c>
      <c r="I132" s="29" t="s">
        <v>3527</v>
      </c>
      <c r="J132" s="30" t="s">
        <v>35</v>
      </c>
      <c r="K132" s="31" t="s">
        <v>402</v>
      </c>
      <c r="L132" s="181" t="s">
        <v>1389</v>
      </c>
      <c r="M132" s="32" t="s">
        <v>1388</v>
      </c>
      <c r="N132" s="232"/>
      <c r="T132" s="229"/>
    </row>
    <row r="133">
      <c r="A133" s="20" t="s">
        <v>1085</v>
      </c>
      <c r="B133" s="20" t="s">
        <v>623</v>
      </c>
      <c r="C133" s="21">
        <v>1070.0</v>
      </c>
      <c r="D133" s="22" t="str">
        <f t="shared" si="4"/>
        <v>General</v>
      </c>
      <c r="E133" s="23" t="str">
        <f t="shared" si="5"/>
        <v>Lapsed</v>
      </c>
      <c r="F133" s="25">
        <v>45768.0</v>
      </c>
      <c r="G133" s="227">
        <v>46022.0</v>
      </c>
      <c r="H133" s="28" t="s">
        <v>1390</v>
      </c>
      <c r="I133" s="29" t="s">
        <v>89</v>
      </c>
      <c r="J133" s="30" t="s">
        <v>35</v>
      </c>
      <c r="K133" s="31" t="s">
        <v>1391</v>
      </c>
      <c r="L133" s="28" t="s">
        <v>1392</v>
      </c>
      <c r="M133" s="32">
        <v>5.128203761E9</v>
      </c>
      <c r="N133" s="232"/>
      <c r="T133" s="229"/>
    </row>
    <row r="134">
      <c r="A134" s="20" t="s">
        <v>1401</v>
      </c>
      <c r="B134" s="20" t="s">
        <v>1402</v>
      </c>
      <c r="C134" s="21">
        <v>1068.0</v>
      </c>
      <c r="D134" s="22" t="str">
        <f t="shared" si="4"/>
        <v>General</v>
      </c>
      <c r="E134" s="23" t="str">
        <f t="shared" si="5"/>
        <v>Lapsed</v>
      </c>
      <c r="F134" s="25">
        <v>45817.0</v>
      </c>
      <c r="G134" s="227">
        <v>46022.0</v>
      </c>
      <c r="H134" s="28" t="s">
        <v>1403</v>
      </c>
      <c r="I134" s="29" t="s">
        <v>89</v>
      </c>
      <c r="J134" s="30" t="s">
        <v>35</v>
      </c>
      <c r="K134" s="31" t="s">
        <v>90</v>
      </c>
      <c r="L134" s="28" t="s">
        <v>1404</v>
      </c>
      <c r="M134" s="32">
        <v>9.702278255E9</v>
      </c>
      <c r="N134" s="232"/>
      <c r="T134" s="229"/>
    </row>
    <row r="135">
      <c r="A135" s="20" t="s">
        <v>1412</v>
      </c>
      <c r="B135" s="20" t="s">
        <v>1413</v>
      </c>
      <c r="C135" s="21">
        <v>1065.0</v>
      </c>
      <c r="D135" s="22" t="str">
        <f t="shared" si="4"/>
        <v>General</v>
      </c>
      <c r="E135" s="23" t="str">
        <f t="shared" si="5"/>
        <v>Lapsed</v>
      </c>
      <c r="F135" s="25">
        <v>45342.0</v>
      </c>
      <c r="G135" s="227">
        <v>46022.0</v>
      </c>
      <c r="H135" s="28" t="s">
        <v>1414</v>
      </c>
      <c r="I135" s="29" t="s">
        <v>1415</v>
      </c>
      <c r="J135" s="30" t="s">
        <v>35</v>
      </c>
      <c r="K135" s="31" t="s">
        <v>1416</v>
      </c>
      <c r="L135" s="28" t="s">
        <v>1417</v>
      </c>
      <c r="M135" s="32">
        <v>3.039410129E9</v>
      </c>
      <c r="N135" s="232"/>
      <c r="T135" s="229"/>
    </row>
    <row r="136">
      <c r="A136" s="20" t="s">
        <v>1454</v>
      </c>
      <c r="B136" s="20" t="s">
        <v>1451</v>
      </c>
      <c r="C136" s="21">
        <v>1056.0</v>
      </c>
      <c r="D136" s="22" t="str">
        <f t="shared" si="4"/>
        <v>General</v>
      </c>
      <c r="E136" s="23" t="str">
        <f t="shared" si="5"/>
        <v>Lapsed</v>
      </c>
      <c r="F136" s="25">
        <v>45771.0</v>
      </c>
      <c r="G136" s="227">
        <v>46022.0</v>
      </c>
      <c r="H136" s="28" t="s">
        <v>1452</v>
      </c>
      <c r="I136" s="29" t="s">
        <v>939</v>
      </c>
      <c r="J136" s="30" t="s">
        <v>35</v>
      </c>
      <c r="K136" s="31" t="s">
        <v>940</v>
      </c>
      <c r="L136" s="28" t="s">
        <v>1455</v>
      </c>
      <c r="M136" s="32" t="s">
        <v>1456</v>
      </c>
      <c r="N136" s="232"/>
      <c r="T136" s="229"/>
    </row>
    <row r="137">
      <c r="A137" s="20" t="s">
        <v>1466</v>
      </c>
      <c r="B137" s="20" t="s">
        <v>446</v>
      </c>
      <c r="C137" s="21">
        <v>1053.0</v>
      </c>
      <c r="D137" s="22" t="str">
        <f t="shared" si="4"/>
        <v>General</v>
      </c>
      <c r="E137" s="23" t="str">
        <f t="shared" si="5"/>
        <v>Lapsed</v>
      </c>
      <c r="F137" s="25">
        <v>45771.0</v>
      </c>
      <c r="G137" s="227">
        <v>46022.0</v>
      </c>
      <c r="H137" s="28" t="s">
        <v>447</v>
      </c>
      <c r="I137" s="29" t="s">
        <v>448</v>
      </c>
      <c r="J137" s="30" t="s">
        <v>35</v>
      </c>
      <c r="K137" s="31" t="s">
        <v>277</v>
      </c>
      <c r="L137" s="57" t="s">
        <v>449</v>
      </c>
      <c r="M137" s="32">
        <v>9.72420181E9</v>
      </c>
      <c r="N137" s="232"/>
      <c r="T137" s="229"/>
    </row>
    <row r="138">
      <c r="A138" s="20" t="s">
        <v>1474</v>
      </c>
      <c r="B138" s="20" t="s">
        <v>1475</v>
      </c>
      <c r="C138" s="21">
        <v>1050.0</v>
      </c>
      <c r="D138" s="22" t="str">
        <f t="shared" si="4"/>
        <v>General</v>
      </c>
      <c r="E138" s="23" t="str">
        <f t="shared" si="5"/>
        <v>Lapsed</v>
      </c>
      <c r="F138" s="25">
        <v>45771.0</v>
      </c>
      <c r="G138" s="227">
        <v>46022.0</v>
      </c>
      <c r="H138" s="28" t="s">
        <v>1476</v>
      </c>
      <c r="I138" s="29" t="s">
        <v>743</v>
      </c>
      <c r="J138" s="30" t="s">
        <v>35</v>
      </c>
      <c r="K138" s="31" t="s">
        <v>744</v>
      </c>
      <c r="L138" s="28" t="s">
        <v>1477</v>
      </c>
      <c r="M138" s="32" t="s">
        <v>1478</v>
      </c>
      <c r="N138" s="232"/>
      <c r="P138" s="244"/>
      <c r="T138" s="245"/>
    </row>
    <row r="139">
      <c r="A139" s="20" t="s">
        <v>1512</v>
      </c>
      <c r="B139" s="20" t="s">
        <v>1513</v>
      </c>
      <c r="C139" s="21">
        <v>1043.0</v>
      </c>
      <c r="D139" s="22" t="str">
        <f t="shared" si="4"/>
        <v>General</v>
      </c>
      <c r="E139" s="23" t="str">
        <f t="shared" si="5"/>
        <v>Lapsed</v>
      </c>
      <c r="F139" s="25">
        <v>45679.0</v>
      </c>
      <c r="G139" s="227">
        <v>46022.0</v>
      </c>
      <c r="H139" s="28" t="s">
        <v>62</v>
      </c>
      <c r="I139" s="29" t="s">
        <v>56</v>
      </c>
      <c r="J139" s="30" t="s">
        <v>57</v>
      </c>
      <c r="K139" s="31" t="s">
        <v>63</v>
      </c>
      <c r="L139" s="28" t="s">
        <v>64</v>
      </c>
      <c r="M139" s="32">
        <v>3.076317316E9</v>
      </c>
      <c r="N139" s="232"/>
      <c r="T139" s="229"/>
    </row>
    <row r="140">
      <c r="A140" s="20" t="s">
        <v>1240</v>
      </c>
      <c r="B140" s="20" t="s">
        <v>495</v>
      </c>
      <c r="C140" s="21">
        <v>1042.0</v>
      </c>
      <c r="D140" s="22" t="str">
        <f t="shared" si="4"/>
        <v>General</v>
      </c>
      <c r="E140" s="23" t="str">
        <f t="shared" si="5"/>
        <v>Lapsed</v>
      </c>
      <c r="F140" s="25">
        <v>45771.0</v>
      </c>
      <c r="G140" s="227">
        <v>46022.0</v>
      </c>
      <c r="H140" s="28" t="s">
        <v>496</v>
      </c>
      <c r="I140" s="29" t="s">
        <v>497</v>
      </c>
      <c r="J140" s="30" t="s">
        <v>35</v>
      </c>
      <c r="K140" s="31" t="s">
        <v>498</v>
      </c>
      <c r="L140" s="28" t="s">
        <v>499</v>
      </c>
      <c r="M140" s="32" t="s">
        <v>500</v>
      </c>
      <c r="N140" s="232"/>
      <c r="T140" s="229"/>
    </row>
    <row r="141">
      <c r="A141" s="20" t="s">
        <v>1598</v>
      </c>
      <c r="B141" s="20" t="s">
        <v>1599</v>
      </c>
      <c r="C141" s="21">
        <v>1023.0</v>
      </c>
      <c r="D141" s="22" t="str">
        <f t="shared" si="4"/>
        <v>General</v>
      </c>
      <c r="E141" s="23" t="str">
        <f t="shared" si="5"/>
        <v>Lapsed</v>
      </c>
      <c r="F141" s="25">
        <v>45768.0</v>
      </c>
      <c r="G141" s="227">
        <v>46022.0</v>
      </c>
      <c r="H141" s="28" t="s">
        <v>1600</v>
      </c>
      <c r="I141" s="29" t="s">
        <v>1366</v>
      </c>
      <c r="J141" s="30" t="s">
        <v>35</v>
      </c>
      <c r="K141" s="31" t="s">
        <v>1367</v>
      </c>
      <c r="L141" s="28" t="s">
        <v>1601</v>
      </c>
      <c r="M141" s="32">
        <v>3.033040858E9</v>
      </c>
      <c r="N141" s="232"/>
      <c r="T141" s="229"/>
    </row>
    <row r="142">
      <c r="A142" s="20" t="s">
        <v>1603</v>
      </c>
      <c r="B142" s="20" t="s">
        <v>1604</v>
      </c>
      <c r="C142" s="21">
        <v>1021.0</v>
      </c>
      <c r="D142" s="22" t="str">
        <f t="shared" si="4"/>
        <v>General</v>
      </c>
      <c r="E142" s="23" t="str">
        <f t="shared" si="5"/>
        <v>Lapsed</v>
      </c>
      <c r="F142" s="25">
        <v>45817.0</v>
      </c>
      <c r="G142" s="227">
        <v>46022.0</v>
      </c>
      <c r="H142" s="28" t="s">
        <v>1605</v>
      </c>
      <c r="I142" s="29" t="s">
        <v>939</v>
      </c>
      <c r="J142" s="30" t="s">
        <v>35</v>
      </c>
      <c r="K142" s="31" t="s">
        <v>940</v>
      </c>
      <c r="L142" s="28" t="s">
        <v>1606</v>
      </c>
      <c r="M142" s="32">
        <v>3.077031168E9</v>
      </c>
      <c r="N142" s="232"/>
      <c r="T142" s="229"/>
    </row>
    <row r="143">
      <c r="A143" s="20" t="s">
        <v>1355</v>
      </c>
      <c r="B143" s="20" t="s">
        <v>1616</v>
      </c>
      <c r="C143" s="21">
        <v>1017.0</v>
      </c>
      <c r="D143" s="22" t="str">
        <f t="shared" si="4"/>
        <v>General</v>
      </c>
      <c r="E143" s="23" t="str">
        <f t="shared" si="5"/>
        <v>Lapsed</v>
      </c>
      <c r="F143" s="25">
        <v>45771.0</v>
      </c>
      <c r="G143" s="227">
        <v>46022.0</v>
      </c>
      <c r="H143" s="28" t="s">
        <v>1617</v>
      </c>
      <c r="I143" s="29" t="s">
        <v>89</v>
      </c>
      <c r="J143" s="30" t="s">
        <v>35</v>
      </c>
      <c r="K143" s="31" t="s">
        <v>90</v>
      </c>
      <c r="L143" s="28" t="s">
        <v>1618</v>
      </c>
      <c r="M143" s="32">
        <v>7.203570971E9</v>
      </c>
      <c r="N143" s="232"/>
      <c r="T143" s="229"/>
    </row>
    <row r="144">
      <c r="A144" s="20" t="s">
        <v>1647</v>
      </c>
      <c r="B144" s="20" t="s">
        <v>709</v>
      </c>
      <c r="C144" s="21">
        <v>1009.0</v>
      </c>
      <c r="D144" s="22" t="str">
        <f t="shared" si="4"/>
        <v>General</v>
      </c>
      <c r="E144" s="23" t="str">
        <f t="shared" si="5"/>
        <v>Lapsed</v>
      </c>
      <c r="F144" s="25">
        <v>45351.0</v>
      </c>
      <c r="G144" s="227">
        <v>46022.0</v>
      </c>
      <c r="H144" s="28" t="s">
        <v>710</v>
      </c>
      <c r="I144" s="29" t="s">
        <v>68</v>
      </c>
      <c r="J144" s="30" t="s">
        <v>35</v>
      </c>
      <c r="K144" s="31" t="s">
        <v>69</v>
      </c>
      <c r="L144" s="65" t="s">
        <v>711</v>
      </c>
      <c r="M144" s="32" t="s">
        <v>1648</v>
      </c>
      <c r="N144" s="232"/>
      <c r="T144" s="229"/>
    </row>
    <row r="145">
      <c r="A145" s="20" t="s">
        <v>1673</v>
      </c>
      <c r="B145" s="20" t="s">
        <v>1674</v>
      </c>
      <c r="C145" s="21">
        <v>1002.0</v>
      </c>
      <c r="D145" s="22" t="str">
        <f t="shared" si="4"/>
        <v>General</v>
      </c>
      <c r="E145" s="23" t="str">
        <f t="shared" si="5"/>
        <v>Lapsed</v>
      </c>
      <c r="F145" s="25">
        <v>45817.0</v>
      </c>
      <c r="G145" s="227">
        <v>46022.0</v>
      </c>
      <c r="H145" s="28" t="s">
        <v>1675</v>
      </c>
      <c r="I145" s="29" t="s">
        <v>42</v>
      </c>
      <c r="J145" s="30" t="s">
        <v>35</v>
      </c>
      <c r="K145" s="31" t="s">
        <v>43</v>
      </c>
      <c r="L145" s="65" t="s">
        <v>1676</v>
      </c>
      <c r="M145" s="32" t="s">
        <v>1677</v>
      </c>
      <c r="N145" s="232"/>
      <c r="T145" s="229"/>
    </row>
    <row r="146">
      <c r="A146" s="20" t="s">
        <v>1678</v>
      </c>
      <c r="B146" s="20" t="s">
        <v>1674</v>
      </c>
      <c r="C146" s="21">
        <v>1002.0</v>
      </c>
      <c r="D146" s="22" t="str">
        <f t="shared" si="4"/>
        <v>General</v>
      </c>
      <c r="E146" s="23" t="str">
        <f t="shared" si="5"/>
        <v>Lapsed</v>
      </c>
      <c r="F146" s="25">
        <v>45817.0</v>
      </c>
      <c r="G146" s="227">
        <v>46022.0</v>
      </c>
      <c r="H146" s="28" t="s">
        <v>1675</v>
      </c>
      <c r="I146" s="29" t="s">
        <v>42</v>
      </c>
      <c r="J146" s="30" t="s">
        <v>35</v>
      </c>
      <c r="K146" s="31" t="s">
        <v>43</v>
      </c>
      <c r="L146" s="65" t="s">
        <v>1679</v>
      </c>
      <c r="M146" s="32" t="s">
        <v>1677</v>
      </c>
      <c r="N146" s="232"/>
      <c r="T146" s="229"/>
    </row>
    <row r="147">
      <c r="A147" s="20" t="s">
        <v>1680</v>
      </c>
      <c r="B147" s="20" t="s">
        <v>1674</v>
      </c>
      <c r="C147" s="21">
        <v>1002.0</v>
      </c>
      <c r="D147" s="22" t="str">
        <f t="shared" si="4"/>
        <v>General</v>
      </c>
      <c r="E147" s="23" t="str">
        <f t="shared" si="5"/>
        <v>Lapsed</v>
      </c>
      <c r="F147" s="25">
        <v>45817.0</v>
      </c>
      <c r="G147" s="227">
        <v>46022.0</v>
      </c>
      <c r="H147" s="28" t="s">
        <v>1675</v>
      </c>
      <c r="I147" s="29" t="s">
        <v>42</v>
      </c>
      <c r="J147" s="30" t="s">
        <v>35</v>
      </c>
      <c r="K147" s="31" t="s">
        <v>43</v>
      </c>
      <c r="L147" s="65" t="s">
        <v>1676</v>
      </c>
      <c r="M147" s="32" t="s">
        <v>1681</v>
      </c>
      <c r="N147" s="232"/>
      <c r="T147" s="229"/>
    </row>
    <row r="148">
      <c r="A148" s="20" t="s">
        <v>1687</v>
      </c>
      <c r="B148" s="20" t="s">
        <v>1688</v>
      </c>
      <c r="C148" s="21">
        <v>1000.0</v>
      </c>
      <c r="D148" s="22" t="str">
        <f t="shared" si="4"/>
        <v>General</v>
      </c>
      <c r="E148" s="23" t="str">
        <f t="shared" si="5"/>
        <v>Lapsed</v>
      </c>
      <c r="F148" s="25">
        <v>45771.0</v>
      </c>
      <c r="G148" s="227">
        <v>46022.0</v>
      </c>
      <c r="H148" s="28" t="s">
        <v>1689</v>
      </c>
      <c r="I148" s="29" t="s">
        <v>190</v>
      </c>
      <c r="J148" s="30" t="s">
        <v>35</v>
      </c>
      <c r="K148" s="31" t="s">
        <v>191</v>
      </c>
      <c r="L148" s="65" t="s">
        <v>1690</v>
      </c>
      <c r="M148" s="32" t="s">
        <v>1691</v>
      </c>
      <c r="T148" s="229"/>
    </row>
    <row r="149">
      <c r="A149" s="20" t="s">
        <v>1694</v>
      </c>
      <c r="B149" s="20" t="s">
        <v>3526</v>
      </c>
      <c r="C149" s="21">
        <v>999.0</v>
      </c>
      <c r="D149" s="22" t="str">
        <f t="shared" si="4"/>
        <v>General</v>
      </c>
      <c r="E149" s="23" t="str">
        <f t="shared" si="5"/>
        <v>Lapsed</v>
      </c>
      <c r="F149" s="25">
        <v>45740.0</v>
      </c>
      <c r="G149" s="227">
        <v>46022.0</v>
      </c>
      <c r="H149" s="28" t="s">
        <v>1696</v>
      </c>
      <c r="I149" s="29" t="s">
        <v>647</v>
      </c>
      <c r="J149" s="30" t="s">
        <v>35</v>
      </c>
      <c r="K149" s="31" t="s">
        <v>1062</v>
      </c>
      <c r="L149" s="246" t="s">
        <v>1697</v>
      </c>
      <c r="M149" s="32" t="s">
        <v>1698</v>
      </c>
      <c r="P149" s="244"/>
      <c r="T149" s="229"/>
    </row>
    <row r="150">
      <c r="A150" s="84" t="s">
        <v>1708</v>
      </c>
      <c r="B150" s="20" t="s">
        <v>1709</v>
      </c>
      <c r="C150" s="21">
        <v>996.0</v>
      </c>
      <c r="D150" s="22" t="str">
        <f t="shared" si="4"/>
        <v>General</v>
      </c>
      <c r="E150" s="23" t="str">
        <f t="shared" si="5"/>
        <v>Lapsed</v>
      </c>
      <c r="F150" s="25">
        <v>45756.0</v>
      </c>
      <c r="G150" s="227">
        <v>46022.0</v>
      </c>
      <c r="H150" s="28" t="s">
        <v>1710</v>
      </c>
      <c r="I150" s="29" t="s">
        <v>322</v>
      </c>
      <c r="J150" s="30" t="s">
        <v>35</v>
      </c>
      <c r="K150" s="42" t="s">
        <v>323</v>
      </c>
      <c r="L150" s="65" t="s">
        <v>1711</v>
      </c>
      <c r="M150" s="32" t="s">
        <v>1712</v>
      </c>
      <c r="N150" s="232"/>
      <c r="T150" s="229"/>
    </row>
    <row r="151">
      <c r="A151" s="87" t="s">
        <v>1315</v>
      </c>
      <c r="B151" s="87" t="s">
        <v>1788</v>
      </c>
      <c r="C151" s="75">
        <v>979.0</v>
      </c>
      <c r="D151" s="22" t="str">
        <f t="shared" si="4"/>
        <v>General</v>
      </c>
      <c r="E151" s="23" t="str">
        <f t="shared" si="5"/>
        <v>Lapsed</v>
      </c>
      <c r="F151" s="25">
        <v>45019.0</v>
      </c>
      <c r="G151" s="227">
        <v>46022.0</v>
      </c>
      <c r="H151" s="62" t="s">
        <v>1789</v>
      </c>
      <c r="I151" s="62" t="s">
        <v>448</v>
      </c>
      <c r="J151" s="63" t="s">
        <v>35</v>
      </c>
      <c r="K151" s="64">
        <v>80513.0</v>
      </c>
      <c r="L151" s="181" t="s">
        <v>1790</v>
      </c>
      <c r="M151" s="66" t="s">
        <v>1791</v>
      </c>
      <c r="T151" s="229"/>
    </row>
    <row r="152">
      <c r="A152" s="87" t="s">
        <v>1081</v>
      </c>
      <c r="B152" s="87" t="s">
        <v>1803</v>
      </c>
      <c r="C152" s="75">
        <v>975.0</v>
      </c>
      <c r="D152" s="22" t="str">
        <f t="shared" si="4"/>
        <v>General</v>
      </c>
      <c r="E152" s="23" t="str">
        <f t="shared" si="5"/>
        <v>Lapsed</v>
      </c>
      <c r="F152" s="146">
        <v>45771.0</v>
      </c>
      <c r="G152" s="227">
        <v>46022.0</v>
      </c>
      <c r="H152" s="62" t="s">
        <v>1804</v>
      </c>
      <c r="I152" s="62" t="s">
        <v>1805</v>
      </c>
      <c r="J152" s="63" t="s">
        <v>35</v>
      </c>
      <c r="K152" s="64">
        <v>80466.0</v>
      </c>
      <c r="L152" s="181" t="s">
        <v>1806</v>
      </c>
      <c r="M152" s="66" t="s">
        <v>1807</v>
      </c>
      <c r="T152" s="229"/>
    </row>
    <row r="153">
      <c r="A153" s="87" t="s">
        <v>1833</v>
      </c>
      <c r="B153" s="87" t="s">
        <v>1834</v>
      </c>
      <c r="C153" s="75">
        <v>969.0</v>
      </c>
      <c r="D153" s="22" t="str">
        <f t="shared" si="4"/>
        <v>General</v>
      </c>
      <c r="E153" s="23" t="str">
        <f t="shared" si="5"/>
        <v>Lapsed</v>
      </c>
      <c r="F153" s="25">
        <v>45753.0</v>
      </c>
      <c r="G153" s="227">
        <v>46022.0</v>
      </c>
      <c r="H153" s="62" t="s">
        <v>1835</v>
      </c>
      <c r="I153" s="62" t="s">
        <v>1836</v>
      </c>
      <c r="J153" s="63" t="s">
        <v>35</v>
      </c>
      <c r="K153" s="64">
        <v>81625.0</v>
      </c>
      <c r="L153" s="246" t="s">
        <v>1837</v>
      </c>
      <c r="M153" s="66" t="s">
        <v>1838</v>
      </c>
      <c r="T153" s="229"/>
    </row>
    <row r="154">
      <c r="A154" s="149" t="s">
        <v>1862</v>
      </c>
      <c r="B154" s="149" t="s">
        <v>1863</v>
      </c>
      <c r="C154" s="142">
        <v>962.0</v>
      </c>
      <c r="D154" s="22" t="str">
        <f t="shared" si="4"/>
        <v>General</v>
      </c>
      <c r="E154" s="23" t="str">
        <f t="shared" si="5"/>
        <v>Lapsed</v>
      </c>
      <c r="F154" s="25">
        <v>45771.0</v>
      </c>
      <c r="G154" s="227">
        <v>46022.0</v>
      </c>
      <c r="H154" s="150" t="s">
        <v>1864</v>
      </c>
      <c r="I154" s="133" t="s">
        <v>42</v>
      </c>
      <c r="J154" s="151" t="s">
        <v>35</v>
      </c>
      <c r="K154" s="152">
        <v>80524.0</v>
      </c>
      <c r="L154" s="247" t="s">
        <v>1865</v>
      </c>
      <c r="M154" s="154" t="s">
        <v>1866</v>
      </c>
      <c r="T154" s="229"/>
    </row>
    <row r="155">
      <c r="A155" s="87" t="s">
        <v>1359</v>
      </c>
      <c r="B155" s="87" t="s">
        <v>1872</v>
      </c>
      <c r="C155" s="75">
        <v>959.0</v>
      </c>
      <c r="D155" s="22" t="str">
        <f t="shared" si="4"/>
        <v>General</v>
      </c>
      <c r="E155" s="23" t="str">
        <f t="shared" si="5"/>
        <v>Lapsed</v>
      </c>
      <c r="F155" s="25">
        <v>45817.0</v>
      </c>
      <c r="G155" s="227">
        <v>46022.0</v>
      </c>
      <c r="H155" s="62" t="s">
        <v>1873</v>
      </c>
      <c r="I155" s="62" t="s">
        <v>3527</v>
      </c>
      <c r="J155" s="63" t="s">
        <v>35</v>
      </c>
      <c r="K155" s="64">
        <v>80602.0</v>
      </c>
      <c r="L155" s="181" t="s">
        <v>1874</v>
      </c>
      <c r="M155" s="66" t="s">
        <v>1875</v>
      </c>
      <c r="T155" s="229"/>
    </row>
    <row r="156">
      <c r="A156" s="87" t="s">
        <v>1876</v>
      </c>
      <c r="B156" s="87" t="s">
        <v>1877</v>
      </c>
      <c r="C156" s="75">
        <v>958.0</v>
      </c>
      <c r="D156" s="22" t="str">
        <f t="shared" si="4"/>
        <v>General</v>
      </c>
      <c r="E156" s="23" t="str">
        <f t="shared" si="5"/>
        <v>Lapsed</v>
      </c>
      <c r="F156" s="25">
        <v>45771.0</v>
      </c>
      <c r="G156" s="227">
        <v>46022.0</v>
      </c>
      <c r="H156" s="62" t="s">
        <v>1878</v>
      </c>
      <c r="I156" s="62" t="s">
        <v>898</v>
      </c>
      <c r="J156" s="63" t="s">
        <v>35</v>
      </c>
      <c r="K156" s="64">
        <v>80631.0</v>
      </c>
      <c r="L156" s="181" t="s">
        <v>1879</v>
      </c>
      <c r="M156" s="66" t="s">
        <v>1880</v>
      </c>
      <c r="T156" s="229"/>
    </row>
    <row r="157">
      <c r="A157" s="87" t="s">
        <v>738</v>
      </c>
      <c r="B157" s="87" t="s">
        <v>80</v>
      </c>
      <c r="C157" s="75">
        <v>954.0</v>
      </c>
      <c r="D157" s="22" t="str">
        <f t="shared" si="4"/>
        <v>General</v>
      </c>
      <c r="E157" s="23" t="str">
        <f t="shared" si="5"/>
        <v>Lapsed</v>
      </c>
      <c r="F157" s="25">
        <v>45771.0</v>
      </c>
      <c r="G157" s="227">
        <v>46022.0</v>
      </c>
      <c r="H157" s="62" t="s">
        <v>1897</v>
      </c>
      <c r="I157" s="62" t="s">
        <v>1725</v>
      </c>
      <c r="J157" s="81" t="s">
        <v>35</v>
      </c>
      <c r="K157" s="64">
        <v>80612.0</v>
      </c>
      <c r="L157" s="62"/>
      <c r="M157" s="66" t="s">
        <v>1898</v>
      </c>
      <c r="T157" s="229"/>
    </row>
    <row r="158">
      <c r="A158" s="87" t="s">
        <v>1918</v>
      </c>
      <c r="B158" s="87" t="s">
        <v>1599</v>
      </c>
      <c r="C158" s="75">
        <v>948.0</v>
      </c>
      <c r="D158" s="22" t="str">
        <f t="shared" si="4"/>
        <v>General</v>
      </c>
      <c r="E158" s="23" t="str">
        <f t="shared" si="5"/>
        <v>Lapsed</v>
      </c>
      <c r="F158" s="25">
        <v>45771.0</v>
      </c>
      <c r="G158" s="227">
        <v>46022.0</v>
      </c>
      <c r="H158" s="62" t="s">
        <v>1600</v>
      </c>
      <c r="I158" s="62" t="s">
        <v>1919</v>
      </c>
      <c r="J158" s="63" t="s">
        <v>35</v>
      </c>
      <c r="K158" s="64">
        <v>80643.0</v>
      </c>
      <c r="L158" s="181" t="s">
        <v>1601</v>
      </c>
      <c r="M158" s="66" t="s">
        <v>1920</v>
      </c>
      <c r="N158" s="231"/>
      <c r="T158" s="229"/>
    </row>
    <row r="159">
      <c r="A159" s="87" t="s">
        <v>1931</v>
      </c>
      <c r="B159" s="87" t="s">
        <v>1301</v>
      </c>
      <c r="C159" s="75">
        <v>944.0</v>
      </c>
      <c r="D159" s="22" t="str">
        <f t="shared" si="4"/>
        <v>General</v>
      </c>
      <c r="E159" s="23" t="str">
        <f t="shared" si="5"/>
        <v>Lapsed</v>
      </c>
      <c r="F159" s="25">
        <v>45817.0</v>
      </c>
      <c r="G159" s="227">
        <v>46022.0</v>
      </c>
      <c r="H159" s="62" t="s">
        <v>1932</v>
      </c>
      <c r="I159" s="62" t="s">
        <v>647</v>
      </c>
      <c r="J159" s="63" t="s">
        <v>35</v>
      </c>
      <c r="K159" s="64">
        <v>80503.0</v>
      </c>
      <c r="L159" s="181" t="s">
        <v>1933</v>
      </c>
      <c r="M159" s="66" t="s">
        <v>1934</v>
      </c>
      <c r="N159" s="231"/>
      <c r="T159" s="229"/>
    </row>
    <row r="160">
      <c r="A160" s="87" t="s">
        <v>789</v>
      </c>
      <c r="B160" s="87" t="s">
        <v>1941</v>
      </c>
      <c r="C160" s="75">
        <v>942.0</v>
      </c>
      <c r="D160" s="22" t="str">
        <f t="shared" si="4"/>
        <v>General</v>
      </c>
      <c r="E160" s="23" t="str">
        <f t="shared" si="5"/>
        <v>Lapsed</v>
      </c>
      <c r="F160" s="25">
        <v>45771.0</v>
      </c>
      <c r="G160" s="227">
        <v>46022.0</v>
      </c>
      <c r="H160" s="62" t="s">
        <v>1942</v>
      </c>
      <c r="I160" s="62" t="s">
        <v>190</v>
      </c>
      <c r="J160" s="63" t="s">
        <v>35</v>
      </c>
      <c r="K160" s="64">
        <v>80538.0</v>
      </c>
      <c r="L160" s="181" t="s">
        <v>1943</v>
      </c>
      <c r="M160" s="66" t="s">
        <v>1944</v>
      </c>
      <c r="N160" s="231"/>
      <c r="T160" s="229"/>
    </row>
    <row r="161">
      <c r="A161" s="87" t="s">
        <v>1993</v>
      </c>
      <c r="B161" s="87" t="s">
        <v>1994</v>
      </c>
      <c r="C161" s="75">
        <v>930.0</v>
      </c>
      <c r="D161" s="87" t="s">
        <v>3519</v>
      </c>
      <c r="E161" s="23" t="str">
        <f t="shared" si="5"/>
        <v>Lapsed</v>
      </c>
      <c r="F161" s="44">
        <v>45771.0</v>
      </c>
      <c r="G161" s="227">
        <v>46022.0</v>
      </c>
      <c r="H161" s="62" t="s">
        <v>1995</v>
      </c>
      <c r="I161" s="62" t="s">
        <v>911</v>
      </c>
      <c r="J161" s="63" t="s">
        <v>35</v>
      </c>
      <c r="K161" s="64">
        <v>80653.0</v>
      </c>
      <c r="L161" s="248" t="s">
        <v>1996</v>
      </c>
      <c r="M161" s="66" t="s">
        <v>1997</v>
      </c>
      <c r="N161" s="231"/>
      <c r="T161" s="229"/>
    </row>
    <row r="162">
      <c r="A162" s="87" t="s">
        <v>501</v>
      </c>
      <c r="B162" s="87" t="s">
        <v>2077</v>
      </c>
      <c r="C162" s="75">
        <v>910.0</v>
      </c>
      <c r="D162" s="22" t="str">
        <f t="shared" ref="D162:D185" si="6">ifs(isblank(O162),"General",O162&lt;19,"Youth",O162&gt;18,"General")</f>
        <v>General</v>
      </c>
      <c r="E162" s="23" t="str">
        <f t="shared" si="5"/>
        <v>Lapsed</v>
      </c>
      <c r="F162" s="44">
        <v>45731.0</v>
      </c>
      <c r="G162" s="227">
        <v>46022.0</v>
      </c>
      <c r="H162" s="62" t="s">
        <v>2078</v>
      </c>
      <c r="I162" s="62" t="s">
        <v>56</v>
      </c>
      <c r="J162" s="63" t="s">
        <v>57</v>
      </c>
      <c r="K162" s="64">
        <v>82009.0</v>
      </c>
      <c r="L162" s="181" t="s">
        <v>2079</v>
      </c>
      <c r="M162" s="66" t="s">
        <v>2080</v>
      </c>
      <c r="T162" s="229"/>
    </row>
    <row r="163">
      <c r="A163" s="87" t="s">
        <v>2096</v>
      </c>
      <c r="B163" s="87" t="s">
        <v>2097</v>
      </c>
      <c r="C163" s="75">
        <v>906.0</v>
      </c>
      <c r="D163" s="22" t="str">
        <f t="shared" si="6"/>
        <v>General</v>
      </c>
      <c r="E163" s="23" t="str">
        <f t="shared" si="5"/>
        <v>Lapsed</v>
      </c>
      <c r="F163" s="25">
        <v>45772.0</v>
      </c>
      <c r="G163" s="227">
        <v>46022.0</v>
      </c>
      <c r="H163" s="62" t="s">
        <v>2098</v>
      </c>
      <c r="I163" s="62" t="s">
        <v>354</v>
      </c>
      <c r="J163" s="63" t="s">
        <v>244</v>
      </c>
      <c r="K163" s="64">
        <v>69101.0</v>
      </c>
      <c r="L163" s="181" t="s">
        <v>227</v>
      </c>
      <c r="M163" s="66" t="s">
        <v>2099</v>
      </c>
      <c r="T163" s="229"/>
    </row>
    <row r="164">
      <c r="A164" s="87" t="s">
        <v>2105</v>
      </c>
      <c r="B164" s="87" t="s">
        <v>2106</v>
      </c>
      <c r="C164" s="75">
        <v>904.0</v>
      </c>
      <c r="D164" s="22" t="str">
        <f t="shared" si="6"/>
        <v>General</v>
      </c>
      <c r="E164" s="23" t="str">
        <f t="shared" si="5"/>
        <v>Lapsed</v>
      </c>
      <c r="F164" s="25">
        <v>45734.0</v>
      </c>
      <c r="G164" s="227">
        <v>46022.0</v>
      </c>
      <c r="H164" s="29" t="s">
        <v>2107</v>
      </c>
      <c r="I164" s="62" t="s">
        <v>42</v>
      </c>
      <c r="J164" s="63" t="s">
        <v>35</v>
      </c>
      <c r="K164" s="64">
        <v>80526.0</v>
      </c>
      <c r="L164" s="181" t="s">
        <v>2108</v>
      </c>
      <c r="M164" s="66" t="s">
        <v>2109</v>
      </c>
      <c r="T164" s="229"/>
    </row>
    <row r="165">
      <c r="A165" s="87" t="s">
        <v>672</v>
      </c>
      <c r="B165" s="87" t="s">
        <v>2114</v>
      </c>
      <c r="C165" s="75">
        <v>902.0</v>
      </c>
      <c r="D165" s="22" t="str">
        <f t="shared" si="6"/>
        <v>General</v>
      </c>
      <c r="E165" s="23" t="str">
        <f t="shared" si="5"/>
        <v>Lapsed</v>
      </c>
      <c r="F165" s="25">
        <v>45742.0</v>
      </c>
      <c r="G165" s="227">
        <v>46022.0</v>
      </c>
      <c r="H165" s="62" t="s">
        <v>2115</v>
      </c>
      <c r="I165" s="62" t="s">
        <v>190</v>
      </c>
      <c r="J165" s="63" t="s">
        <v>35</v>
      </c>
      <c r="K165" s="64">
        <v>80538.0</v>
      </c>
      <c r="L165" s="181" t="s">
        <v>2116</v>
      </c>
      <c r="M165" s="66" t="s">
        <v>2117</v>
      </c>
      <c r="T165" s="229"/>
    </row>
    <row r="166">
      <c r="A166" s="87" t="s">
        <v>1200</v>
      </c>
      <c r="B166" s="87" t="s">
        <v>1749</v>
      </c>
      <c r="C166" s="75">
        <v>897.0</v>
      </c>
      <c r="D166" s="22" t="str">
        <f t="shared" si="6"/>
        <v>General</v>
      </c>
      <c r="E166" s="23" t="str">
        <f t="shared" si="5"/>
        <v>Lapsed</v>
      </c>
      <c r="F166" s="25">
        <v>45771.0</v>
      </c>
      <c r="G166" s="227">
        <v>46022.0</v>
      </c>
      <c r="H166" s="62" t="s">
        <v>2135</v>
      </c>
      <c r="I166" s="62" t="s">
        <v>42</v>
      </c>
      <c r="J166" s="63" t="s">
        <v>35</v>
      </c>
      <c r="K166" s="64">
        <v>80524.0</v>
      </c>
      <c r="L166" s="181" t="s">
        <v>2136</v>
      </c>
      <c r="M166" s="66" t="s">
        <v>2137</v>
      </c>
      <c r="T166" s="229"/>
    </row>
    <row r="167">
      <c r="A167" s="20" t="s">
        <v>2170</v>
      </c>
      <c r="B167" s="87" t="s">
        <v>2171</v>
      </c>
      <c r="C167" s="75">
        <v>889.0</v>
      </c>
      <c r="D167" s="22" t="str">
        <f t="shared" si="6"/>
        <v>General</v>
      </c>
      <c r="E167" s="23" t="str">
        <f t="shared" si="5"/>
        <v>Lapsed</v>
      </c>
      <c r="F167" s="25">
        <v>45801.0</v>
      </c>
      <c r="G167" s="227">
        <v>46022.0</v>
      </c>
      <c r="H167" s="62" t="s">
        <v>2172</v>
      </c>
      <c r="I167" s="62" t="s">
        <v>89</v>
      </c>
      <c r="J167" s="63" t="s">
        <v>35</v>
      </c>
      <c r="K167" s="64">
        <v>80549.0</v>
      </c>
      <c r="L167" s="181" t="s">
        <v>2173</v>
      </c>
      <c r="M167" s="66" t="s">
        <v>2174</v>
      </c>
      <c r="T167" s="229"/>
    </row>
    <row r="168">
      <c r="A168" s="87" t="s">
        <v>2175</v>
      </c>
      <c r="B168" s="87" t="s">
        <v>2176</v>
      </c>
      <c r="C168" s="75">
        <v>888.0</v>
      </c>
      <c r="D168" s="22" t="str">
        <f t="shared" si="6"/>
        <v>General</v>
      </c>
      <c r="E168" s="23" t="str">
        <f t="shared" si="5"/>
        <v>Lapsed</v>
      </c>
      <c r="F168" s="25">
        <v>45827.0</v>
      </c>
      <c r="G168" s="227">
        <v>46022.0</v>
      </c>
      <c r="H168" s="62" t="s">
        <v>2177</v>
      </c>
      <c r="I168" s="62" t="s">
        <v>42</v>
      </c>
      <c r="J168" s="63" t="s">
        <v>35</v>
      </c>
      <c r="K168" s="64">
        <v>80528.0</v>
      </c>
      <c r="L168" s="181" t="s">
        <v>2178</v>
      </c>
      <c r="M168" s="66" t="s">
        <v>2179</v>
      </c>
      <c r="T168" s="229"/>
    </row>
    <row r="169">
      <c r="A169" s="87" t="s">
        <v>2183</v>
      </c>
      <c r="B169" s="87" t="s">
        <v>2184</v>
      </c>
      <c r="C169" s="75">
        <v>886.0</v>
      </c>
      <c r="D169" s="22" t="str">
        <f t="shared" si="6"/>
        <v>General</v>
      </c>
      <c r="E169" s="23" t="str">
        <f t="shared" si="5"/>
        <v>Lapsed</v>
      </c>
      <c r="F169" s="25">
        <v>45731.0</v>
      </c>
      <c r="G169" s="227">
        <v>46022.0</v>
      </c>
      <c r="H169" s="62" t="s">
        <v>2185</v>
      </c>
      <c r="I169" s="62" t="s">
        <v>56</v>
      </c>
      <c r="J169" s="63" t="s">
        <v>57</v>
      </c>
      <c r="K169" s="64">
        <v>82009.0</v>
      </c>
      <c r="L169" s="181" t="s">
        <v>59</v>
      </c>
      <c r="M169" s="66" t="s">
        <v>60</v>
      </c>
      <c r="T169" s="229"/>
    </row>
    <row r="170">
      <c r="A170" s="87" t="s">
        <v>2255</v>
      </c>
      <c r="B170" s="87" t="s">
        <v>1385</v>
      </c>
      <c r="C170" s="75">
        <v>868.0</v>
      </c>
      <c r="D170" s="22" t="str">
        <f t="shared" si="6"/>
        <v>General</v>
      </c>
      <c r="E170" s="23" t="str">
        <f t="shared" si="5"/>
        <v>Lapsed</v>
      </c>
      <c r="F170" s="25">
        <v>45801.0</v>
      </c>
      <c r="G170" s="227">
        <v>46022.0</v>
      </c>
      <c r="H170" s="62" t="s">
        <v>2256</v>
      </c>
      <c r="I170" s="29" t="s">
        <v>3527</v>
      </c>
      <c r="J170" s="63" t="s">
        <v>35</v>
      </c>
      <c r="K170" s="42" t="s">
        <v>402</v>
      </c>
      <c r="L170" s="181" t="s">
        <v>1389</v>
      </c>
      <c r="M170" s="66" t="s">
        <v>2257</v>
      </c>
      <c r="T170" s="229"/>
    </row>
    <row r="171">
      <c r="A171" s="87" t="s">
        <v>2288</v>
      </c>
      <c r="B171" s="87" t="s">
        <v>2289</v>
      </c>
      <c r="C171" s="75">
        <v>858.0</v>
      </c>
      <c r="D171" s="22" t="str">
        <f t="shared" si="6"/>
        <v>General</v>
      </c>
      <c r="E171" s="23" t="str">
        <f t="shared" si="5"/>
        <v>Lapsed</v>
      </c>
      <c r="F171" s="25">
        <v>45817.0</v>
      </c>
      <c r="G171" s="227">
        <v>46022.0</v>
      </c>
      <c r="H171" s="62" t="s">
        <v>3544</v>
      </c>
      <c r="I171" s="62" t="s">
        <v>1725</v>
      </c>
      <c r="J171" s="63" t="s">
        <v>35</v>
      </c>
      <c r="K171" s="64">
        <v>80612.0</v>
      </c>
      <c r="L171" s="248" t="s">
        <v>2291</v>
      </c>
      <c r="M171" s="66" t="s">
        <v>2292</v>
      </c>
      <c r="T171" s="229"/>
    </row>
    <row r="172">
      <c r="A172" s="87" t="s">
        <v>2319</v>
      </c>
      <c r="B172" s="87" t="s">
        <v>1968</v>
      </c>
      <c r="C172" s="75">
        <v>852.0</v>
      </c>
      <c r="D172" s="22" t="str">
        <f t="shared" si="6"/>
        <v>General</v>
      </c>
      <c r="E172" s="23" t="str">
        <f t="shared" si="5"/>
        <v>Lapsed</v>
      </c>
      <c r="F172" s="25">
        <v>45043.0</v>
      </c>
      <c r="G172" s="227">
        <v>46022.0</v>
      </c>
      <c r="H172" s="62" t="s">
        <v>1969</v>
      </c>
      <c r="I172" s="62" t="s">
        <v>56</v>
      </c>
      <c r="J172" s="63" t="s">
        <v>57</v>
      </c>
      <c r="K172" s="64">
        <v>82009.0</v>
      </c>
      <c r="L172" s="230" t="s">
        <v>2320</v>
      </c>
      <c r="M172" s="66" t="s">
        <v>2321</v>
      </c>
      <c r="T172" s="229"/>
    </row>
    <row r="173">
      <c r="A173" s="87" t="s">
        <v>2368</v>
      </c>
      <c r="B173" s="87" t="s">
        <v>2369</v>
      </c>
      <c r="C173" s="75">
        <v>841.0</v>
      </c>
      <c r="D173" s="22" t="str">
        <f t="shared" si="6"/>
        <v>General</v>
      </c>
      <c r="E173" s="23" t="str">
        <f t="shared" si="5"/>
        <v>Lapsed</v>
      </c>
      <c r="F173" s="25">
        <v>45771.0</v>
      </c>
      <c r="G173" s="227">
        <v>46022.0</v>
      </c>
      <c r="H173" s="29" t="s">
        <v>2370</v>
      </c>
      <c r="I173" s="62" t="s">
        <v>42</v>
      </c>
      <c r="J173" s="63" t="s">
        <v>35</v>
      </c>
      <c r="K173" s="42" t="s">
        <v>99</v>
      </c>
      <c r="L173" s="181" t="s">
        <v>2371</v>
      </c>
      <c r="M173" s="66" t="s">
        <v>2372</v>
      </c>
      <c r="T173" s="229"/>
    </row>
    <row r="174">
      <c r="A174" s="87" t="s">
        <v>2377</v>
      </c>
      <c r="B174" s="87" t="s">
        <v>2378</v>
      </c>
      <c r="C174" s="75">
        <v>839.0</v>
      </c>
      <c r="D174" s="22" t="str">
        <f t="shared" si="6"/>
        <v>General</v>
      </c>
      <c r="E174" s="23" t="str">
        <f t="shared" si="5"/>
        <v>Lapsed</v>
      </c>
      <c r="F174" s="25">
        <v>45731.0</v>
      </c>
      <c r="G174" s="227">
        <v>46022.0</v>
      </c>
      <c r="H174" s="62" t="s">
        <v>2379</v>
      </c>
      <c r="I174" s="62" t="s">
        <v>56</v>
      </c>
      <c r="J174" s="63" t="s">
        <v>57</v>
      </c>
      <c r="K174" s="64">
        <v>82009.0</v>
      </c>
      <c r="L174" s="181" t="s">
        <v>2380</v>
      </c>
      <c r="M174" s="66" t="s">
        <v>2381</v>
      </c>
      <c r="T174" s="229"/>
    </row>
    <row r="175">
      <c r="A175" s="87" t="s">
        <v>2393</v>
      </c>
      <c r="B175" s="87" t="s">
        <v>2394</v>
      </c>
      <c r="C175" s="75">
        <v>836.0</v>
      </c>
      <c r="D175" s="22" t="str">
        <f t="shared" si="6"/>
        <v>General</v>
      </c>
      <c r="E175" s="23" t="str">
        <f t="shared" si="5"/>
        <v>Lapsed</v>
      </c>
      <c r="F175" s="25">
        <v>45817.0</v>
      </c>
      <c r="G175" s="227">
        <v>46022.0</v>
      </c>
      <c r="H175" s="29" t="s">
        <v>2395</v>
      </c>
      <c r="I175" s="29" t="s">
        <v>1494</v>
      </c>
      <c r="J175" s="30" t="s">
        <v>57</v>
      </c>
      <c r="K175" s="42" t="s">
        <v>1495</v>
      </c>
      <c r="L175" s="246" t="s">
        <v>2396</v>
      </c>
      <c r="M175" s="66" t="s">
        <v>2397</v>
      </c>
      <c r="T175" s="229"/>
    </row>
    <row r="176">
      <c r="A176" s="87" t="s">
        <v>363</v>
      </c>
      <c r="B176" s="87" t="s">
        <v>2403</v>
      </c>
      <c r="C176" s="75">
        <v>834.0</v>
      </c>
      <c r="D176" s="22" t="str">
        <f t="shared" si="6"/>
        <v>General</v>
      </c>
      <c r="E176" s="23" t="str">
        <f t="shared" si="5"/>
        <v>Lapsed</v>
      </c>
      <c r="F176" s="25">
        <v>45160.0</v>
      </c>
      <c r="G176" s="227">
        <v>46022.0</v>
      </c>
      <c r="H176" s="62" t="s">
        <v>2404</v>
      </c>
      <c r="I176" s="62" t="s">
        <v>2405</v>
      </c>
      <c r="J176" s="63" t="s">
        <v>57</v>
      </c>
      <c r="K176" s="64">
        <v>82059.0</v>
      </c>
      <c r="L176" s="246" t="s">
        <v>2406</v>
      </c>
      <c r="M176" s="54">
        <v>3.076318897E9</v>
      </c>
      <c r="T176" s="229"/>
    </row>
    <row r="177">
      <c r="A177" s="87" t="s">
        <v>2407</v>
      </c>
      <c r="B177" s="87" t="s">
        <v>2289</v>
      </c>
      <c r="C177" s="75">
        <v>833.0</v>
      </c>
      <c r="D177" s="22" t="str">
        <f t="shared" si="6"/>
        <v>General</v>
      </c>
      <c r="E177" s="23" t="str">
        <f t="shared" si="5"/>
        <v>Lapsed</v>
      </c>
      <c r="F177" s="25">
        <v>45817.0</v>
      </c>
      <c r="G177" s="227">
        <v>46022.0</v>
      </c>
      <c r="H177" s="62" t="s">
        <v>3544</v>
      </c>
      <c r="I177" s="62" t="s">
        <v>1725</v>
      </c>
      <c r="J177" s="63" t="s">
        <v>35</v>
      </c>
      <c r="K177" s="64" t="s">
        <v>2408</v>
      </c>
      <c r="L177" s="181" t="s">
        <v>2409</v>
      </c>
      <c r="M177" s="66" t="s">
        <v>2410</v>
      </c>
      <c r="T177" s="229"/>
    </row>
    <row r="178">
      <c r="A178" s="87" t="s">
        <v>154</v>
      </c>
      <c r="B178" s="87" t="s">
        <v>2428</v>
      </c>
      <c r="C178" s="138">
        <v>828.0</v>
      </c>
      <c r="D178" s="22" t="str">
        <f t="shared" si="6"/>
        <v>General</v>
      </c>
      <c r="E178" s="23" t="str">
        <f t="shared" si="5"/>
        <v>Lapsed</v>
      </c>
      <c r="F178" s="25">
        <v>45693.0</v>
      </c>
      <c r="G178" s="227">
        <v>46022.0</v>
      </c>
      <c r="H178" s="62" t="s">
        <v>2429</v>
      </c>
      <c r="I178" s="160" t="s">
        <v>56</v>
      </c>
      <c r="J178" s="161" t="s">
        <v>57</v>
      </c>
      <c r="K178" s="64" t="s">
        <v>63</v>
      </c>
      <c r="L178" s="181" t="s">
        <v>2430</v>
      </c>
      <c r="M178" s="66" t="s">
        <v>2431</v>
      </c>
      <c r="N178" s="226"/>
      <c r="O178" s="226"/>
      <c r="P178" s="244"/>
      <c r="T178" s="229"/>
    </row>
    <row r="179">
      <c r="A179" s="87" t="s">
        <v>450</v>
      </c>
      <c r="B179" s="87" t="s">
        <v>1100</v>
      </c>
      <c r="C179" s="75">
        <v>820.0</v>
      </c>
      <c r="D179" s="22" t="str">
        <f t="shared" si="6"/>
        <v>General</v>
      </c>
      <c r="E179" s="23" t="str">
        <f t="shared" si="5"/>
        <v>Lapsed</v>
      </c>
      <c r="F179" s="25">
        <v>45058.0</v>
      </c>
      <c r="G179" s="227">
        <v>46022.0</v>
      </c>
      <c r="H179" s="62" t="s">
        <v>2462</v>
      </c>
      <c r="I179" s="62" t="s">
        <v>89</v>
      </c>
      <c r="J179" s="63" t="s">
        <v>35</v>
      </c>
      <c r="K179" s="64" t="s">
        <v>90</v>
      </c>
      <c r="L179" s="181" t="s">
        <v>2463</v>
      </c>
      <c r="M179" s="66" t="s">
        <v>2464</v>
      </c>
      <c r="T179" s="229"/>
    </row>
    <row r="180">
      <c r="A180" s="87" t="s">
        <v>2503</v>
      </c>
      <c r="B180" s="20" t="s">
        <v>433</v>
      </c>
      <c r="C180" s="75">
        <v>811.0</v>
      </c>
      <c r="D180" s="22" t="str">
        <f t="shared" si="6"/>
        <v>General</v>
      </c>
      <c r="E180" s="23" t="str">
        <f t="shared" si="5"/>
        <v>Lapsed</v>
      </c>
      <c r="F180" s="25">
        <v>45771.0</v>
      </c>
      <c r="G180" s="227">
        <v>46022.0</v>
      </c>
      <c r="H180" s="62" t="s">
        <v>2504</v>
      </c>
      <c r="I180" s="62" t="s">
        <v>1626</v>
      </c>
      <c r="J180" s="63" t="s">
        <v>35</v>
      </c>
      <c r="K180" s="64">
        <v>80759.0</v>
      </c>
      <c r="L180" s="181" t="s">
        <v>2505</v>
      </c>
      <c r="M180" s="66" t="s">
        <v>2506</v>
      </c>
      <c r="T180" s="229"/>
    </row>
    <row r="181">
      <c r="A181" s="87" t="s">
        <v>1772</v>
      </c>
      <c r="B181" s="87" t="s">
        <v>2511</v>
      </c>
      <c r="C181" s="75">
        <v>809.0</v>
      </c>
      <c r="D181" s="22" t="str">
        <f t="shared" si="6"/>
        <v>General</v>
      </c>
      <c r="E181" s="23" t="str">
        <f t="shared" si="5"/>
        <v>Lapsed</v>
      </c>
      <c r="F181" s="25">
        <v>45771.0</v>
      </c>
      <c r="G181" s="227">
        <v>46022.0</v>
      </c>
      <c r="H181" s="62" t="s">
        <v>717</v>
      </c>
      <c r="I181" s="62" t="s">
        <v>42</v>
      </c>
      <c r="J181" s="63" t="s">
        <v>35</v>
      </c>
      <c r="K181" s="64">
        <v>80524.0</v>
      </c>
      <c r="L181" s="181" t="s">
        <v>2512</v>
      </c>
      <c r="M181" s="66" t="s">
        <v>2513</v>
      </c>
      <c r="T181" s="229"/>
    </row>
    <row r="182">
      <c r="A182" s="87" t="s">
        <v>1783</v>
      </c>
      <c r="B182" s="87" t="s">
        <v>433</v>
      </c>
      <c r="C182" s="75">
        <v>808.0</v>
      </c>
      <c r="D182" s="22" t="str">
        <f t="shared" si="6"/>
        <v>General</v>
      </c>
      <c r="E182" s="23" t="str">
        <f t="shared" si="5"/>
        <v>Lapsed</v>
      </c>
      <c r="F182" s="25">
        <v>45044.0</v>
      </c>
      <c r="G182" s="227">
        <v>46022.0</v>
      </c>
      <c r="H182" s="62" t="s">
        <v>2504</v>
      </c>
      <c r="I182" s="62" t="s">
        <v>1626</v>
      </c>
      <c r="J182" s="63" t="s">
        <v>35</v>
      </c>
      <c r="K182" s="64">
        <v>80759.0</v>
      </c>
      <c r="L182" s="249" t="s">
        <v>1628</v>
      </c>
      <c r="M182" s="66" t="s">
        <v>2506</v>
      </c>
      <c r="N182" s="231"/>
      <c r="T182" s="229"/>
    </row>
    <row r="183">
      <c r="A183" s="87" t="s">
        <v>1783</v>
      </c>
      <c r="B183" s="87" t="s">
        <v>2598</v>
      </c>
      <c r="C183" s="75">
        <v>788.0</v>
      </c>
      <c r="D183" s="22" t="str">
        <f t="shared" si="6"/>
        <v>General</v>
      </c>
      <c r="E183" s="23" t="str">
        <f t="shared" si="5"/>
        <v>Lapsed</v>
      </c>
      <c r="F183" s="25">
        <v>45406.0</v>
      </c>
      <c r="G183" s="227">
        <v>46022.0</v>
      </c>
      <c r="H183" s="62" t="s">
        <v>2599</v>
      </c>
      <c r="I183" s="62" t="s">
        <v>473</v>
      </c>
      <c r="J183" s="63" t="s">
        <v>35</v>
      </c>
      <c r="K183" s="64">
        <v>80602.0</v>
      </c>
      <c r="L183" s="181" t="s">
        <v>2600</v>
      </c>
      <c r="M183" s="66" t="s">
        <v>2601</v>
      </c>
      <c r="T183" s="229"/>
    </row>
    <row r="184">
      <c r="A184" s="87" t="s">
        <v>2602</v>
      </c>
      <c r="B184" s="87" t="s">
        <v>2598</v>
      </c>
      <c r="C184" s="75">
        <v>786.0</v>
      </c>
      <c r="D184" s="22" t="str">
        <f t="shared" si="6"/>
        <v>General</v>
      </c>
      <c r="E184" s="23" t="str">
        <f t="shared" si="5"/>
        <v>Lapsed</v>
      </c>
      <c r="F184" s="25">
        <v>45406.0</v>
      </c>
      <c r="G184" s="227">
        <v>46022.0</v>
      </c>
      <c r="H184" s="62" t="s">
        <v>2599</v>
      </c>
      <c r="I184" s="62" t="s">
        <v>473</v>
      </c>
      <c r="J184" s="63" t="s">
        <v>35</v>
      </c>
      <c r="K184" s="64">
        <v>80602.0</v>
      </c>
      <c r="L184" s="181" t="s">
        <v>2603</v>
      </c>
      <c r="M184" s="66" t="s">
        <v>2604</v>
      </c>
      <c r="T184" s="229"/>
    </row>
    <row r="185">
      <c r="A185" s="87" t="s">
        <v>1302</v>
      </c>
      <c r="B185" s="87" t="s">
        <v>2163</v>
      </c>
      <c r="C185" s="75">
        <v>770.0</v>
      </c>
      <c r="D185" s="22" t="str">
        <f t="shared" si="6"/>
        <v>General</v>
      </c>
      <c r="E185" s="23" t="str">
        <f t="shared" si="5"/>
        <v>Lapsed</v>
      </c>
      <c r="F185" s="25">
        <v>45771.0</v>
      </c>
      <c r="G185" s="227">
        <v>46022.0</v>
      </c>
      <c r="H185" s="62" t="s">
        <v>2667</v>
      </c>
      <c r="I185" s="62" t="s">
        <v>42</v>
      </c>
      <c r="J185" s="63" t="s">
        <v>35</v>
      </c>
      <c r="K185" s="64" t="s">
        <v>239</v>
      </c>
      <c r="L185" s="181" t="s">
        <v>2668</v>
      </c>
      <c r="M185" s="66" t="s">
        <v>2669</v>
      </c>
      <c r="T185" s="229"/>
    </row>
    <row r="186">
      <c r="A186" s="87" t="s">
        <v>2110</v>
      </c>
      <c r="B186" s="87" t="s">
        <v>2675</v>
      </c>
      <c r="C186" s="75">
        <v>768.0</v>
      </c>
      <c r="D186" s="87" t="s">
        <v>3519</v>
      </c>
      <c r="E186" s="23" t="str">
        <f t="shared" si="5"/>
        <v>Lapsed</v>
      </c>
      <c r="F186" s="25">
        <v>45817.0</v>
      </c>
      <c r="G186" s="227">
        <v>46022.0</v>
      </c>
      <c r="H186" s="62" t="s">
        <v>2676</v>
      </c>
      <c r="I186" s="62" t="s">
        <v>1919</v>
      </c>
      <c r="J186" s="81" t="s">
        <v>35</v>
      </c>
      <c r="K186" s="64" t="s">
        <v>1367</v>
      </c>
      <c r="L186" s="133" t="s">
        <v>2677</v>
      </c>
      <c r="M186" s="66" t="s">
        <v>2678</v>
      </c>
      <c r="T186" s="229"/>
    </row>
    <row r="187">
      <c r="A187" s="87" t="s">
        <v>738</v>
      </c>
      <c r="B187" s="87" t="s">
        <v>2691</v>
      </c>
      <c r="C187" s="75">
        <v>764.0</v>
      </c>
      <c r="D187" s="22" t="str">
        <f t="shared" ref="D187:D195" si="7">ifs(isblank(O187),"General",O187&lt;19,"Youth",O187&gt;18,"General")</f>
        <v>General</v>
      </c>
      <c r="E187" s="23" t="str">
        <f t="shared" si="5"/>
        <v>Lapsed</v>
      </c>
      <c r="F187" s="25">
        <v>45817.0</v>
      </c>
      <c r="G187" s="227">
        <v>46022.0</v>
      </c>
      <c r="H187" s="62" t="s">
        <v>2692</v>
      </c>
      <c r="I187" s="62" t="s">
        <v>448</v>
      </c>
      <c r="J187" s="63" t="s">
        <v>35</v>
      </c>
      <c r="K187" s="64" t="s">
        <v>277</v>
      </c>
      <c r="L187" s="181" t="s">
        <v>2693</v>
      </c>
      <c r="M187" s="66" t="s">
        <v>2694</v>
      </c>
      <c r="T187" s="229"/>
    </row>
    <row r="188">
      <c r="A188" s="87" t="s">
        <v>2770</v>
      </c>
      <c r="B188" s="87" t="s">
        <v>2771</v>
      </c>
      <c r="C188" s="75">
        <v>747.0</v>
      </c>
      <c r="D188" s="22" t="str">
        <f t="shared" si="7"/>
        <v>General</v>
      </c>
      <c r="E188" s="23" t="str">
        <f t="shared" si="5"/>
        <v>Lapsed</v>
      </c>
      <c r="F188" s="25">
        <v>45771.0</v>
      </c>
      <c r="G188" s="227">
        <v>46022.0</v>
      </c>
      <c r="H188" s="29" t="s">
        <v>2772</v>
      </c>
      <c r="I188" s="62" t="s">
        <v>42</v>
      </c>
      <c r="J188" s="63" t="s">
        <v>35</v>
      </c>
      <c r="K188" s="64">
        <v>80528.0</v>
      </c>
      <c r="L188" s="181" t="s">
        <v>2773</v>
      </c>
      <c r="M188" s="66" t="s">
        <v>2774</v>
      </c>
      <c r="T188" s="229"/>
    </row>
    <row r="189">
      <c r="A189" s="87" t="s">
        <v>438</v>
      </c>
      <c r="B189" s="87" t="s">
        <v>2775</v>
      </c>
      <c r="C189" s="75">
        <v>746.0</v>
      </c>
      <c r="D189" s="22" t="str">
        <f t="shared" si="7"/>
        <v>General</v>
      </c>
      <c r="E189" s="23" t="str">
        <f t="shared" si="5"/>
        <v>Lapsed</v>
      </c>
      <c r="F189" s="25">
        <v>45771.0</v>
      </c>
      <c r="G189" s="227">
        <v>46022.0</v>
      </c>
      <c r="H189" s="62" t="s">
        <v>2776</v>
      </c>
      <c r="I189" s="62" t="s">
        <v>473</v>
      </c>
      <c r="J189" s="63" t="s">
        <v>35</v>
      </c>
      <c r="K189" s="64" t="s">
        <v>474</v>
      </c>
      <c r="L189" s="181" t="s">
        <v>2777</v>
      </c>
      <c r="M189" s="66" t="s">
        <v>2778</v>
      </c>
      <c r="T189" s="229"/>
    </row>
    <row r="190">
      <c r="A190" s="87" t="s">
        <v>2788</v>
      </c>
      <c r="B190" s="87" t="s">
        <v>2789</v>
      </c>
      <c r="C190" s="75">
        <v>743.0</v>
      </c>
      <c r="D190" s="22" t="str">
        <f t="shared" si="7"/>
        <v>General</v>
      </c>
      <c r="E190" s="23" t="str">
        <f t="shared" si="5"/>
        <v>Lapsed</v>
      </c>
      <c r="F190" s="25">
        <v>45044.0</v>
      </c>
      <c r="G190" s="227">
        <v>46022.0</v>
      </c>
      <c r="H190" s="62" t="s">
        <v>2790</v>
      </c>
      <c r="I190" s="62" t="s">
        <v>423</v>
      </c>
      <c r="J190" s="63" t="s">
        <v>35</v>
      </c>
      <c r="K190" s="64" t="s">
        <v>424</v>
      </c>
      <c r="L190" s="181" t="s">
        <v>2791</v>
      </c>
      <c r="M190" s="66" t="s">
        <v>2792</v>
      </c>
      <c r="T190" s="229"/>
    </row>
    <row r="191">
      <c r="A191" s="87" t="s">
        <v>2808</v>
      </c>
      <c r="B191" s="87" t="s">
        <v>2809</v>
      </c>
      <c r="C191" s="75">
        <v>739.0</v>
      </c>
      <c r="D191" s="22" t="str">
        <f t="shared" si="7"/>
        <v>General</v>
      </c>
      <c r="E191" s="23" t="str">
        <f t="shared" si="5"/>
        <v>Lapsed</v>
      </c>
      <c r="F191" s="25">
        <v>45733.0</v>
      </c>
      <c r="G191" s="227">
        <v>46022.0</v>
      </c>
      <c r="H191" s="62" t="s">
        <v>2810</v>
      </c>
      <c r="I191" s="62" t="s">
        <v>423</v>
      </c>
      <c r="J191" s="63" t="s">
        <v>35</v>
      </c>
      <c r="K191" s="64" t="s">
        <v>424</v>
      </c>
      <c r="L191" s="181" t="s">
        <v>2811</v>
      </c>
      <c r="M191" s="66" t="s">
        <v>2812</v>
      </c>
      <c r="P191" s="244"/>
      <c r="T191" s="229"/>
    </row>
    <row r="192">
      <c r="A192" s="87" t="s">
        <v>2539</v>
      </c>
      <c r="B192" s="87" t="s">
        <v>1599</v>
      </c>
      <c r="C192" s="75">
        <v>736.0</v>
      </c>
      <c r="D192" s="22" t="str">
        <f t="shared" si="7"/>
        <v>General</v>
      </c>
      <c r="E192" s="23" t="str">
        <f t="shared" si="5"/>
        <v>Lapsed</v>
      </c>
      <c r="F192" s="25">
        <v>45768.0</v>
      </c>
      <c r="G192" s="227">
        <v>46022.0</v>
      </c>
      <c r="H192" s="62" t="s">
        <v>1600</v>
      </c>
      <c r="I192" s="62" t="s">
        <v>1919</v>
      </c>
      <c r="J192" s="63" t="s">
        <v>35</v>
      </c>
      <c r="K192" s="64" t="s">
        <v>1367</v>
      </c>
      <c r="L192" s="181" t="s">
        <v>1601</v>
      </c>
      <c r="M192" s="66" t="s">
        <v>1920</v>
      </c>
      <c r="N192" s="231"/>
      <c r="T192" s="229"/>
    </row>
    <row r="193">
      <c r="A193" s="122" t="s">
        <v>2383</v>
      </c>
      <c r="B193" s="122" t="s">
        <v>2825</v>
      </c>
      <c r="C193" s="21">
        <v>735.0</v>
      </c>
      <c r="D193" s="22" t="str">
        <f t="shared" si="7"/>
        <v>General</v>
      </c>
      <c r="E193" s="23" t="str">
        <f t="shared" si="5"/>
        <v>Lapsed</v>
      </c>
      <c r="F193" s="25">
        <v>45770.0</v>
      </c>
      <c r="G193" s="227">
        <v>46022.0</v>
      </c>
      <c r="H193" s="29" t="s">
        <v>2826</v>
      </c>
      <c r="I193" s="29" t="s">
        <v>898</v>
      </c>
      <c r="J193" s="30" t="s">
        <v>35</v>
      </c>
      <c r="K193" s="42" t="s">
        <v>899</v>
      </c>
      <c r="L193" s="246" t="s">
        <v>2827</v>
      </c>
      <c r="M193" s="54">
        <v>9.708181525E9</v>
      </c>
      <c r="T193" s="229"/>
    </row>
    <row r="194">
      <c r="A194" s="87" t="s">
        <v>943</v>
      </c>
      <c r="B194" s="87" t="s">
        <v>433</v>
      </c>
      <c r="C194" s="75">
        <v>721.0</v>
      </c>
      <c r="D194" s="22" t="str">
        <f t="shared" si="7"/>
        <v>General</v>
      </c>
      <c r="E194" s="23" t="str">
        <f t="shared" si="5"/>
        <v>Lapsed</v>
      </c>
      <c r="F194" s="25">
        <v>45771.0</v>
      </c>
      <c r="G194" s="227">
        <v>46022.0</v>
      </c>
      <c r="H194" s="62" t="s">
        <v>2891</v>
      </c>
      <c r="I194" s="62" t="s">
        <v>190</v>
      </c>
      <c r="J194" s="63" t="s">
        <v>35</v>
      </c>
      <c r="K194" s="64" t="s">
        <v>311</v>
      </c>
      <c r="L194" s="181" t="s">
        <v>2892</v>
      </c>
      <c r="M194" s="66" t="s">
        <v>2893</v>
      </c>
      <c r="T194" s="229"/>
    </row>
    <row r="195">
      <c r="A195" s="87" t="s">
        <v>2724</v>
      </c>
      <c r="B195" s="87" t="s">
        <v>2906</v>
      </c>
      <c r="C195" s="75">
        <v>718.0</v>
      </c>
      <c r="D195" s="22" t="str">
        <f t="shared" si="7"/>
        <v>General</v>
      </c>
      <c r="E195" s="23" t="str">
        <f t="shared" si="5"/>
        <v>Lapsed</v>
      </c>
      <c r="F195" s="25">
        <v>45771.0</v>
      </c>
      <c r="G195" s="227">
        <v>46022.0</v>
      </c>
      <c r="H195" s="62" t="s">
        <v>2907</v>
      </c>
      <c r="I195" s="62" t="s">
        <v>89</v>
      </c>
      <c r="J195" s="63" t="s">
        <v>35</v>
      </c>
      <c r="K195" s="64" t="s">
        <v>90</v>
      </c>
      <c r="L195" s="181" t="s">
        <v>2908</v>
      </c>
      <c r="M195" s="66" t="s">
        <v>2909</v>
      </c>
      <c r="T195" s="229"/>
    </row>
    <row r="196">
      <c r="A196" s="87" t="s">
        <v>797</v>
      </c>
      <c r="B196" s="87" t="s">
        <v>2910</v>
      </c>
      <c r="C196" s="75">
        <v>717.0</v>
      </c>
      <c r="D196" s="87" t="s">
        <v>3519</v>
      </c>
      <c r="E196" s="23" t="str">
        <f t="shared" si="5"/>
        <v>Lapsed</v>
      </c>
      <c r="F196" s="25">
        <v>45771.0</v>
      </c>
      <c r="G196" s="227">
        <v>46022.0</v>
      </c>
      <c r="H196" s="62" t="s">
        <v>2911</v>
      </c>
      <c r="I196" s="62" t="s">
        <v>2761</v>
      </c>
      <c r="J196" s="63" t="s">
        <v>35</v>
      </c>
      <c r="K196" s="64" t="s">
        <v>2762</v>
      </c>
      <c r="L196" s="181" t="s">
        <v>2912</v>
      </c>
      <c r="M196" s="66" t="s">
        <v>2913</v>
      </c>
      <c r="T196" s="229"/>
    </row>
    <row r="197">
      <c r="A197" s="87" t="s">
        <v>2931</v>
      </c>
      <c r="B197" s="87" t="s">
        <v>562</v>
      </c>
      <c r="C197" s="75">
        <v>711.0</v>
      </c>
      <c r="D197" s="22" t="str">
        <f t="shared" ref="D197:D201" si="8">ifs(isblank(O197),"General",O197&lt;19,"Youth",O197&gt;18,"General")</f>
        <v>General</v>
      </c>
      <c r="E197" s="23" t="str">
        <f t="shared" si="5"/>
        <v>Lapsed</v>
      </c>
      <c r="F197" s="25">
        <v>45042.0</v>
      </c>
      <c r="G197" s="227">
        <v>46022.0</v>
      </c>
      <c r="H197" s="62" t="s">
        <v>2932</v>
      </c>
      <c r="I197" s="62" t="s">
        <v>647</v>
      </c>
      <c r="J197" s="63" t="s">
        <v>35</v>
      </c>
      <c r="K197" s="64" t="s">
        <v>1062</v>
      </c>
      <c r="L197" s="181" t="s">
        <v>2933</v>
      </c>
      <c r="M197" s="66" t="s">
        <v>2934</v>
      </c>
      <c r="T197" s="229"/>
    </row>
    <row r="198">
      <c r="A198" s="87" t="s">
        <v>2938</v>
      </c>
      <c r="B198" s="87" t="s">
        <v>2939</v>
      </c>
      <c r="C198" s="75">
        <v>708.0</v>
      </c>
      <c r="D198" s="22" t="str">
        <f t="shared" si="8"/>
        <v>General</v>
      </c>
      <c r="E198" s="23" t="str">
        <f t="shared" si="5"/>
        <v>Lapsed</v>
      </c>
      <c r="F198" s="25">
        <v>45817.0</v>
      </c>
      <c r="G198" s="227">
        <v>46022.0</v>
      </c>
      <c r="H198" s="62" t="s">
        <v>2940</v>
      </c>
      <c r="I198" s="62" t="s">
        <v>761</v>
      </c>
      <c r="J198" s="63" t="s">
        <v>35</v>
      </c>
      <c r="K198" s="64">
        <v>80401.0</v>
      </c>
      <c r="L198" s="181" t="s">
        <v>2941</v>
      </c>
      <c r="M198" s="66" t="s">
        <v>2942</v>
      </c>
      <c r="T198" s="229"/>
    </row>
    <row r="199">
      <c r="A199" s="87" t="s">
        <v>2943</v>
      </c>
      <c r="B199" s="87" t="s">
        <v>1482</v>
      </c>
      <c r="C199" s="75">
        <v>705.0</v>
      </c>
      <c r="D199" s="22" t="str">
        <f t="shared" si="8"/>
        <v>General</v>
      </c>
      <c r="E199" s="23" t="str">
        <f t="shared" si="5"/>
        <v>Lapsed</v>
      </c>
      <c r="F199" s="25">
        <v>45065.0</v>
      </c>
      <c r="G199" s="227">
        <v>46022.0</v>
      </c>
      <c r="H199" s="62" t="s">
        <v>2944</v>
      </c>
      <c r="I199" s="62" t="s">
        <v>2945</v>
      </c>
      <c r="J199" s="63" t="s">
        <v>35</v>
      </c>
      <c r="K199" s="64">
        <v>81631.0</v>
      </c>
      <c r="L199" s="181" t="s">
        <v>2946</v>
      </c>
      <c r="M199" s="66" t="s">
        <v>2947</v>
      </c>
      <c r="T199" s="229"/>
    </row>
    <row r="200">
      <c r="A200" s="87" t="s">
        <v>2978</v>
      </c>
      <c r="B200" s="87" t="s">
        <v>1774</v>
      </c>
      <c r="C200" s="75">
        <v>651.0</v>
      </c>
      <c r="D200" s="22" t="str">
        <f t="shared" si="8"/>
        <v>General</v>
      </c>
      <c r="E200" s="23" t="str">
        <f t="shared" si="5"/>
        <v>Lapsed</v>
      </c>
      <c r="F200" s="25">
        <v>45733.0</v>
      </c>
      <c r="G200" s="227">
        <v>46022.0</v>
      </c>
      <c r="H200" s="29" t="s">
        <v>2979</v>
      </c>
      <c r="I200" s="29" t="s">
        <v>190</v>
      </c>
      <c r="J200" s="63" t="s">
        <v>35</v>
      </c>
      <c r="K200" s="42" t="s">
        <v>191</v>
      </c>
      <c r="L200" s="181" t="s">
        <v>444</v>
      </c>
      <c r="M200" s="66" t="s">
        <v>2980</v>
      </c>
      <c r="T200" s="229"/>
    </row>
    <row r="201">
      <c r="A201" s="87" t="s">
        <v>578</v>
      </c>
      <c r="B201" s="87" t="s">
        <v>320</v>
      </c>
      <c r="C201" s="75">
        <v>643.0</v>
      </c>
      <c r="D201" s="22" t="str">
        <f t="shared" si="8"/>
        <v>General</v>
      </c>
      <c r="E201" s="23" t="str">
        <f t="shared" si="5"/>
        <v>Lapsed</v>
      </c>
      <c r="F201" s="25">
        <v>45771.0</v>
      </c>
      <c r="G201" s="227">
        <v>46022.0</v>
      </c>
      <c r="H201" s="62" t="s">
        <v>321</v>
      </c>
      <c r="I201" s="62" t="s">
        <v>322</v>
      </c>
      <c r="J201" s="63" t="s">
        <v>35</v>
      </c>
      <c r="K201" s="64" t="s">
        <v>323</v>
      </c>
      <c r="L201" s="181" t="s">
        <v>3011</v>
      </c>
      <c r="M201" s="66" t="s">
        <v>3012</v>
      </c>
      <c r="T201" s="229"/>
    </row>
    <row r="202">
      <c r="A202" s="87" t="s">
        <v>284</v>
      </c>
      <c r="B202" s="87" t="s">
        <v>3160</v>
      </c>
      <c r="C202" s="21">
        <v>554.0</v>
      </c>
      <c r="D202" s="20" t="s">
        <v>3517</v>
      </c>
      <c r="E202" s="23" t="str">
        <f t="shared" si="5"/>
        <v>Lapsed</v>
      </c>
      <c r="F202" s="25">
        <v>45771.0</v>
      </c>
      <c r="G202" s="227">
        <v>46022.0</v>
      </c>
      <c r="H202" s="62" t="s">
        <v>3161</v>
      </c>
      <c r="I202" s="62" t="s">
        <v>2575</v>
      </c>
      <c r="J202" s="63" t="s">
        <v>35</v>
      </c>
      <c r="K202" s="64" t="s">
        <v>3162</v>
      </c>
      <c r="L202" s="230" t="s">
        <v>3163</v>
      </c>
      <c r="M202" s="66" t="s">
        <v>3164</v>
      </c>
      <c r="T202" s="229"/>
    </row>
    <row r="203">
      <c r="A203" s="87" t="s">
        <v>2340</v>
      </c>
      <c r="B203" s="87" t="s">
        <v>3224</v>
      </c>
      <c r="C203" s="75">
        <v>522.0</v>
      </c>
      <c r="D203" s="22" t="str">
        <f t="shared" ref="D203:D214" si="9">ifs(isblank(O203),"General",O203&lt;19,"Youth",O203&gt;18,"General")</f>
        <v>General</v>
      </c>
      <c r="E203" s="23" t="str">
        <f t="shared" si="5"/>
        <v>Lapsed</v>
      </c>
      <c r="F203" s="25">
        <v>45705.0</v>
      </c>
      <c r="G203" s="227">
        <v>46022.0</v>
      </c>
      <c r="H203" s="62" t="s">
        <v>3225</v>
      </c>
      <c r="I203" s="62" t="s">
        <v>56</v>
      </c>
      <c r="J203" s="63" t="s">
        <v>57</v>
      </c>
      <c r="K203" s="64" t="s">
        <v>58</v>
      </c>
      <c r="L203" s="181" t="s">
        <v>3226</v>
      </c>
      <c r="M203" s="66" t="s">
        <v>3227</v>
      </c>
      <c r="T203" s="229"/>
    </row>
    <row r="204">
      <c r="A204" s="87" t="s">
        <v>3229</v>
      </c>
      <c r="B204" s="87" t="s">
        <v>3230</v>
      </c>
      <c r="C204" s="75">
        <v>517.0</v>
      </c>
      <c r="D204" s="22" t="str">
        <f t="shared" si="9"/>
        <v>General</v>
      </c>
      <c r="E204" s="23" t="str">
        <f t="shared" si="5"/>
        <v>Lapsed</v>
      </c>
      <c r="F204" s="25">
        <v>45771.0</v>
      </c>
      <c r="G204" s="227">
        <v>46022.0</v>
      </c>
      <c r="H204" s="62" t="s">
        <v>3231</v>
      </c>
      <c r="I204" s="62" t="s">
        <v>3232</v>
      </c>
      <c r="J204" s="63" t="s">
        <v>35</v>
      </c>
      <c r="K204" s="64" t="s">
        <v>3233</v>
      </c>
      <c r="L204" s="181" t="s">
        <v>3234</v>
      </c>
      <c r="M204" s="66" t="s">
        <v>3235</v>
      </c>
      <c r="T204" s="229"/>
    </row>
    <row r="205">
      <c r="A205" s="87" t="s">
        <v>2194</v>
      </c>
      <c r="B205" s="87" t="s">
        <v>3258</v>
      </c>
      <c r="C205" s="75">
        <v>497.0</v>
      </c>
      <c r="D205" s="22" t="str">
        <f t="shared" si="9"/>
        <v>General</v>
      </c>
      <c r="E205" s="23" t="str">
        <f t="shared" si="5"/>
        <v>Lapsed</v>
      </c>
      <c r="F205" s="44">
        <v>45393.0</v>
      </c>
      <c r="G205" s="227">
        <v>46022.0</v>
      </c>
      <c r="H205" s="62" t="s">
        <v>3259</v>
      </c>
      <c r="I205" s="62" t="s">
        <v>56</v>
      </c>
      <c r="J205" s="63" t="s">
        <v>57</v>
      </c>
      <c r="K205" s="64">
        <v>82009.0</v>
      </c>
      <c r="L205" s="181" t="s">
        <v>3260</v>
      </c>
      <c r="M205" s="66" t="s">
        <v>3261</v>
      </c>
      <c r="T205" s="229"/>
    </row>
    <row r="206">
      <c r="A206" s="87" t="s">
        <v>1200</v>
      </c>
      <c r="B206" s="87" t="s">
        <v>3284</v>
      </c>
      <c r="C206" s="75">
        <v>461.0</v>
      </c>
      <c r="D206" s="22" t="str">
        <f t="shared" si="9"/>
        <v>General</v>
      </c>
      <c r="E206" s="23" t="str">
        <f t="shared" si="5"/>
        <v>Lapsed</v>
      </c>
      <c r="F206" s="25">
        <v>45801.0</v>
      </c>
      <c r="G206" s="227">
        <v>46022.0</v>
      </c>
      <c r="H206" s="29" t="s">
        <v>3285</v>
      </c>
      <c r="I206" s="62" t="s">
        <v>42</v>
      </c>
      <c r="J206" s="63" t="s">
        <v>35</v>
      </c>
      <c r="K206" s="64" t="s">
        <v>239</v>
      </c>
      <c r="L206" s="181" t="s">
        <v>3286</v>
      </c>
      <c r="M206" s="66" t="s">
        <v>3287</v>
      </c>
      <c r="T206" s="229"/>
    </row>
    <row r="207">
      <c r="A207" s="87" t="s">
        <v>3340</v>
      </c>
      <c r="B207" s="87" t="s">
        <v>3341</v>
      </c>
      <c r="C207" s="75">
        <v>300.0</v>
      </c>
      <c r="D207" s="22" t="str">
        <f t="shared" si="9"/>
        <v>General</v>
      </c>
      <c r="E207" s="23" t="str">
        <f t="shared" si="5"/>
        <v>Lapsed</v>
      </c>
      <c r="F207" s="25">
        <v>45044.0</v>
      </c>
      <c r="G207" s="227">
        <v>46022.0</v>
      </c>
      <c r="H207" s="62" t="s">
        <v>3342</v>
      </c>
      <c r="I207" s="62" t="s">
        <v>898</v>
      </c>
      <c r="J207" s="63" t="s">
        <v>35</v>
      </c>
      <c r="K207" s="64" t="s">
        <v>1179</v>
      </c>
      <c r="L207" s="181" t="s">
        <v>3343</v>
      </c>
      <c r="M207" s="66" t="s">
        <v>3344</v>
      </c>
      <c r="T207" s="229"/>
    </row>
    <row r="208">
      <c r="A208" s="87" t="s">
        <v>3381</v>
      </c>
      <c r="B208" s="87" t="s">
        <v>3382</v>
      </c>
      <c r="C208" s="75">
        <v>244.0</v>
      </c>
      <c r="D208" s="22" t="str">
        <f t="shared" si="9"/>
        <v>General</v>
      </c>
      <c r="E208" s="23" t="str">
        <f t="shared" si="5"/>
        <v>Lapsed</v>
      </c>
      <c r="F208" s="25">
        <v>45771.0</v>
      </c>
      <c r="G208" s="227">
        <v>46022.0</v>
      </c>
      <c r="H208" s="62" t="s">
        <v>717</v>
      </c>
      <c r="I208" s="62" t="s">
        <v>42</v>
      </c>
      <c r="J208" s="63" t="s">
        <v>35</v>
      </c>
      <c r="K208" s="64">
        <v>80524.0</v>
      </c>
      <c r="L208" s="181" t="s">
        <v>718</v>
      </c>
      <c r="M208" s="66"/>
      <c r="T208" s="229"/>
    </row>
    <row r="209">
      <c r="A209" s="87" t="s">
        <v>3405</v>
      </c>
      <c r="B209" s="87" t="s">
        <v>3406</v>
      </c>
      <c r="C209" s="75">
        <v>114.0</v>
      </c>
      <c r="D209" s="22" t="str">
        <f t="shared" si="9"/>
        <v>General</v>
      </c>
      <c r="E209" s="23" t="str">
        <f t="shared" si="5"/>
        <v>Lapsed</v>
      </c>
      <c r="F209" s="25">
        <v>45743.0</v>
      </c>
      <c r="G209" s="227">
        <v>46022.0</v>
      </c>
      <c r="H209" s="62" t="s">
        <v>3407</v>
      </c>
      <c r="I209" s="62" t="s">
        <v>56</v>
      </c>
      <c r="J209" s="63" t="s">
        <v>57</v>
      </c>
      <c r="K209" s="64" t="s">
        <v>63</v>
      </c>
      <c r="L209" s="181" t="s">
        <v>3408</v>
      </c>
      <c r="M209" s="66" t="s">
        <v>3409</v>
      </c>
      <c r="P209" s="244"/>
      <c r="T209" s="229"/>
    </row>
    <row r="210">
      <c r="A210" s="87" t="s">
        <v>1498</v>
      </c>
      <c r="B210" s="87" t="s">
        <v>3418</v>
      </c>
      <c r="C210" s="75">
        <v>77.0</v>
      </c>
      <c r="D210" s="22" t="str">
        <f t="shared" si="9"/>
        <v>General</v>
      </c>
      <c r="E210" s="23" t="str">
        <f t="shared" si="5"/>
        <v>Lapsed</v>
      </c>
      <c r="F210" s="25">
        <v>45393.0</v>
      </c>
      <c r="G210" s="227">
        <v>46022.0</v>
      </c>
      <c r="H210" s="62" t="s">
        <v>3422</v>
      </c>
      <c r="I210" s="62" t="s">
        <v>164</v>
      </c>
      <c r="J210" s="63" t="s">
        <v>35</v>
      </c>
      <c r="K210" s="64" t="s">
        <v>165</v>
      </c>
      <c r="L210" s="230" t="s">
        <v>3423</v>
      </c>
      <c r="M210" s="66" t="s">
        <v>3424</v>
      </c>
      <c r="T210" s="229"/>
    </row>
    <row r="211">
      <c r="A211" s="87" t="s">
        <v>3425</v>
      </c>
      <c r="B211" s="87" t="s">
        <v>3406</v>
      </c>
      <c r="C211" s="75">
        <v>76.0</v>
      </c>
      <c r="D211" s="22" t="str">
        <f t="shared" si="9"/>
        <v>General</v>
      </c>
      <c r="E211" s="23" t="str">
        <f t="shared" si="5"/>
        <v>Lapsed</v>
      </c>
      <c r="F211" s="25">
        <v>45743.0</v>
      </c>
      <c r="G211" s="227">
        <v>46022.0</v>
      </c>
      <c r="H211" s="62" t="s">
        <v>3407</v>
      </c>
      <c r="I211" s="62" t="s">
        <v>56</v>
      </c>
      <c r="J211" s="63" t="s">
        <v>57</v>
      </c>
      <c r="K211" s="64" t="s">
        <v>63</v>
      </c>
      <c r="L211" s="181" t="s">
        <v>3426</v>
      </c>
      <c r="M211" s="66" t="s">
        <v>3427</v>
      </c>
      <c r="P211" s="244"/>
      <c r="T211" s="229"/>
    </row>
    <row r="212">
      <c r="A212" s="87" t="s">
        <v>2868</v>
      </c>
      <c r="B212" s="87" t="s">
        <v>811</v>
      </c>
      <c r="C212" s="75">
        <v>60.0</v>
      </c>
      <c r="D212" s="22" t="str">
        <f t="shared" si="9"/>
        <v>General</v>
      </c>
      <c r="E212" s="23" t="str">
        <f t="shared" si="5"/>
        <v>Lapsed</v>
      </c>
      <c r="F212" s="25">
        <v>45817.0</v>
      </c>
      <c r="G212" s="227">
        <v>46022.0</v>
      </c>
      <c r="H212" s="62" t="s">
        <v>3437</v>
      </c>
      <c r="I212" s="62" t="s">
        <v>56</v>
      </c>
      <c r="J212" s="63" t="s">
        <v>57</v>
      </c>
      <c r="K212" s="64" t="s">
        <v>63</v>
      </c>
      <c r="L212" s="181" t="s">
        <v>3438</v>
      </c>
      <c r="M212" s="66" t="s">
        <v>3439</v>
      </c>
      <c r="T212" s="245"/>
    </row>
    <row r="213">
      <c r="A213" s="87" t="s">
        <v>3450</v>
      </c>
      <c r="B213" s="87" t="s">
        <v>3451</v>
      </c>
      <c r="C213" s="75">
        <v>52.0</v>
      </c>
      <c r="D213" s="22" t="str">
        <f t="shared" si="9"/>
        <v>General</v>
      </c>
      <c r="E213" s="23" t="str">
        <f t="shared" si="5"/>
        <v>Lapsed</v>
      </c>
      <c r="F213" s="25">
        <v>45068.0</v>
      </c>
      <c r="G213" s="227">
        <v>46022.0</v>
      </c>
      <c r="H213" s="62" t="s">
        <v>3452</v>
      </c>
      <c r="I213" s="62" t="s">
        <v>761</v>
      </c>
      <c r="J213" s="63" t="s">
        <v>35</v>
      </c>
      <c r="K213" s="64" t="s">
        <v>3044</v>
      </c>
      <c r="L213" s="181" t="s">
        <v>3453</v>
      </c>
      <c r="M213" s="66" t="s">
        <v>3454</v>
      </c>
      <c r="T213" s="229"/>
    </row>
    <row r="214">
      <c r="A214" s="87" t="s">
        <v>567</v>
      </c>
      <c r="B214" s="87" t="s">
        <v>776</v>
      </c>
      <c r="C214" s="75">
        <v>50.0</v>
      </c>
      <c r="D214" s="22" t="str">
        <f t="shared" si="9"/>
        <v>General</v>
      </c>
      <c r="E214" s="23" t="str">
        <f t="shared" si="5"/>
        <v>Lapsed</v>
      </c>
      <c r="F214" s="25">
        <v>45817.0</v>
      </c>
      <c r="G214" s="227">
        <v>46022.0</v>
      </c>
      <c r="H214" s="62" t="s">
        <v>3455</v>
      </c>
      <c r="I214" s="62" t="s">
        <v>56</v>
      </c>
      <c r="J214" s="63" t="s">
        <v>57</v>
      </c>
      <c r="K214" s="64" t="s">
        <v>63</v>
      </c>
      <c r="L214" s="181" t="s">
        <v>3456</v>
      </c>
      <c r="M214" s="66" t="s">
        <v>3457</v>
      </c>
      <c r="T214" s="229"/>
    </row>
    <row r="215">
      <c r="A215" s="20"/>
      <c r="B215" s="20"/>
      <c r="C215" s="21"/>
      <c r="D215" s="22"/>
      <c r="E215" s="23"/>
      <c r="F215" s="25"/>
      <c r="G215" s="26"/>
      <c r="H215" s="29"/>
      <c r="I215" s="29"/>
      <c r="J215" s="30"/>
      <c r="K215" s="42"/>
      <c r="L215" s="230"/>
      <c r="M215" s="54"/>
      <c r="T215" s="229"/>
    </row>
    <row r="216">
      <c r="A216" s="20"/>
      <c r="B216" s="250"/>
      <c r="C216" s="21"/>
      <c r="D216" s="22"/>
      <c r="E216" s="23"/>
      <c r="F216" s="172"/>
      <c r="G216" s="102"/>
      <c r="H216" s="160"/>
      <c r="I216" s="160"/>
      <c r="J216" s="251"/>
      <c r="K216" s="251"/>
      <c r="L216" s="230"/>
      <c r="M216" s="66"/>
      <c r="N216" s="226"/>
      <c r="O216" s="226"/>
    </row>
    <row r="217">
      <c r="A217" s="20"/>
      <c r="B217" s="20"/>
      <c r="C217" s="21"/>
      <c r="D217" s="22"/>
      <c r="E217" s="23"/>
      <c r="F217" s="25"/>
      <c r="G217" s="26"/>
      <c r="H217" s="29"/>
      <c r="I217" s="29"/>
      <c r="J217" s="30"/>
      <c r="K217" s="42"/>
      <c r="L217" s="230"/>
      <c r="M217" s="54"/>
      <c r="T217" s="229"/>
    </row>
    <row r="218">
      <c r="A218" s="20"/>
      <c r="B218" s="20"/>
      <c r="C218" s="21"/>
      <c r="D218" s="22"/>
      <c r="E218" s="23"/>
      <c r="F218" s="25"/>
      <c r="G218" s="26"/>
      <c r="H218" s="29"/>
      <c r="I218" s="29"/>
      <c r="J218" s="30"/>
      <c r="K218" s="42"/>
      <c r="L218" s="230"/>
      <c r="M218" s="54"/>
      <c r="T218" s="229"/>
    </row>
    <row r="219">
      <c r="A219" s="20"/>
      <c r="B219" s="20"/>
      <c r="C219" s="21"/>
      <c r="D219" s="22"/>
      <c r="E219" s="23"/>
      <c r="F219" s="25"/>
      <c r="G219" s="26"/>
      <c r="H219" s="29"/>
      <c r="I219" s="29"/>
      <c r="J219" s="30"/>
      <c r="K219" s="42"/>
      <c r="L219" s="230"/>
      <c r="M219" s="54"/>
      <c r="T219" s="229"/>
    </row>
    <row r="220">
      <c r="A220" s="20"/>
      <c r="B220" s="20"/>
      <c r="C220" s="21"/>
      <c r="D220" s="22"/>
      <c r="E220" s="23"/>
      <c r="F220" s="25"/>
      <c r="G220" s="26"/>
      <c r="H220" s="29"/>
      <c r="I220" s="29"/>
      <c r="J220" s="30"/>
      <c r="K220" s="42"/>
      <c r="L220" s="230"/>
      <c r="M220" s="54"/>
      <c r="T220" s="229"/>
    </row>
    <row r="221">
      <c r="A221" s="20"/>
      <c r="B221" s="20"/>
      <c r="C221" s="21"/>
      <c r="D221" s="22"/>
      <c r="E221" s="23"/>
      <c r="F221" s="25"/>
      <c r="G221" s="26"/>
      <c r="H221" s="29"/>
      <c r="I221" s="29"/>
      <c r="J221" s="30"/>
      <c r="K221" s="42"/>
      <c r="L221" s="230"/>
      <c r="M221" s="54"/>
      <c r="T221" s="229"/>
    </row>
    <row r="222">
      <c r="A222" s="20"/>
      <c r="B222" s="20"/>
      <c r="C222" s="21"/>
      <c r="D222" s="22"/>
      <c r="E222" s="23"/>
      <c r="F222" s="25"/>
      <c r="G222" s="26"/>
      <c r="H222" s="29"/>
      <c r="I222" s="29"/>
      <c r="J222" s="30"/>
      <c r="K222" s="42"/>
      <c r="L222" s="230"/>
      <c r="M222" s="54"/>
      <c r="T222" s="229"/>
    </row>
    <row r="223">
      <c r="A223" s="20"/>
      <c r="B223" s="20"/>
      <c r="C223" s="21"/>
      <c r="D223" s="22"/>
      <c r="E223" s="23"/>
      <c r="F223" s="25"/>
      <c r="G223" s="26"/>
      <c r="H223" s="29"/>
      <c r="I223" s="29"/>
      <c r="J223" s="30"/>
      <c r="K223" s="42"/>
      <c r="L223" s="230"/>
      <c r="M223" s="54"/>
      <c r="T223" s="229"/>
    </row>
    <row r="224">
      <c r="A224" s="20"/>
      <c r="B224" s="20"/>
      <c r="C224" s="21"/>
      <c r="D224" s="22"/>
      <c r="E224" s="23"/>
      <c r="F224" s="25"/>
      <c r="G224" s="26"/>
      <c r="H224" s="29"/>
      <c r="I224" s="29"/>
      <c r="J224" s="30"/>
      <c r="K224" s="42"/>
      <c r="L224" s="230"/>
      <c r="M224" s="54"/>
      <c r="T224" s="229"/>
    </row>
    <row r="225">
      <c r="A225" s="20"/>
      <c r="B225" s="20"/>
      <c r="C225" s="21"/>
      <c r="D225" s="22"/>
      <c r="E225" s="23"/>
      <c r="F225" s="25"/>
      <c r="G225" s="26"/>
      <c r="H225" s="29"/>
      <c r="I225" s="29"/>
      <c r="J225" s="30"/>
      <c r="K225" s="42"/>
      <c r="L225" s="230"/>
      <c r="M225" s="54"/>
      <c r="N225" s="231"/>
      <c r="T225" s="229"/>
    </row>
    <row r="226">
      <c r="A226" s="20"/>
      <c r="B226" s="20"/>
      <c r="C226" s="21"/>
      <c r="D226" s="22"/>
      <c r="E226" s="23"/>
      <c r="F226" s="25"/>
      <c r="G226" s="26"/>
      <c r="H226" s="29"/>
      <c r="I226" s="29"/>
      <c r="J226" s="30"/>
      <c r="K226" s="42"/>
      <c r="L226" s="230"/>
      <c r="M226" s="54"/>
      <c r="T226" s="229"/>
    </row>
    <row r="227">
      <c r="A227" s="20"/>
      <c r="B227" s="20"/>
      <c r="C227" s="21"/>
      <c r="D227" s="22"/>
      <c r="E227" s="23"/>
      <c r="F227" s="25"/>
      <c r="G227" s="26"/>
      <c r="H227" s="29"/>
      <c r="I227" s="29"/>
      <c r="J227" s="30"/>
      <c r="K227" s="42"/>
      <c r="L227" s="230"/>
      <c r="M227" s="54"/>
      <c r="T227" s="229"/>
    </row>
    <row r="228">
      <c r="A228" s="20"/>
      <c r="B228" s="20"/>
      <c r="C228" s="21"/>
      <c r="D228" s="22"/>
      <c r="E228" s="23"/>
      <c r="F228" s="25"/>
      <c r="G228" s="26"/>
      <c r="H228" s="29"/>
      <c r="I228" s="29"/>
      <c r="J228" s="30"/>
      <c r="K228" s="42"/>
      <c r="L228" s="230"/>
      <c r="M228" s="54"/>
      <c r="T228" s="229"/>
    </row>
    <row r="229">
      <c r="A229" s="20"/>
      <c r="B229" s="20"/>
      <c r="C229" s="21"/>
      <c r="D229" s="22"/>
      <c r="E229" s="23"/>
      <c r="F229" s="25"/>
      <c r="G229" s="26"/>
      <c r="H229" s="29"/>
      <c r="I229" s="29"/>
      <c r="J229" s="30"/>
      <c r="K229" s="42"/>
      <c r="L229" s="230"/>
      <c r="M229" s="54"/>
      <c r="T229" s="229"/>
    </row>
    <row r="230">
      <c r="A230" s="20"/>
      <c r="B230" s="20"/>
      <c r="C230" s="21"/>
      <c r="D230" s="22"/>
      <c r="E230" s="23"/>
      <c r="F230" s="25"/>
      <c r="G230" s="26"/>
      <c r="H230" s="29"/>
      <c r="I230" s="29"/>
      <c r="J230" s="30"/>
      <c r="K230" s="42"/>
      <c r="L230" s="230"/>
      <c r="M230" s="54"/>
      <c r="T230" s="229"/>
    </row>
    <row r="231">
      <c r="A231" s="20"/>
      <c r="B231" s="20"/>
      <c r="C231" s="21"/>
      <c r="D231" s="22"/>
      <c r="E231" s="23"/>
      <c r="F231" s="25"/>
      <c r="G231" s="26"/>
      <c r="H231" s="29"/>
      <c r="I231" s="29"/>
      <c r="J231" s="30"/>
      <c r="K231" s="42"/>
      <c r="L231" s="230"/>
      <c r="M231" s="54"/>
      <c r="N231" s="231"/>
      <c r="T231" s="229"/>
    </row>
    <row r="232">
      <c r="A232" s="20"/>
      <c r="B232" s="20"/>
      <c r="C232" s="21"/>
      <c r="D232" s="22"/>
      <c r="E232" s="23"/>
      <c r="F232" s="25"/>
      <c r="G232" s="26"/>
      <c r="H232" s="29"/>
      <c r="I232" s="29"/>
      <c r="J232" s="30"/>
      <c r="K232" s="42"/>
      <c r="L232" s="230"/>
      <c r="M232" s="54"/>
      <c r="T232" s="229"/>
    </row>
    <row r="233">
      <c r="A233" s="20"/>
      <c r="B233" s="20"/>
      <c r="C233" s="21"/>
      <c r="D233" s="22"/>
      <c r="E233" s="23"/>
      <c r="F233" s="25"/>
      <c r="G233" s="26"/>
      <c r="H233" s="29"/>
      <c r="I233" s="29"/>
      <c r="J233" s="30"/>
      <c r="K233" s="42"/>
      <c r="L233" s="230"/>
      <c r="M233" s="54"/>
      <c r="N233" s="231"/>
      <c r="T233" s="229"/>
    </row>
    <row r="234">
      <c r="A234" s="20"/>
      <c r="B234" s="20"/>
      <c r="C234" s="21"/>
      <c r="D234" s="22"/>
      <c r="E234" s="23"/>
      <c r="F234" s="25"/>
      <c r="G234" s="26"/>
      <c r="H234" s="29"/>
      <c r="I234" s="29"/>
      <c r="J234" s="30"/>
      <c r="K234" s="42"/>
      <c r="L234" s="230"/>
      <c r="M234" s="54"/>
      <c r="N234" s="231"/>
      <c r="T234" s="229"/>
    </row>
    <row r="235">
      <c r="A235" s="20"/>
      <c r="B235" s="20"/>
      <c r="C235" s="21"/>
      <c r="D235" s="22"/>
      <c r="E235" s="23"/>
      <c r="F235" s="25"/>
      <c r="G235" s="26"/>
      <c r="H235" s="29"/>
      <c r="I235" s="29"/>
      <c r="J235" s="30"/>
      <c r="K235" s="42"/>
      <c r="L235" s="230"/>
      <c r="M235" s="54"/>
      <c r="T235" s="229"/>
    </row>
    <row r="236">
      <c r="A236" s="20"/>
      <c r="B236" s="20"/>
      <c r="C236" s="21"/>
      <c r="D236" s="22"/>
      <c r="E236" s="23"/>
      <c r="F236" s="25"/>
      <c r="G236" s="26"/>
      <c r="H236" s="29"/>
      <c r="I236" s="29"/>
      <c r="J236" s="30"/>
      <c r="K236" s="42"/>
      <c r="L236" s="230"/>
      <c r="M236" s="54"/>
      <c r="T236" s="229"/>
    </row>
    <row r="237">
      <c r="A237" s="20"/>
      <c r="B237" s="20"/>
      <c r="C237" s="21"/>
      <c r="D237" s="22"/>
      <c r="E237" s="23"/>
      <c r="F237" s="25"/>
      <c r="G237" s="26"/>
      <c r="H237" s="29"/>
      <c r="I237" s="29"/>
      <c r="J237" s="30"/>
      <c r="K237" s="42"/>
      <c r="L237" s="230"/>
      <c r="M237" s="54"/>
      <c r="T237" s="229"/>
    </row>
    <row r="238">
      <c r="A238" s="20"/>
      <c r="B238" s="20"/>
      <c r="C238" s="21"/>
      <c r="D238" s="22"/>
      <c r="E238" s="23"/>
      <c r="F238" s="25"/>
      <c r="G238" s="26"/>
      <c r="H238" s="29"/>
      <c r="I238" s="29"/>
      <c r="J238" s="30"/>
      <c r="K238" s="42"/>
      <c r="L238" s="230"/>
      <c r="M238" s="54"/>
      <c r="T238" s="229"/>
    </row>
    <row r="239">
      <c r="A239" s="20"/>
      <c r="B239" s="20"/>
      <c r="C239" s="21"/>
      <c r="D239" s="22"/>
      <c r="E239" s="23"/>
      <c r="F239" s="25"/>
      <c r="G239" s="26"/>
      <c r="H239" s="29"/>
      <c r="I239" s="29"/>
      <c r="J239" s="30"/>
      <c r="K239" s="42"/>
      <c r="L239" s="230"/>
      <c r="M239" s="54"/>
      <c r="T239" s="229"/>
    </row>
    <row r="240">
      <c r="A240" s="20"/>
      <c r="B240" s="20"/>
      <c r="C240" s="21"/>
      <c r="D240" s="22"/>
      <c r="E240" s="23"/>
      <c r="F240" s="25"/>
      <c r="G240" s="26"/>
      <c r="H240" s="29"/>
      <c r="I240" s="29"/>
      <c r="J240" s="30"/>
      <c r="K240" s="42"/>
      <c r="L240" s="230"/>
      <c r="M240" s="54"/>
      <c r="T240" s="229"/>
    </row>
    <row r="241">
      <c r="A241" s="20"/>
      <c r="B241" s="20"/>
      <c r="C241" s="21"/>
      <c r="D241" s="22"/>
      <c r="E241" s="23"/>
      <c r="F241" s="25"/>
      <c r="G241" s="26"/>
      <c r="H241" s="29"/>
      <c r="I241" s="29"/>
      <c r="J241" s="30"/>
      <c r="K241" s="42"/>
      <c r="L241" s="230"/>
      <c r="M241" s="54"/>
      <c r="T241" s="229"/>
    </row>
    <row r="242">
      <c r="A242" s="20"/>
      <c r="B242" s="20"/>
      <c r="C242" s="21"/>
      <c r="D242" s="22"/>
      <c r="E242" s="23"/>
      <c r="F242" s="25"/>
      <c r="G242" s="26"/>
      <c r="H242" s="29"/>
      <c r="I242" s="29"/>
      <c r="J242" s="30"/>
      <c r="K242" s="42"/>
      <c r="L242" s="230"/>
      <c r="M242" s="54"/>
      <c r="T242" s="229"/>
    </row>
    <row r="243">
      <c r="A243" s="20"/>
      <c r="B243" s="20"/>
      <c r="C243" s="21"/>
      <c r="D243" s="22"/>
      <c r="E243" s="23"/>
      <c r="F243" s="25"/>
      <c r="G243" s="26"/>
      <c r="H243" s="29"/>
      <c r="I243" s="29"/>
      <c r="J243" s="30"/>
      <c r="K243" s="42"/>
      <c r="L243" s="230"/>
      <c r="M243" s="54"/>
      <c r="T243" s="229"/>
    </row>
    <row r="244">
      <c r="A244" s="20"/>
      <c r="B244" s="20"/>
      <c r="C244" s="21"/>
      <c r="D244" s="22"/>
      <c r="E244" s="23"/>
      <c r="F244" s="25"/>
      <c r="G244" s="26"/>
      <c r="H244" s="29"/>
      <c r="I244" s="29"/>
      <c r="J244" s="30"/>
      <c r="K244" s="42"/>
      <c r="L244" s="230"/>
      <c r="M244" s="54"/>
      <c r="T244" s="229"/>
    </row>
    <row r="245">
      <c r="A245" s="20"/>
      <c r="B245" s="20"/>
      <c r="C245" s="21"/>
      <c r="D245" s="22"/>
      <c r="E245" s="23"/>
      <c r="F245" s="25"/>
      <c r="G245" s="26"/>
      <c r="H245" s="29"/>
      <c r="I245" s="29"/>
      <c r="J245" s="30"/>
      <c r="K245" s="42"/>
      <c r="L245" s="230"/>
      <c r="M245" s="54"/>
      <c r="T245" s="229"/>
    </row>
    <row r="246">
      <c r="A246" s="20"/>
      <c r="B246" s="20"/>
      <c r="C246" s="21"/>
      <c r="D246" s="22"/>
      <c r="E246" s="23"/>
      <c r="F246" s="25"/>
      <c r="G246" s="26"/>
      <c r="H246" s="29"/>
      <c r="I246" s="29"/>
      <c r="J246" s="30"/>
      <c r="K246" s="42"/>
      <c r="L246" s="230"/>
      <c r="M246" s="54"/>
      <c r="T246" s="229"/>
    </row>
    <row r="247">
      <c r="A247" s="20"/>
      <c r="B247" s="20"/>
      <c r="C247" s="21"/>
      <c r="D247" s="22"/>
      <c r="E247" s="23"/>
      <c r="F247" s="25"/>
      <c r="G247" s="26"/>
      <c r="H247" s="28"/>
      <c r="I247" s="29"/>
      <c r="J247" s="30"/>
      <c r="K247" s="31"/>
      <c r="L247" s="28"/>
      <c r="M247" s="32"/>
      <c r="T247" s="229"/>
    </row>
    <row r="248">
      <c r="A248" s="20"/>
      <c r="B248" s="20"/>
      <c r="C248" s="21"/>
      <c r="D248" s="22"/>
      <c r="E248" s="23"/>
      <c r="F248" s="25"/>
      <c r="G248" s="26"/>
      <c r="H248" s="29"/>
      <c r="I248" s="29"/>
      <c r="J248" s="30"/>
      <c r="K248" s="42"/>
      <c r="L248" s="230"/>
      <c r="M248" s="54"/>
      <c r="T248" s="229"/>
    </row>
    <row r="249">
      <c r="A249" s="20"/>
      <c r="B249" s="20"/>
      <c r="C249" s="21"/>
      <c r="D249" s="22"/>
      <c r="E249" s="23"/>
      <c r="F249" s="25"/>
      <c r="G249" s="26"/>
      <c r="H249" s="29"/>
      <c r="I249" s="29"/>
      <c r="J249" s="30"/>
      <c r="K249" s="42"/>
      <c r="L249" s="230"/>
      <c r="M249" s="54"/>
      <c r="T249" s="229"/>
    </row>
    <row r="250">
      <c r="A250" s="20"/>
      <c r="B250" s="20"/>
      <c r="C250" s="21"/>
      <c r="D250" s="22"/>
      <c r="E250" s="23"/>
      <c r="F250" s="25"/>
      <c r="G250" s="26"/>
      <c r="H250" s="29"/>
      <c r="I250" s="29"/>
      <c r="J250" s="30"/>
      <c r="K250" s="42"/>
      <c r="L250" s="239"/>
      <c r="M250" s="54"/>
      <c r="T250" s="229"/>
    </row>
    <row r="251">
      <c r="A251" s="20"/>
      <c r="B251" s="20"/>
      <c r="C251" s="21"/>
      <c r="D251" s="22"/>
      <c r="E251" s="23"/>
      <c r="F251" s="25"/>
      <c r="G251" s="26"/>
      <c r="H251" s="29"/>
      <c r="I251" s="29"/>
      <c r="J251" s="30"/>
      <c r="K251" s="42"/>
      <c r="L251" s="230"/>
      <c r="M251" s="54"/>
      <c r="T251" s="229"/>
    </row>
    <row r="252">
      <c r="A252" s="20"/>
      <c r="B252" s="20"/>
      <c r="C252" s="21"/>
      <c r="D252" s="22"/>
      <c r="E252" s="23"/>
      <c r="F252" s="25"/>
      <c r="G252" s="26"/>
      <c r="H252" s="29"/>
      <c r="I252" s="29"/>
      <c r="J252" s="30"/>
      <c r="K252" s="42"/>
      <c r="L252" s="230"/>
      <c r="M252" s="54"/>
      <c r="T252" s="229"/>
    </row>
    <row r="253">
      <c r="A253" s="20"/>
      <c r="B253" s="20"/>
      <c r="C253" s="21"/>
      <c r="D253" s="22"/>
      <c r="E253" s="23"/>
      <c r="F253" s="25"/>
      <c r="G253" s="26"/>
      <c r="H253" s="29"/>
      <c r="I253" s="29"/>
      <c r="J253" s="30"/>
      <c r="K253" s="42"/>
      <c r="L253" s="230"/>
      <c r="M253" s="54"/>
      <c r="T253" s="229"/>
    </row>
    <row r="254">
      <c r="A254" s="20"/>
      <c r="B254" s="20"/>
      <c r="C254" s="21"/>
      <c r="D254" s="22"/>
      <c r="E254" s="23"/>
      <c r="F254" s="25"/>
      <c r="G254" s="26"/>
      <c r="H254" s="29"/>
      <c r="I254" s="29"/>
      <c r="J254" s="30"/>
      <c r="K254" s="42"/>
      <c r="L254" s="230"/>
      <c r="M254" s="54"/>
      <c r="T254" s="229"/>
    </row>
    <row r="255">
      <c r="A255" s="20"/>
      <c r="B255" s="20"/>
      <c r="C255" s="21"/>
      <c r="D255" s="22"/>
      <c r="E255" s="23"/>
      <c r="F255" s="25"/>
      <c r="G255" s="26"/>
      <c r="H255" s="29"/>
      <c r="I255" s="29"/>
      <c r="J255" s="30"/>
      <c r="K255" s="42"/>
      <c r="L255" s="230"/>
      <c r="M255" s="54"/>
      <c r="N255" s="231"/>
      <c r="T255" s="229"/>
    </row>
    <row r="256">
      <c r="A256" s="20"/>
      <c r="B256" s="20"/>
      <c r="C256" s="21"/>
      <c r="D256" s="22"/>
      <c r="E256" s="23"/>
      <c r="F256" s="25"/>
      <c r="G256" s="26"/>
      <c r="H256" s="29"/>
      <c r="I256" s="29"/>
      <c r="J256" s="30"/>
      <c r="K256" s="42"/>
      <c r="L256" s="230"/>
      <c r="M256" s="54"/>
      <c r="N256" s="231"/>
      <c r="T256" s="229"/>
    </row>
    <row r="257">
      <c r="A257" s="20"/>
      <c r="B257" s="20"/>
      <c r="C257" s="21"/>
      <c r="D257" s="22"/>
      <c r="E257" s="23"/>
      <c r="F257" s="25"/>
      <c r="G257" s="26"/>
      <c r="H257" s="28"/>
      <c r="I257" s="29"/>
      <c r="J257" s="30"/>
      <c r="K257" s="31"/>
      <c r="L257" s="28"/>
      <c r="M257" s="32"/>
      <c r="N257" s="231"/>
      <c r="T257" s="229"/>
    </row>
    <row r="258">
      <c r="A258" s="20"/>
      <c r="B258" s="20"/>
      <c r="C258" s="21"/>
      <c r="D258" s="22"/>
      <c r="E258" s="23"/>
      <c r="F258" s="25"/>
      <c r="G258" s="26"/>
      <c r="H258" s="29"/>
      <c r="I258" s="29"/>
      <c r="J258" s="30"/>
      <c r="K258" s="42"/>
      <c r="L258" s="230"/>
      <c r="M258" s="54"/>
      <c r="T258" s="229"/>
    </row>
    <row r="259">
      <c r="A259" s="20"/>
      <c r="B259" s="20"/>
      <c r="C259" s="21"/>
      <c r="D259" s="22"/>
      <c r="E259" s="23"/>
      <c r="F259" s="25"/>
      <c r="G259" s="26"/>
      <c r="H259" s="29"/>
      <c r="I259" s="29"/>
      <c r="J259" s="30"/>
      <c r="K259" s="42"/>
      <c r="L259" s="230"/>
      <c r="M259" s="54"/>
      <c r="T259" s="229"/>
    </row>
    <row r="260">
      <c r="A260" s="20"/>
      <c r="B260" s="20"/>
      <c r="C260" s="21"/>
      <c r="D260" s="22"/>
      <c r="E260" s="23"/>
      <c r="F260" s="25"/>
      <c r="G260" s="26"/>
      <c r="H260" s="29"/>
      <c r="I260" s="29"/>
      <c r="J260" s="30"/>
      <c r="K260" s="42"/>
      <c r="L260" s="230"/>
      <c r="M260" s="54"/>
      <c r="N260" s="232"/>
      <c r="T260" s="229"/>
    </row>
    <row r="261">
      <c r="A261" s="20"/>
      <c r="B261" s="20"/>
      <c r="C261" s="21"/>
      <c r="D261" s="22"/>
      <c r="E261" s="23"/>
      <c r="F261" s="25"/>
      <c r="G261" s="26"/>
      <c r="H261" s="29"/>
      <c r="I261" s="29"/>
      <c r="J261" s="30"/>
      <c r="K261" s="42"/>
      <c r="L261" s="230"/>
      <c r="M261" s="54"/>
      <c r="T261" s="229"/>
    </row>
    <row r="262">
      <c r="A262" s="20"/>
      <c r="B262" s="20"/>
      <c r="C262" s="21"/>
      <c r="D262" s="22"/>
      <c r="E262" s="23"/>
      <c r="F262" s="25"/>
      <c r="G262" s="26"/>
      <c r="H262" s="29"/>
      <c r="I262" s="29"/>
      <c r="J262" s="30"/>
      <c r="K262" s="42"/>
      <c r="L262" s="230"/>
      <c r="M262" s="54"/>
      <c r="T262" s="229"/>
    </row>
    <row r="263">
      <c r="A263" s="20"/>
      <c r="B263" s="20"/>
      <c r="C263" s="21"/>
      <c r="D263" s="22"/>
      <c r="E263" s="23"/>
      <c r="F263" s="25"/>
      <c r="G263" s="26"/>
      <c r="H263" s="29"/>
      <c r="I263" s="29"/>
      <c r="J263" s="30"/>
      <c r="K263" s="42"/>
      <c r="L263" s="230"/>
      <c r="M263" s="252"/>
      <c r="T263" s="229"/>
    </row>
    <row r="264">
      <c r="A264" s="20"/>
      <c r="B264" s="20"/>
      <c r="C264" s="21"/>
      <c r="D264" s="22"/>
      <c r="E264" s="23"/>
      <c r="F264" s="25"/>
      <c r="G264" s="26"/>
      <c r="H264" s="29"/>
      <c r="I264" s="29"/>
      <c r="J264" s="30"/>
      <c r="K264" s="42"/>
      <c r="L264" s="230"/>
      <c r="M264" s="54"/>
      <c r="T264" s="229"/>
    </row>
    <row r="265">
      <c r="A265" s="20"/>
      <c r="B265" s="20"/>
      <c r="C265" s="21"/>
      <c r="D265" s="22"/>
      <c r="E265" s="23"/>
      <c r="F265" s="25"/>
      <c r="G265" s="26"/>
      <c r="H265" s="29"/>
      <c r="I265" s="29"/>
      <c r="J265" s="30"/>
      <c r="K265" s="42"/>
      <c r="L265" s="230"/>
      <c r="M265" s="54"/>
      <c r="T265" s="229"/>
    </row>
    <row r="266">
      <c r="A266" s="20"/>
      <c r="B266" s="20"/>
      <c r="C266" s="21"/>
      <c r="D266" s="22"/>
      <c r="E266" s="23"/>
      <c r="F266" s="25"/>
      <c r="G266" s="26"/>
      <c r="H266" s="29"/>
      <c r="I266" s="29"/>
      <c r="J266" s="30"/>
      <c r="K266" s="42"/>
      <c r="L266" s="230"/>
      <c r="M266" s="30"/>
      <c r="T266" s="229"/>
    </row>
    <row r="267">
      <c r="A267" s="20"/>
      <c r="B267" s="20"/>
      <c r="C267" s="21"/>
      <c r="D267" s="22"/>
      <c r="E267" s="23"/>
      <c r="F267" s="25"/>
      <c r="G267" s="26"/>
      <c r="H267" s="29"/>
      <c r="I267" s="29"/>
      <c r="J267" s="30"/>
      <c r="K267" s="42"/>
      <c r="L267" s="230"/>
      <c r="M267" s="54"/>
      <c r="T267" s="229"/>
    </row>
    <row r="268">
      <c r="A268" s="20"/>
      <c r="B268" s="20"/>
      <c r="C268" s="21"/>
      <c r="D268" s="22"/>
      <c r="E268" s="23"/>
      <c r="F268" s="25"/>
      <c r="G268" s="26"/>
      <c r="H268" s="29"/>
      <c r="I268" s="29"/>
      <c r="J268" s="30"/>
      <c r="K268" s="42"/>
      <c r="L268" s="230"/>
      <c r="M268" s="54"/>
      <c r="T268" s="229"/>
    </row>
    <row r="269">
      <c r="A269" s="20"/>
      <c r="B269" s="20"/>
      <c r="C269" s="21"/>
      <c r="D269" s="22"/>
      <c r="E269" s="23"/>
      <c r="F269" s="25"/>
      <c r="G269" s="26"/>
      <c r="H269" s="29"/>
      <c r="I269" s="29"/>
      <c r="J269" s="30"/>
      <c r="K269" s="42"/>
      <c r="L269" s="230"/>
      <c r="M269" s="54"/>
      <c r="N269" s="231"/>
      <c r="T269" s="229"/>
    </row>
    <row r="270">
      <c r="A270" s="20"/>
      <c r="B270" s="20"/>
      <c r="C270" s="21"/>
      <c r="D270" s="22"/>
      <c r="E270" s="23"/>
      <c r="F270" s="25"/>
      <c r="G270" s="26"/>
      <c r="H270" s="29"/>
      <c r="I270" s="29"/>
      <c r="J270" s="30"/>
      <c r="K270" s="42"/>
      <c r="L270" s="230"/>
      <c r="M270" s="54"/>
      <c r="T270" s="229"/>
    </row>
    <row r="271">
      <c r="A271" s="20"/>
      <c r="B271" s="20"/>
      <c r="C271" s="21"/>
      <c r="D271" s="22"/>
      <c r="E271" s="23"/>
      <c r="F271" s="25"/>
      <c r="G271" s="26"/>
      <c r="H271" s="29"/>
      <c r="I271" s="29"/>
      <c r="J271" s="30"/>
      <c r="K271" s="42"/>
      <c r="L271" s="230"/>
      <c r="M271" s="54"/>
      <c r="N271" s="231"/>
      <c r="T271" s="229"/>
    </row>
    <row r="272">
      <c r="A272" s="20"/>
      <c r="B272" s="20"/>
      <c r="C272" s="21"/>
      <c r="D272" s="22"/>
      <c r="E272" s="23"/>
      <c r="F272" s="25"/>
      <c r="G272" s="26"/>
      <c r="H272" s="29"/>
      <c r="I272" s="29"/>
      <c r="J272" s="30"/>
      <c r="K272" s="42"/>
      <c r="L272" s="230"/>
      <c r="M272" s="54"/>
      <c r="T272" s="229"/>
    </row>
    <row r="273">
      <c r="A273" s="20"/>
      <c r="B273" s="20"/>
      <c r="C273" s="21"/>
      <c r="D273" s="22"/>
      <c r="E273" s="23"/>
      <c r="F273" s="25"/>
      <c r="G273" s="26"/>
      <c r="H273" s="29"/>
      <c r="I273" s="29"/>
      <c r="J273" s="30"/>
      <c r="K273" s="42"/>
      <c r="L273" s="230"/>
      <c r="M273" s="54"/>
      <c r="T273" s="229"/>
    </row>
    <row r="274">
      <c r="A274" s="20"/>
      <c r="B274" s="20"/>
      <c r="C274" s="21"/>
      <c r="D274" s="22"/>
      <c r="E274" s="23"/>
      <c r="F274" s="25"/>
      <c r="G274" s="26"/>
      <c r="H274" s="29"/>
      <c r="I274" s="29"/>
      <c r="J274" s="30"/>
      <c r="K274" s="42"/>
      <c r="L274" s="230"/>
      <c r="M274" s="54"/>
      <c r="T274" s="229"/>
    </row>
    <row r="275">
      <c r="A275" s="20"/>
      <c r="B275" s="20"/>
      <c r="C275" s="21"/>
      <c r="D275" s="22"/>
      <c r="E275" s="23"/>
      <c r="F275" s="25"/>
      <c r="G275" s="26"/>
      <c r="H275" s="29"/>
      <c r="I275" s="29"/>
      <c r="J275" s="30"/>
      <c r="K275" s="42"/>
      <c r="L275" s="234"/>
      <c r="M275" s="54"/>
      <c r="N275" s="233"/>
      <c r="T275" s="229"/>
    </row>
    <row r="276">
      <c r="A276" s="20"/>
      <c r="B276" s="20"/>
      <c r="C276" s="21"/>
      <c r="D276" s="22"/>
      <c r="E276" s="23"/>
      <c r="F276" s="25"/>
      <c r="G276" s="26"/>
      <c r="H276" s="29"/>
      <c r="I276" s="29"/>
      <c r="J276" s="30"/>
      <c r="K276" s="42"/>
      <c r="L276" s="230"/>
      <c r="M276" s="54"/>
      <c r="T276" s="229"/>
    </row>
    <row r="277">
      <c r="A277" s="20"/>
      <c r="B277" s="20"/>
      <c r="C277" s="21"/>
      <c r="D277" s="22"/>
      <c r="E277" s="23"/>
      <c r="F277" s="25"/>
      <c r="G277" s="26"/>
      <c r="H277" s="29"/>
      <c r="I277" s="29"/>
      <c r="J277" s="30"/>
      <c r="K277" s="42"/>
      <c r="L277" s="230"/>
      <c r="M277" s="54"/>
      <c r="T277" s="229"/>
    </row>
    <row r="278">
      <c r="A278" s="20"/>
      <c r="B278" s="20"/>
      <c r="C278" s="21"/>
      <c r="D278" s="22"/>
      <c r="E278" s="23"/>
      <c r="F278" s="25"/>
      <c r="G278" s="26"/>
      <c r="H278" s="29"/>
      <c r="I278" s="29"/>
      <c r="J278" s="30"/>
      <c r="K278" s="42"/>
      <c r="L278" s="230"/>
      <c r="M278" s="54"/>
      <c r="N278" s="231"/>
      <c r="T278" s="229"/>
    </row>
    <row r="279">
      <c r="A279" s="20"/>
      <c r="B279" s="20"/>
      <c r="C279" s="21"/>
      <c r="D279" s="22"/>
      <c r="E279" s="23"/>
      <c r="F279" s="25"/>
      <c r="G279" s="26"/>
      <c r="H279" s="29"/>
      <c r="I279" s="29"/>
      <c r="J279" s="30"/>
      <c r="K279" s="42"/>
      <c r="L279" s="230"/>
      <c r="M279" s="54"/>
      <c r="T279" s="229"/>
    </row>
    <row r="280">
      <c r="A280" s="20"/>
      <c r="B280" s="20"/>
      <c r="C280" s="21"/>
      <c r="D280" s="22"/>
      <c r="E280" s="23"/>
      <c r="F280" s="25"/>
      <c r="G280" s="26"/>
      <c r="H280" s="29"/>
      <c r="I280" s="29"/>
      <c r="J280" s="30"/>
      <c r="K280" s="42"/>
      <c r="L280" s="230"/>
      <c r="M280" s="54"/>
      <c r="T280" s="229"/>
    </row>
    <row r="281">
      <c r="A281" s="20"/>
      <c r="B281" s="20"/>
      <c r="C281" s="21"/>
      <c r="D281" s="22"/>
      <c r="E281" s="23"/>
      <c r="F281" s="25"/>
      <c r="G281" s="26"/>
      <c r="H281" s="29"/>
      <c r="I281" s="29"/>
      <c r="J281" s="30"/>
      <c r="K281" s="42"/>
      <c r="L281" s="230"/>
      <c r="M281" s="54"/>
      <c r="T281" s="229"/>
    </row>
    <row r="282">
      <c r="A282" s="20"/>
      <c r="B282" s="20"/>
      <c r="C282" s="21"/>
      <c r="D282" s="22"/>
      <c r="E282" s="23"/>
      <c r="F282" s="25"/>
      <c r="G282" s="26"/>
      <c r="H282" s="29"/>
      <c r="I282" s="29"/>
      <c r="J282" s="30"/>
      <c r="K282" s="42"/>
      <c r="L282" s="230"/>
      <c r="M282" s="54"/>
      <c r="T282" s="229"/>
    </row>
    <row r="283">
      <c r="A283" s="20"/>
      <c r="B283" s="20"/>
      <c r="C283" s="21"/>
      <c r="D283" s="22"/>
      <c r="E283" s="23"/>
      <c r="F283" s="25"/>
      <c r="G283" s="26"/>
      <c r="H283" s="29"/>
      <c r="I283" s="29"/>
      <c r="J283" s="30"/>
      <c r="K283" s="42"/>
      <c r="L283" s="230"/>
      <c r="M283" s="54"/>
      <c r="T283" s="229"/>
    </row>
    <row r="284">
      <c r="A284" s="20"/>
      <c r="B284" s="20"/>
      <c r="C284" s="21"/>
      <c r="D284" s="22"/>
      <c r="E284" s="23"/>
      <c r="F284" s="25"/>
      <c r="G284" s="26"/>
      <c r="H284" s="28"/>
      <c r="I284" s="29"/>
      <c r="J284" s="30"/>
      <c r="K284" s="31"/>
      <c r="L284" s="28"/>
      <c r="M284" s="32"/>
      <c r="T284" s="229"/>
    </row>
    <row r="285">
      <c r="A285" s="36"/>
      <c r="B285" s="20"/>
      <c r="C285" s="21"/>
      <c r="D285" s="22"/>
      <c r="E285" s="23"/>
      <c r="F285" s="25"/>
      <c r="G285" s="26"/>
      <c r="H285" s="29"/>
      <c r="I285" s="29"/>
      <c r="J285" s="30"/>
      <c r="K285" s="42"/>
      <c r="L285" s="230"/>
      <c r="M285" s="54"/>
      <c r="T285" s="229"/>
    </row>
    <row r="286">
      <c r="A286" s="20"/>
      <c r="B286" s="20"/>
      <c r="C286" s="21"/>
      <c r="D286" s="22"/>
      <c r="E286" s="23"/>
      <c r="F286" s="25"/>
      <c r="G286" s="26"/>
      <c r="H286" s="29"/>
      <c r="I286" s="29"/>
      <c r="J286" s="30"/>
      <c r="K286" s="42"/>
      <c r="L286" s="230"/>
      <c r="M286" s="54"/>
      <c r="T286" s="229"/>
    </row>
    <row r="287">
      <c r="A287" s="20"/>
      <c r="B287" s="20"/>
      <c r="C287" s="21"/>
      <c r="D287" s="22"/>
      <c r="E287" s="23"/>
      <c r="F287" s="25"/>
      <c r="G287" s="26"/>
      <c r="H287" s="29"/>
      <c r="I287" s="29"/>
      <c r="J287" s="30"/>
      <c r="K287" s="42"/>
      <c r="L287" s="230"/>
      <c r="M287" s="54"/>
      <c r="T287" s="229"/>
    </row>
    <row r="288">
      <c r="A288" s="20"/>
      <c r="B288" s="20"/>
      <c r="C288" s="21"/>
      <c r="D288" s="22"/>
      <c r="E288" s="23"/>
      <c r="F288" s="25"/>
      <c r="G288" s="26"/>
      <c r="H288" s="29"/>
      <c r="I288" s="29"/>
      <c r="J288" s="30"/>
      <c r="K288" s="42"/>
      <c r="L288" s="230"/>
      <c r="M288" s="54"/>
      <c r="T288" s="229"/>
    </row>
    <row r="289">
      <c r="A289" s="20"/>
      <c r="B289" s="20"/>
      <c r="C289" s="21"/>
      <c r="D289" s="22"/>
      <c r="E289" s="23"/>
      <c r="F289" s="25"/>
      <c r="G289" s="26"/>
      <c r="H289" s="29"/>
      <c r="I289" s="29"/>
      <c r="J289" s="30"/>
      <c r="K289" s="42"/>
      <c r="L289" s="28"/>
      <c r="M289" s="54"/>
      <c r="N289" s="231"/>
      <c r="T289" s="229"/>
    </row>
    <row r="290">
      <c r="A290" s="20"/>
      <c r="B290" s="20"/>
      <c r="C290" s="21"/>
      <c r="D290" s="22"/>
      <c r="E290" s="23"/>
      <c r="F290" s="25"/>
      <c r="G290" s="26"/>
      <c r="H290" s="29"/>
      <c r="I290" s="29"/>
      <c r="J290" s="30"/>
      <c r="K290" s="42"/>
      <c r="L290" s="230"/>
      <c r="M290" s="54"/>
      <c r="N290" s="231"/>
      <c r="T290" s="229"/>
    </row>
    <row r="291">
      <c r="A291" s="20"/>
      <c r="B291" s="20"/>
      <c r="C291" s="21"/>
      <c r="D291" s="22"/>
      <c r="E291" s="23"/>
      <c r="F291" s="25"/>
      <c r="G291" s="26"/>
      <c r="H291" s="29"/>
      <c r="I291" s="29"/>
      <c r="J291" s="30"/>
      <c r="K291" s="42"/>
      <c r="L291" s="230"/>
      <c r="M291" s="54"/>
      <c r="N291" s="231"/>
      <c r="T291" s="229"/>
    </row>
    <row r="292">
      <c r="A292" s="20"/>
      <c r="B292" s="20"/>
      <c r="C292" s="21"/>
      <c r="D292" s="22"/>
      <c r="E292" s="23"/>
      <c r="F292" s="25"/>
      <c r="G292" s="26"/>
      <c r="H292" s="62"/>
      <c r="I292" s="62"/>
      <c r="J292" s="81"/>
      <c r="K292" s="64"/>
      <c r="L292" s="230"/>
      <c r="M292" s="66"/>
      <c r="N292" s="231"/>
      <c r="T292" s="229"/>
    </row>
    <row r="293">
      <c r="A293" s="20"/>
      <c r="B293" s="20"/>
      <c r="C293" s="21"/>
      <c r="D293" s="22"/>
      <c r="E293" s="23"/>
      <c r="F293" s="25"/>
      <c r="G293" s="26"/>
      <c r="H293" s="29"/>
      <c r="I293" s="29"/>
      <c r="J293" s="30"/>
      <c r="K293" s="42"/>
      <c r="L293" s="230"/>
      <c r="M293" s="54"/>
      <c r="T293" s="229"/>
    </row>
    <row r="294">
      <c r="A294" s="20"/>
      <c r="B294" s="20"/>
      <c r="C294" s="21"/>
      <c r="D294" s="22"/>
      <c r="E294" s="23"/>
      <c r="F294" s="25"/>
      <c r="G294" s="26"/>
      <c r="H294" s="29"/>
      <c r="I294" s="29"/>
      <c r="J294" s="30"/>
      <c r="K294" s="42"/>
      <c r="L294" s="230"/>
      <c r="M294" s="54"/>
      <c r="N294" s="231"/>
      <c r="T294" s="229"/>
    </row>
    <row r="295">
      <c r="A295" s="20"/>
      <c r="B295" s="20"/>
      <c r="C295" s="21"/>
      <c r="D295" s="22"/>
      <c r="E295" s="23"/>
      <c r="F295" s="25"/>
      <c r="G295" s="26"/>
      <c r="H295" s="29"/>
      <c r="I295" s="29"/>
      <c r="J295" s="30"/>
      <c r="K295" s="42"/>
      <c r="L295" s="230"/>
      <c r="M295" s="54"/>
      <c r="T295" s="229"/>
    </row>
    <row r="296">
      <c r="A296" s="20"/>
      <c r="B296" s="20"/>
      <c r="C296" s="21"/>
      <c r="D296" s="22"/>
      <c r="E296" s="23"/>
      <c r="F296" s="25"/>
      <c r="G296" s="26"/>
      <c r="H296" s="29"/>
      <c r="I296" s="29"/>
      <c r="J296" s="30"/>
      <c r="K296" s="42"/>
      <c r="L296" s="230"/>
      <c r="M296" s="54"/>
      <c r="T296" s="229"/>
    </row>
    <row r="297">
      <c r="A297" s="20"/>
      <c r="B297" s="20"/>
      <c r="C297" s="21"/>
      <c r="D297" s="22"/>
      <c r="E297" s="23"/>
      <c r="F297" s="25"/>
      <c r="G297" s="26"/>
      <c r="H297" s="29"/>
      <c r="I297" s="29"/>
      <c r="J297" s="30"/>
      <c r="K297" s="42"/>
      <c r="L297" s="230"/>
      <c r="M297" s="54"/>
      <c r="T297" s="229"/>
    </row>
    <row r="298">
      <c r="A298" s="20"/>
      <c r="B298" s="20"/>
      <c r="C298" s="21"/>
      <c r="D298" s="22"/>
      <c r="E298" s="23"/>
      <c r="F298" s="25"/>
      <c r="G298" s="26"/>
      <c r="H298" s="29"/>
      <c r="I298" s="29"/>
      <c r="J298" s="30"/>
      <c r="K298" s="42"/>
      <c r="L298" s="230"/>
      <c r="M298" s="54"/>
      <c r="T298" s="229"/>
    </row>
    <row r="299">
      <c r="A299" s="20"/>
      <c r="B299" s="20"/>
      <c r="C299" s="21"/>
      <c r="D299" s="22"/>
      <c r="E299" s="23"/>
      <c r="F299" s="25"/>
      <c r="G299" s="26"/>
      <c r="H299" s="29"/>
      <c r="I299" s="29"/>
      <c r="J299" s="30"/>
      <c r="K299" s="42"/>
      <c r="L299" s="230"/>
      <c r="M299" s="54"/>
      <c r="T299" s="229"/>
    </row>
    <row r="300">
      <c r="A300" s="122"/>
      <c r="B300" s="122"/>
      <c r="C300" s="242"/>
      <c r="D300" s="253"/>
      <c r="E300" s="236"/>
      <c r="F300" s="123"/>
      <c r="G300" s="135"/>
      <c r="H300" s="122"/>
      <c r="I300" s="122"/>
      <c r="J300" s="242"/>
      <c r="K300" s="254"/>
      <c r="L300" s="255"/>
      <c r="M300" s="73"/>
      <c r="T300" s="229"/>
    </row>
    <row r="301">
      <c r="A301" s="20"/>
      <c r="B301" s="20"/>
      <c r="C301" s="21"/>
      <c r="D301" s="22"/>
      <c r="E301" s="23"/>
      <c r="F301" s="25"/>
      <c r="G301" s="26"/>
      <c r="H301" s="29"/>
      <c r="I301" s="29"/>
      <c r="J301" s="30"/>
      <c r="K301" s="42"/>
      <c r="L301" s="230"/>
      <c r="M301" s="54"/>
      <c r="T301" s="229"/>
    </row>
    <row r="302">
      <c r="A302" s="20"/>
      <c r="B302" s="20"/>
      <c r="C302" s="21"/>
      <c r="D302" s="22"/>
      <c r="E302" s="23"/>
      <c r="F302" s="25"/>
      <c r="G302" s="26"/>
      <c r="H302" s="29"/>
      <c r="I302" s="29"/>
      <c r="J302" s="30"/>
      <c r="K302" s="42"/>
      <c r="L302" s="30"/>
      <c r="M302" s="79"/>
      <c r="T302" s="229"/>
    </row>
    <row r="303">
      <c r="A303" s="87"/>
      <c r="B303" s="87"/>
      <c r="C303" s="75"/>
      <c r="D303" s="149"/>
      <c r="E303" s="23"/>
      <c r="F303" s="155"/>
      <c r="G303" s="26"/>
      <c r="H303" s="62"/>
      <c r="I303" s="62"/>
      <c r="J303" s="81"/>
      <c r="K303" s="64"/>
      <c r="L303" s="256"/>
      <c r="M303" s="54"/>
      <c r="N303" s="238"/>
      <c r="T303" s="229"/>
    </row>
    <row r="304">
      <c r="A304" s="20"/>
      <c r="B304" s="20"/>
      <c r="C304" s="21"/>
      <c r="D304" s="22"/>
      <c r="E304" s="23"/>
      <c r="F304" s="25"/>
      <c r="G304" s="26"/>
      <c r="H304" s="29"/>
      <c r="I304" s="29"/>
      <c r="J304" s="30"/>
      <c r="K304" s="42"/>
      <c r="L304" s="239"/>
      <c r="M304" s="54"/>
      <c r="N304" s="240"/>
      <c r="T304" s="229"/>
    </row>
    <row r="305">
      <c r="A305" s="20"/>
      <c r="B305" s="20"/>
      <c r="C305" s="21"/>
      <c r="D305" s="22"/>
      <c r="E305" s="23"/>
      <c r="F305" s="25"/>
      <c r="G305" s="26"/>
      <c r="H305" s="29"/>
      <c r="I305" s="29"/>
      <c r="J305" s="30"/>
      <c r="K305" s="42"/>
      <c r="L305" s="239"/>
      <c r="M305" s="54"/>
      <c r="T305" s="229"/>
    </row>
    <row r="306">
      <c r="A306" s="20"/>
      <c r="B306" s="20"/>
      <c r="C306" s="21"/>
      <c r="D306" s="22"/>
      <c r="E306" s="23"/>
      <c r="F306" s="25"/>
      <c r="G306" s="26"/>
      <c r="H306" s="29"/>
      <c r="I306" s="29"/>
      <c r="J306" s="30"/>
      <c r="K306" s="42"/>
      <c r="L306" s="230"/>
      <c r="M306" s="54"/>
      <c r="T306" s="229"/>
    </row>
    <row r="307">
      <c r="A307" s="20"/>
      <c r="B307" s="20"/>
      <c r="C307" s="21"/>
      <c r="D307" s="22"/>
      <c r="E307" s="23"/>
      <c r="F307" s="25"/>
      <c r="G307" s="26"/>
      <c r="H307" s="29"/>
      <c r="I307" s="29"/>
      <c r="J307" s="30"/>
      <c r="K307" s="42"/>
      <c r="L307" s="230"/>
      <c r="M307" s="54"/>
      <c r="T307" s="229"/>
    </row>
    <row r="308">
      <c r="A308" s="20"/>
      <c r="B308" s="20"/>
      <c r="C308" s="21"/>
      <c r="D308" s="22"/>
      <c r="E308" s="23"/>
      <c r="F308" s="25"/>
      <c r="G308" s="26"/>
      <c r="H308" s="29"/>
      <c r="I308" s="29"/>
      <c r="J308" s="30"/>
      <c r="K308" s="42"/>
      <c r="L308" s="230"/>
      <c r="M308" s="54"/>
      <c r="T308" s="229"/>
    </row>
    <row r="309">
      <c r="A309" s="20"/>
      <c r="B309" s="20"/>
      <c r="C309" s="21"/>
      <c r="D309" s="22"/>
      <c r="E309" s="23"/>
      <c r="F309" s="25"/>
      <c r="G309" s="26"/>
      <c r="H309" s="29"/>
      <c r="I309" s="29"/>
      <c r="J309" s="30"/>
      <c r="K309" s="42"/>
      <c r="L309" s="230"/>
      <c r="M309" s="54"/>
      <c r="T309" s="229"/>
    </row>
    <row r="310">
      <c r="A310" s="20"/>
      <c r="B310" s="20"/>
      <c r="C310" s="21"/>
      <c r="D310" s="22"/>
      <c r="E310" s="23"/>
      <c r="F310" s="25"/>
      <c r="G310" s="26"/>
      <c r="H310" s="29"/>
      <c r="I310" s="29"/>
      <c r="J310" s="30"/>
      <c r="K310" s="42"/>
      <c r="L310" s="230"/>
      <c r="M310" s="54"/>
      <c r="T310" s="229"/>
    </row>
    <row r="311">
      <c r="A311" s="20"/>
      <c r="B311" s="20"/>
      <c r="C311" s="21"/>
      <c r="D311" s="22"/>
      <c r="E311" s="23"/>
      <c r="F311" s="25"/>
      <c r="G311" s="26"/>
      <c r="H311" s="29"/>
      <c r="I311" s="29"/>
      <c r="J311" s="30"/>
      <c r="K311" s="42"/>
      <c r="L311" s="230"/>
      <c r="M311" s="54"/>
      <c r="T311" s="229"/>
    </row>
    <row r="312">
      <c r="A312" s="20"/>
      <c r="B312" s="20"/>
      <c r="C312" s="21"/>
      <c r="D312" s="22"/>
      <c r="E312" s="23"/>
      <c r="F312" s="25"/>
      <c r="G312" s="26"/>
      <c r="H312" s="29"/>
      <c r="I312" s="29"/>
      <c r="J312" s="30"/>
      <c r="K312" s="42"/>
      <c r="L312" s="230"/>
      <c r="M312" s="54"/>
      <c r="T312" s="229"/>
    </row>
    <row r="313">
      <c r="A313" s="84"/>
      <c r="B313" s="84"/>
      <c r="C313" s="21"/>
      <c r="D313" s="22"/>
      <c r="E313" s="23"/>
      <c r="F313" s="25"/>
      <c r="G313" s="26"/>
      <c r="H313" s="28"/>
      <c r="I313" s="29"/>
      <c r="J313" s="30"/>
      <c r="K313" s="31"/>
      <c r="L313" s="121"/>
      <c r="M313" s="32"/>
      <c r="T313" s="229"/>
    </row>
    <row r="314">
      <c r="A314" s="84"/>
      <c r="B314" s="84"/>
      <c r="C314" s="21"/>
      <c r="D314" s="22"/>
      <c r="E314" s="23"/>
      <c r="F314" s="25"/>
      <c r="G314" s="26"/>
      <c r="H314" s="28"/>
      <c r="I314" s="29"/>
      <c r="J314" s="30"/>
      <c r="K314" s="31"/>
      <c r="L314" s="121"/>
      <c r="M314" s="32"/>
      <c r="T314" s="229"/>
    </row>
    <row r="315">
      <c r="A315" s="84"/>
      <c r="B315" s="84"/>
      <c r="C315" s="21"/>
      <c r="D315" s="22"/>
      <c r="E315" s="23"/>
      <c r="F315" s="25"/>
      <c r="G315" s="26"/>
      <c r="H315" s="257"/>
      <c r="I315" s="62"/>
      <c r="J315" s="62"/>
      <c r="K315" s="258"/>
      <c r="L315" s="92"/>
      <c r="M315" s="259"/>
      <c r="T315" s="229"/>
    </row>
    <row r="316">
      <c r="A316" s="84"/>
      <c r="B316" s="84"/>
      <c r="C316" s="21"/>
      <c r="D316" s="22"/>
      <c r="E316" s="23"/>
      <c r="F316" s="25"/>
      <c r="G316" s="26"/>
      <c r="H316" s="28"/>
      <c r="I316" s="29"/>
      <c r="J316" s="30"/>
      <c r="K316" s="31"/>
      <c r="L316" s="91"/>
      <c r="M316" s="32"/>
      <c r="N316" s="232"/>
      <c r="T316" s="229"/>
    </row>
    <row r="317">
      <c r="A317" s="84"/>
      <c r="B317" s="84"/>
      <c r="C317" s="21"/>
      <c r="D317" s="22"/>
      <c r="E317" s="23"/>
      <c r="F317" s="25"/>
      <c r="G317" s="26"/>
      <c r="H317" s="28"/>
      <c r="I317" s="29"/>
      <c r="J317" s="30"/>
      <c r="K317" s="31"/>
      <c r="L317" s="32"/>
      <c r="M317" s="32"/>
      <c r="N317" s="232"/>
      <c r="T317" s="229"/>
    </row>
    <row r="318">
      <c r="A318" s="84"/>
      <c r="B318" s="84"/>
      <c r="C318" s="21"/>
      <c r="D318" s="22"/>
      <c r="E318" s="23"/>
      <c r="F318" s="25"/>
      <c r="G318" s="26"/>
      <c r="H318" s="28"/>
      <c r="I318" s="29"/>
      <c r="J318" s="30"/>
      <c r="K318" s="31"/>
      <c r="L318" s="57"/>
      <c r="M318" s="32"/>
      <c r="N318" s="232"/>
      <c r="T318" s="229"/>
    </row>
    <row r="319">
      <c r="A319" s="84"/>
      <c r="B319" s="84"/>
      <c r="C319" s="21"/>
      <c r="D319" s="22"/>
      <c r="E319" s="23"/>
      <c r="F319" s="25"/>
      <c r="G319" s="26"/>
      <c r="H319" s="28"/>
      <c r="I319" s="29"/>
      <c r="J319" s="30"/>
      <c r="K319" s="31"/>
      <c r="L319" s="32"/>
      <c r="M319" s="32"/>
      <c r="N319" s="232"/>
      <c r="T319" s="229"/>
    </row>
    <row r="320">
      <c r="A320" s="84"/>
      <c r="B320" s="84"/>
      <c r="C320" s="21"/>
      <c r="D320" s="22"/>
      <c r="E320" s="23"/>
      <c r="F320" s="25"/>
      <c r="G320" s="26"/>
      <c r="H320" s="28"/>
      <c r="I320" s="29"/>
      <c r="J320" s="30"/>
      <c r="K320" s="31"/>
      <c r="L320" s="32"/>
      <c r="M320" s="32"/>
      <c r="N320" s="232"/>
      <c r="T320" s="229"/>
    </row>
    <row r="321">
      <c r="A321" s="84"/>
      <c r="B321" s="84"/>
      <c r="C321" s="21"/>
      <c r="D321" s="22"/>
      <c r="E321" s="23"/>
      <c r="F321" s="25"/>
      <c r="G321" s="26"/>
      <c r="H321" s="28"/>
      <c r="I321" s="29"/>
      <c r="J321" s="30"/>
      <c r="K321" s="31"/>
      <c r="L321" s="260"/>
      <c r="M321" s="32"/>
      <c r="N321" s="232"/>
      <c r="T321" s="229"/>
    </row>
    <row r="322">
      <c r="A322" s="84"/>
      <c r="B322" s="84"/>
      <c r="C322" s="21"/>
      <c r="D322" s="22"/>
      <c r="E322" s="23"/>
      <c r="F322" s="25"/>
      <c r="G322" s="26"/>
      <c r="H322" s="28"/>
      <c r="I322" s="29"/>
      <c r="J322" s="30"/>
      <c r="K322" s="31"/>
      <c r="L322" s="260"/>
      <c r="M322" s="32"/>
      <c r="N322" s="232"/>
      <c r="T322" s="229"/>
    </row>
    <row r="323">
      <c r="A323" s="84"/>
      <c r="B323" s="84"/>
      <c r="C323" s="21"/>
      <c r="D323" s="22"/>
      <c r="E323" s="23"/>
      <c r="F323" s="25"/>
      <c r="G323" s="26"/>
      <c r="H323" s="28"/>
      <c r="I323" s="29"/>
      <c r="J323" s="30"/>
      <c r="K323" s="31"/>
      <c r="L323" s="260"/>
      <c r="M323" s="32"/>
      <c r="N323" s="232"/>
      <c r="T323" s="229"/>
    </row>
    <row r="324">
      <c r="A324" s="84"/>
      <c r="B324" s="84"/>
      <c r="C324" s="21"/>
      <c r="D324" s="22"/>
      <c r="E324" s="23"/>
      <c r="F324" s="25"/>
      <c r="G324" s="26"/>
      <c r="H324" s="28"/>
      <c r="I324" s="29"/>
      <c r="J324" s="30"/>
      <c r="K324" s="31"/>
      <c r="L324" s="102"/>
      <c r="M324" s="32"/>
      <c r="N324" s="232"/>
      <c r="T324" s="229"/>
    </row>
    <row r="325">
      <c r="A325" s="84"/>
      <c r="B325" s="84"/>
      <c r="C325" s="21"/>
      <c r="D325" s="22"/>
      <c r="E325" s="23"/>
      <c r="F325" s="25"/>
      <c r="G325" s="26"/>
      <c r="H325" s="28"/>
      <c r="I325" s="29"/>
      <c r="J325" s="30"/>
      <c r="K325" s="31"/>
      <c r="L325" s="28"/>
      <c r="M325" s="57"/>
      <c r="N325" s="232"/>
      <c r="T325" s="229"/>
    </row>
    <row r="326">
      <c r="A326" s="84"/>
      <c r="B326" s="84"/>
      <c r="C326" s="21"/>
      <c r="D326" s="22"/>
      <c r="E326" s="23"/>
      <c r="F326" s="25"/>
      <c r="G326" s="26"/>
      <c r="H326" s="29"/>
      <c r="I326" s="29"/>
      <c r="J326" s="30"/>
      <c r="K326" s="42"/>
      <c r="L326" s="28"/>
      <c r="M326" s="54"/>
      <c r="T326" s="229"/>
    </row>
    <row r="327">
      <c r="A327" s="20"/>
      <c r="B327" s="20"/>
      <c r="C327" s="21"/>
      <c r="D327" s="22"/>
      <c r="E327" s="23"/>
      <c r="F327" s="25"/>
      <c r="G327" s="26"/>
      <c r="H327" s="28"/>
      <c r="I327" s="29"/>
      <c r="J327" s="30"/>
      <c r="K327" s="31"/>
      <c r="L327" s="261"/>
      <c r="M327" s="32"/>
      <c r="N327" s="232"/>
      <c r="T327" s="229"/>
    </row>
    <row r="328">
      <c r="A328" s="20"/>
      <c r="B328" s="20"/>
      <c r="C328" s="21"/>
      <c r="D328" s="22"/>
      <c r="E328" s="23"/>
      <c r="F328" s="25"/>
      <c r="G328" s="26"/>
      <c r="H328" s="28"/>
      <c r="I328" s="29"/>
      <c r="J328" s="30"/>
      <c r="K328" s="31"/>
      <c r="L328" s="28"/>
      <c r="M328" s="32"/>
      <c r="N328" s="232"/>
      <c r="T328" s="229"/>
    </row>
    <row r="329">
      <c r="A329" s="20"/>
      <c r="B329" s="20"/>
      <c r="C329" s="21"/>
      <c r="D329" s="22"/>
      <c r="E329" s="23"/>
      <c r="F329" s="25"/>
      <c r="G329" s="26"/>
      <c r="H329" s="262"/>
      <c r="I329" s="62"/>
      <c r="J329" s="81"/>
      <c r="K329" s="263"/>
      <c r="L329" s="230"/>
      <c r="M329" s="264"/>
      <c r="N329" s="232"/>
      <c r="T329" s="229"/>
    </row>
    <row r="330">
      <c r="A330" s="20"/>
      <c r="B330" s="20"/>
      <c r="C330" s="21"/>
      <c r="D330" s="22"/>
      <c r="E330" s="23"/>
      <c r="F330" s="25"/>
      <c r="G330" s="26"/>
      <c r="H330" s="28"/>
      <c r="I330" s="29"/>
      <c r="J330" s="30"/>
      <c r="K330" s="31"/>
      <c r="L330" s="230"/>
      <c r="M330" s="32"/>
      <c r="N330" s="232"/>
      <c r="T330" s="229"/>
    </row>
    <row r="331">
      <c r="A331" s="20"/>
      <c r="B331" s="20"/>
      <c r="C331" s="21"/>
      <c r="D331" s="22"/>
      <c r="E331" s="23"/>
      <c r="F331" s="25"/>
      <c r="G331" s="26"/>
      <c r="H331" s="28"/>
      <c r="I331" s="29"/>
      <c r="J331" s="30"/>
      <c r="K331" s="31"/>
      <c r="L331" s="239"/>
      <c r="M331" s="32"/>
      <c r="N331" s="232"/>
      <c r="T331" s="229"/>
    </row>
    <row r="332">
      <c r="A332" s="20"/>
      <c r="B332" s="20"/>
      <c r="C332" s="21"/>
      <c r="D332" s="22"/>
      <c r="E332" s="23"/>
      <c r="F332" s="25"/>
      <c r="G332" s="26"/>
      <c r="H332" s="28"/>
      <c r="I332" s="29"/>
      <c r="J332" s="30"/>
      <c r="K332" s="31"/>
      <c r="L332" s="230"/>
      <c r="M332" s="32"/>
      <c r="N332" s="232"/>
      <c r="T332" s="229"/>
    </row>
    <row r="333">
      <c r="A333" s="20"/>
      <c r="B333" s="20"/>
      <c r="C333" s="21"/>
      <c r="D333" s="22"/>
      <c r="E333" s="23"/>
      <c r="F333" s="25"/>
      <c r="G333" s="26"/>
      <c r="H333" s="28"/>
      <c r="I333" s="29"/>
      <c r="J333" s="30"/>
      <c r="K333" s="31"/>
      <c r="L333" s="230"/>
      <c r="M333" s="32"/>
      <c r="N333" s="232"/>
      <c r="T333" s="229"/>
    </row>
    <row r="334">
      <c r="A334" s="20"/>
      <c r="B334" s="20"/>
      <c r="C334" s="21"/>
      <c r="D334" s="22"/>
      <c r="E334" s="23"/>
      <c r="F334" s="25"/>
      <c r="G334" s="26"/>
      <c r="H334" s="28"/>
      <c r="I334" s="29"/>
      <c r="J334" s="30"/>
      <c r="K334" s="31"/>
      <c r="L334" s="230"/>
      <c r="M334" s="32"/>
      <c r="N334" s="232"/>
      <c r="T334" s="229"/>
    </row>
    <row r="335">
      <c r="A335" s="20"/>
      <c r="B335" s="20"/>
      <c r="C335" s="21"/>
      <c r="D335" s="22"/>
      <c r="E335" s="23"/>
      <c r="F335" s="25"/>
      <c r="G335" s="26"/>
      <c r="H335" s="28"/>
      <c r="I335" s="29"/>
      <c r="J335" s="30"/>
      <c r="K335" s="31"/>
      <c r="L335" s="230"/>
      <c r="M335" s="32"/>
      <c r="N335" s="232"/>
      <c r="T335" s="229"/>
    </row>
    <row r="336">
      <c r="A336" s="20"/>
      <c r="B336" s="20"/>
      <c r="C336" s="21"/>
      <c r="D336" s="22"/>
      <c r="E336" s="23"/>
      <c r="F336" s="25"/>
      <c r="G336" s="26"/>
      <c r="H336" s="28"/>
      <c r="I336" s="29"/>
      <c r="J336" s="30"/>
      <c r="K336" s="31"/>
      <c r="L336" s="230"/>
      <c r="M336" s="32"/>
      <c r="N336" s="232"/>
      <c r="T336" s="229"/>
    </row>
    <row r="337">
      <c r="A337" s="20"/>
      <c r="B337" s="20"/>
      <c r="C337" s="21"/>
      <c r="D337" s="22"/>
      <c r="E337" s="23"/>
      <c r="F337" s="25"/>
      <c r="G337" s="26"/>
      <c r="H337" s="28"/>
      <c r="I337" s="29"/>
      <c r="J337" s="30"/>
      <c r="K337" s="31"/>
      <c r="L337" s="230"/>
      <c r="M337" s="32"/>
      <c r="N337" s="232"/>
      <c r="T337" s="229"/>
    </row>
    <row r="338">
      <c r="A338" s="20"/>
      <c r="B338" s="20"/>
      <c r="C338" s="21"/>
      <c r="D338" s="22"/>
      <c r="E338" s="23"/>
      <c r="F338" s="25"/>
      <c r="G338" s="26"/>
      <c r="H338" s="28"/>
      <c r="I338" s="29"/>
      <c r="J338" s="30"/>
      <c r="K338" s="31"/>
      <c r="L338" s="230"/>
      <c r="M338" s="32"/>
      <c r="N338" s="232"/>
      <c r="T338" s="229"/>
    </row>
    <row r="339">
      <c r="A339" s="20"/>
      <c r="B339" s="20"/>
      <c r="C339" s="21"/>
      <c r="D339" s="22"/>
      <c r="E339" s="23"/>
      <c r="F339" s="25"/>
      <c r="G339" s="26"/>
      <c r="H339" s="28"/>
      <c r="I339" s="29"/>
      <c r="J339" s="30"/>
      <c r="K339" s="31"/>
      <c r="L339" s="230"/>
      <c r="M339" s="32"/>
      <c r="N339" s="232"/>
      <c r="T339" s="229"/>
    </row>
    <row r="340">
      <c r="A340" s="20"/>
      <c r="B340" s="20"/>
      <c r="C340" s="21"/>
      <c r="D340" s="22"/>
      <c r="E340" s="242"/>
      <c r="F340" s="25"/>
      <c r="G340" s="26"/>
      <c r="H340" s="28"/>
      <c r="I340" s="29"/>
      <c r="J340" s="30"/>
      <c r="K340" s="31"/>
      <c r="L340" s="230"/>
      <c r="M340" s="32"/>
      <c r="N340" s="232"/>
      <c r="T340" s="229"/>
    </row>
    <row r="341">
      <c r="A341" s="20"/>
      <c r="B341" s="20"/>
      <c r="C341" s="21"/>
      <c r="D341" s="22"/>
      <c r="E341" s="23"/>
      <c r="F341" s="25"/>
      <c r="G341" s="26"/>
      <c r="H341" s="28"/>
      <c r="I341" s="29"/>
      <c r="J341" s="30"/>
      <c r="K341" s="31"/>
      <c r="L341" s="230"/>
      <c r="M341" s="32"/>
      <c r="N341" s="232"/>
      <c r="T341" s="229"/>
    </row>
    <row r="342">
      <c r="A342" s="20"/>
      <c r="B342" s="20"/>
      <c r="C342" s="21"/>
      <c r="D342" s="22"/>
      <c r="E342" s="23"/>
      <c r="F342" s="25"/>
      <c r="G342" s="26"/>
      <c r="H342" s="28"/>
      <c r="I342" s="29"/>
      <c r="J342" s="30"/>
      <c r="K342" s="31"/>
      <c r="L342" s="230"/>
      <c r="M342" s="32"/>
      <c r="N342" s="232"/>
      <c r="T342" s="229"/>
    </row>
    <row r="343">
      <c r="A343" s="20"/>
      <c r="B343" s="20"/>
      <c r="C343" s="21"/>
      <c r="D343" s="22"/>
      <c r="E343" s="23"/>
      <c r="F343" s="25"/>
      <c r="G343" s="26"/>
      <c r="H343" s="28"/>
      <c r="I343" s="29"/>
      <c r="J343" s="30"/>
      <c r="K343" s="31"/>
      <c r="L343" s="265"/>
      <c r="M343" s="32"/>
      <c r="N343" s="232"/>
      <c r="T343" s="229"/>
    </row>
    <row r="344">
      <c r="A344" s="20"/>
      <c r="B344" s="20"/>
      <c r="C344" s="21"/>
      <c r="D344" s="22"/>
      <c r="E344" s="23"/>
      <c r="F344" s="25"/>
      <c r="G344" s="26"/>
      <c r="H344" s="28"/>
      <c r="I344" s="29"/>
      <c r="J344" s="30"/>
      <c r="K344" s="31"/>
      <c r="L344" s="246"/>
      <c r="M344" s="32"/>
      <c r="N344" s="232"/>
      <c r="T344" s="229"/>
    </row>
    <row r="345">
      <c r="A345" s="20"/>
      <c r="B345" s="20"/>
      <c r="C345" s="21"/>
      <c r="D345" s="22"/>
      <c r="E345" s="23"/>
      <c r="F345" s="25"/>
      <c r="G345" s="26"/>
      <c r="H345" s="28"/>
      <c r="I345" s="29"/>
      <c r="J345" s="30"/>
      <c r="K345" s="31"/>
      <c r="L345" s="28"/>
      <c r="M345" s="32"/>
      <c r="N345" s="232"/>
      <c r="T345" s="229"/>
    </row>
    <row r="346">
      <c r="A346" s="20"/>
      <c r="B346" s="20"/>
      <c r="C346" s="21"/>
      <c r="D346" s="22"/>
      <c r="E346" s="23"/>
      <c r="F346" s="25"/>
      <c r="G346" s="26"/>
      <c r="H346" s="28"/>
      <c r="I346" s="29"/>
      <c r="J346" s="30"/>
      <c r="K346" s="31"/>
      <c r="L346" s="28"/>
      <c r="M346" s="32"/>
      <c r="N346" s="232"/>
      <c r="T346" s="229"/>
    </row>
    <row r="347">
      <c r="A347" s="20"/>
      <c r="B347" s="20"/>
      <c r="C347" s="21"/>
      <c r="D347" s="22"/>
      <c r="E347" s="23"/>
      <c r="F347" s="25"/>
      <c r="G347" s="26"/>
      <c r="H347" s="28"/>
      <c r="I347" s="29"/>
      <c r="J347" s="30"/>
      <c r="K347" s="31"/>
      <c r="L347" s="262"/>
      <c r="M347" s="32"/>
      <c r="N347" s="232"/>
      <c r="T347" s="229"/>
    </row>
    <row r="348">
      <c r="A348" s="20"/>
      <c r="B348" s="20"/>
      <c r="C348" s="21"/>
      <c r="D348" s="22"/>
      <c r="E348" s="23"/>
      <c r="F348" s="25"/>
      <c r="G348" s="26"/>
      <c r="H348" s="28"/>
      <c r="I348" s="29"/>
      <c r="J348" s="30"/>
      <c r="K348" s="31"/>
      <c r="L348" s="28"/>
      <c r="M348" s="32"/>
      <c r="N348" s="232"/>
      <c r="T348" s="229"/>
    </row>
    <row r="349">
      <c r="A349" s="20"/>
      <c r="B349" s="20"/>
      <c r="C349" s="21"/>
      <c r="D349" s="22"/>
      <c r="E349" s="23"/>
      <c r="F349" s="25"/>
      <c r="G349" s="26"/>
      <c r="H349" s="28"/>
      <c r="I349" s="29"/>
      <c r="J349" s="30"/>
      <c r="K349" s="31"/>
      <c r="L349" s="28"/>
      <c r="M349" s="32"/>
      <c r="N349" s="232"/>
      <c r="T349" s="229"/>
    </row>
    <row r="350">
      <c r="A350" s="20"/>
      <c r="B350" s="20"/>
      <c r="C350" s="21"/>
      <c r="D350" s="22"/>
      <c r="E350" s="23"/>
      <c r="F350" s="25"/>
      <c r="G350" s="26"/>
      <c r="H350" s="28"/>
      <c r="I350" s="29"/>
      <c r="J350" s="30"/>
      <c r="K350" s="31"/>
      <c r="L350" s="28"/>
      <c r="M350" s="32"/>
      <c r="N350" s="232"/>
      <c r="T350" s="229"/>
    </row>
    <row r="351">
      <c r="A351" s="20"/>
      <c r="B351" s="20"/>
      <c r="C351" s="21"/>
      <c r="D351" s="22"/>
      <c r="E351" s="23"/>
      <c r="F351" s="25"/>
      <c r="G351" s="26"/>
      <c r="H351" s="28"/>
      <c r="I351" s="29"/>
      <c r="J351" s="30"/>
      <c r="K351" s="31"/>
      <c r="L351" s="28"/>
      <c r="M351" s="32"/>
      <c r="N351" s="232"/>
      <c r="T351" s="229"/>
    </row>
    <row r="352">
      <c r="A352" s="20"/>
      <c r="B352" s="20"/>
      <c r="C352" s="21"/>
      <c r="D352" s="22"/>
      <c r="E352" s="23"/>
      <c r="F352" s="25"/>
      <c r="G352" s="26"/>
      <c r="H352" s="28"/>
      <c r="I352" s="29"/>
      <c r="J352" s="30"/>
      <c r="K352" s="31"/>
      <c r="L352" s="57"/>
      <c r="M352" s="32"/>
      <c r="N352" s="232"/>
      <c r="T352" s="229"/>
    </row>
    <row r="353">
      <c r="A353" s="20"/>
      <c r="B353" s="20"/>
      <c r="C353" s="21"/>
      <c r="D353" s="22"/>
      <c r="E353" s="23"/>
      <c r="F353" s="25"/>
      <c r="G353" s="26"/>
      <c r="H353" s="28"/>
      <c r="I353" s="29"/>
      <c r="J353" s="30"/>
      <c r="K353" s="31"/>
      <c r="L353" s="28"/>
      <c r="M353" s="32"/>
      <c r="N353" s="232"/>
      <c r="P353" s="244"/>
      <c r="T353" s="245"/>
    </row>
    <row r="354">
      <c r="A354" s="20"/>
      <c r="B354" s="20"/>
      <c r="C354" s="21"/>
      <c r="D354" s="22"/>
      <c r="E354" s="23"/>
      <c r="F354" s="25"/>
      <c r="G354" s="26"/>
      <c r="H354" s="28"/>
      <c r="I354" s="29"/>
      <c r="J354" s="30"/>
      <c r="K354" s="31"/>
      <c r="L354" s="28"/>
      <c r="M354" s="32"/>
      <c r="N354" s="232"/>
      <c r="T354" s="229"/>
    </row>
    <row r="355">
      <c r="A355" s="20"/>
      <c r="B355" s="20"/>
      <c r="C355" s="21"/>
      <c r="D355" s="22"/>
      <c r="E355" s="23"/>
      <c r="F355" s="25"/>
      <c r="G355" s="26"/>
      <c r="H355" s="28"/>
      <c r="I355" s="29"/>
      <c r="J355" s="30"/>
      <c r="K355" s="31"/>
      <c r="L355" s="28"/>
      <c r="M355" s="32"/>
      <c r="N355" s="232"/>
      <c r="T355" s="229"/>
    </row>
    <row r="356">
      <c r="A356" s="20"/>
      <c r="B356" s="20"/>
      <c r="C356" s="21"/>
      <c r="D356" s="22"/>
      <c r="E356" s="23"/>
      <c r="F356" s="25"/>
      <c r="G356" s="26"/>
      <c r="H356" s="28"/>
      <c r="I356" s="29"/>
      <c r="J356" s="30"/>
      <c r="K356" s="31"/>
      <c r="L356" s="28"/>
      <c r="M356" s="32"/>
      <c r="N356" s="232"/>
      <c r="T356" s="229"/>
    </row>
    <row r="357">
      <c r="A357" s="20"/>
      <c r="B357" s="20"/>
      <c r="C357" s="21"/>
      <c r="D357" s="22"/>
      <c r="E357" s="23"/>
      <c r="F357" s="25"/>
      <c r="G357" s="26"/>
      <c r="H357" s="28"/>
      <c r="I357" s="29"/>
      <c r="J357" s="30"/>
      <c r="K357" s="31"/>
      <c r="L357" s="28"/>
      <c r="M357" s="32"/>
      <c r="N357" s="232"/>
      <c r="T357" s="229"/>
    </row>
    <row r="358">
      <c r="A358" s="20"/>
      <c r="B358" s="20"/>
      <c r="C358" s="21"/>
      <c r="D358" s="22"/>
      <c r="E358" s="23"/>
      <c r="F358" s="25"/>
      <c r="G358" s="26"/>
      <c r="H358" s="28"/>
      <c r="I358" s="29"/>
      <c r="J358" s="30"/>
      <c r="K358" s="31"/>
      <c r="L358" s="28"/>
      <c r="M358" s="32"/>
      <c r="N358" s="232"/>
      <c r="T358" s="229"/>
    </row>
    <row r="359">
      <c r="A359" s="20"/>
      <c r="B359" s="20"/>
      <c r="C359" s="21"/>
      <c r="D359" s="22"/>
      <c r="E359" s="23"/>
      <c r="F359" s="25"/>
      <c r="G359" s="26"/>
      <c r="H359" s="28"/>
      <c r="I359" s="29"/>
      <c r="J359" s="30"/>
      <c r="K359" s="31"/>
      <c r="L359" s="28"/>
      <c r="M359" s="32"/>
      <c r="N359" s="232"/>
      <c r="T359" s="229"/>
    </row>
    <row r="360">
      <c r="A360" s="20"/>
      <c r="B360" s="20"/>
      <c r="C360" s="21"/>
      <c r="D360" s="22"/>
      <c r="E360" s="23"/>
      <c r="F360" s="25"/>
      <c r="G360" s="26"/>
      <c r="H360" s="28"/>
      <c r="I360" s="29"/>
      <c r="J360" s="30"/>
      <c r="K360" s="31"/>
      <c r="L360" s="28"/>
      <c r="M360" s="32"/>
      <c r="N360" s="232"/>
      <c r="T360" s="229"/>
    </row>
    <row r="361">
      <c r="A361" s="20"/>
      <c r="B361" s="20"/>
      <c r="C361" s="21"/>
      <c r="D361" s="22"/>
      <c r="E361" s="23"/>
      <c r="F361" s="25"/>
      <c r="G361" s="26"/>
      <c r="H361" s="28"/>
      <c r="I361" s="29"/>
      <c r="J361" s="30"/>
      <c r="K361" s="31"/>
      <c r="L361" s="246"/>
      <c r="M361" s="32"/>
      <c r="N361" s="232"/>
      <c r="T361" s="229"/>
    </row>
    <row r="362">
      <c r="A362" s="84"/>
      <c r="B362" s="20"/>
      <c r="C362" s="21"/>
      <c r="D362" s="22"/>
      <c r="E362" s="23"/>
      <c r="F362" s="25"/>
      <c r="G362" s="26"/>
      <c r="H362" s="28"/>
      <c r="I362" s="29"/>
      <c r="J362" s="30"/>
      <c r="K362" s="42"/>
      <c r="L362" s="28"/>
      <c r="M362" s="32"/>
      <c r="N362" s="232"/>
      <c r="T362" s="229"/>
    </row>
    <row r="363">
      <c r="A363" s="20"/>
      <c r="B363" s="20"/>
      <c r="C363" s="21"/>
      <c r="D363" s="22"/>
      <c r="E363" s="23"/>
      <c r="F363" s="25"/>
      <c r="G363" s="26"/>
      <c r="H363" s="29"/>
      <c r="I363" s="29"/>
      <c r="J363" s="30"/>
      <c r="K363" s="42"/>
      <c r="L363" s="246"/>
      <c r="M363" s="54"/>
      <c r="T363" s="229"/>
    </row>
    <row r="364">
      <c r="A364" s="20"/>
      <c r="B364" s="20"/>
      <c r="C364" s="21"/>
      <c r="D364" s="22"/>
      <c r="E364" s="23"/>
      <c r="F364" s="146"/>
      <c r="G364" s="26"/>
      <c r="H364" s="29"/>
      <c r="I364" s="29"/>
      <c r="J364" s="30"/>
      <c r="K364" s="42"/>
      <c r="L364" s="246"/>
      <c r="M364" s="54"/>
      <c r="P364" s="244"/>
      <c r="T364" s="229"/>
    </row>
    <row r="365">
      <c r="A365" s="20"/>
      <c r="B365" s="20"/>
      <c r="C365" s="21"/>
      <c r="D365" s="22"/>
      <c r="E365" s="23"/>
      <c r="F365" s="25"/>
      <c r="G365" s="26"/>
      <c r="H365" s="29"/>
      <c r="I365" s="29"/>
      <c r="J365" s="30"/>
      <c r="K365" s="42"/>
      <c r="L365" s="246"/>
      <c r="M365" s="54"/>
      <c r="N365" s="232"/>
      <c r="T365" s="229"/>
    </row>
    <row r="366">
      <c r="A366" s="149"/>
      <c r="B366" s="149"/>
      <c r="C366" s="142"/>
      <c r="D366" s="22"/>
      <c r="E366" s="23"/>
      <c r="F366" s="25"/>
      <c r="G366" s="26"/>
      <c r="H366" s="133"/>
      <c r="I366" s="133"/>
      <c r="J366" s="266"/>
      <c r="K366" s="152"/>
      <c r="L366" s="267"/>
      <c r="M366" s="154"/>
      <c r="T366" s="229"/>
    </row>
    <row r="367">
      <c r="A367" s="87"/>
      <c r="B367" s="87"/>
      <c r="C367" s="75"/>
      <c r="D367" s="22"/>
      <c r="E367" s="23"/>
      <c r="F367" s="25"/>
      <c r="G367" s="26"/>
      <c r="H367" s="62"/>
      <c r="I367" s="62"/>
      <c r="J367" s="81"/>
      <c r="K367" s="64"/>
      <c r="L367" s="181"/>
      <c r="M367" s="66"/>
      <c r="T367" s="229"/>
    </row>
    <row r="368">
      <c r="A368" s="87"/>
      <c r="B368" s="87"/>
      <c r="C368" s="75"/>
      <c r="D368" s="22"/>
      <c r="E368" s="23"/>
      <c r="F368" s="25"/>
      <c r="G368" s="26"/>
      <c r="H368" s="62"/>
      <c r="I368" s="62"/>
      <c r="J368" s="81"/>
      <c r="K368" s="64"/>
      <c r="L368" s="246"/>
      <c r="M368" s="66"/>
      <c r="T368" s="229"/>
    </row>
    <row r="369">
      <c r="A369" s="87"/>
      <c r="B369" s="87"/>
      <c r="C369" s="75"/>
      <c r="D369" s="22"/>
      <c r="E369" s="23"/>
      <c r="F369" s="25"/>
      <c r="G369" s="26"/>
      <c r="H369" s="29"/>
      <c r="I369" s="62"/>
      <c r="J369" s="81"/>
      <c r="K369" s="64"/>
      <c r="L369" s="29"/>
      <c r="M369" s="66"/>
      <c r="T369" s="229"/>
    </row>
    <row r="370">
      <c r="A370" s="87"/>
      <c r="B370" s="87"/>
      <c r="C370" s="75"/>
      <c r="D370" s="22"/>
      <c r="E370" s="23"/>
      <c r="F370" s="25"/>
      <c r="G370" s="26"/>
      <c r="H370" s="62"/>
      <c r="I370" s="62"/>
      <c r="J370" s="81"/>
      <c r="K370" s="64"/>
      <c r="L370" s="181"/>
      <c r="M370" s="66"/>
      <c r="T370" s="229"/>
    </row>
    <row r="371">
      <c r="A371" s="87"/>
      <c r="B371" s="87"/>
      <c r="C371" s="75"/>
      <c r="D371" s="22"/>
      <c r="E371" s="23"/>
      <c r="F371" s="25"/>
      <c r="G371" s="26"/>
      <c r="H371" s="62"/>
      <c r="I371" s="62"/>
      <c r="J371" s="81"/>
      <c r="K371" s="64"/>
      <c r="L371" s="181"/>
      <c r="M371" s="66"/>
      <c r="T371" s="229"/>
    </row>
    <row r="372">
      <c r="A372" s="87"/>
      <c r="B372" s="87"/>
      <c r="C372" s="75"/>
      <c r="D372" s="22"/>
      <c r="E372" s="23"/>
      <c r="F372" s="25"/>
      <c r="G372" s="26"/>
      <c r="H372" s="62"/>
      <c r="I372" s="62"/>
      <c r="J372" s="81"/>
      <c r="K372" s="64"/>
      <c r="L372" s="181"/>
      <c r="M372" s="66"/>
      <c r="T372" s="229"/>
    </row>
    <row r="373">
      <c r="A373" s="87"/>
      <c r="B373" s="87"/>
      <c r="C373" s="75"/>
      <c r="D373" s="20"/>
      <c r="E373" s="23"/>
      <c r="F373" s="25"/>
      <c r="G373" s="26"/>
      <c r="H373" s="62"/>
      <c r="I373" s="62"/>
      <c r="J373" s="81"/>
      <c r="K373" s="64"/>
      <c r="L373" s="181"/>
      <c r="M373" s="66"/>
      <c r="N373" s="231"/>
      <c r="T373" s="229"/>
    </row>
    <row r="374">
      <c r="A374" s="87"/>
      <c r="B374" s="87"/>
      <c r="C374" s="75"/>
      <c r="D374" s="22"/>
      <c r="E374" s="23"/>
      <c r="F374" s="25"/>
      <c r="G374" s="26"/>
      <c r="H374" s="62"/>
      <c r="I374" s="62"/>
      <c r="J374" s="81"/>
      <c r="K374" s="64"/>
      <c r="L374" s="181"/>
      <c r="M374" s="66"/>
      <c r="N374" s="231"/>
      <c r="T374" s="229"/>
    </row>
    <row r="375">
      <c r="A375" s="87"/>
      <c r="B375" s="87"/>
      <c r="C375" s="75"/>
      <c r="D375" s="22"/>
      <c r="E375" s="23"/>
      <c r="F375" s="25"/>
      <c r="G375" s="26"/>
      <c r="H375" s="62"/>
      <c r="I375" s="62"/>
      <c r="J375" s="81"/>
      <c r="K375" s="64"/>
      <c r="L375" s="181"/>
      <c r="M375" s="66"/>
      <c r="N375" s="231"/>
      <c r="T375" s="229"/>
    </row>
    <row r="376">
      <c r="A376" s="87"/>
      <c r="B376" s="87"/>
      <c r="C376" s="75"/>
      <c r="D376" s="149"/>
      <c r="E376" s="23"/>
      <c r="F376" s="44"/>
      <c r="G376" s="26"/>
      <c r="H376" s="62"/>
      <c r="I376" s="62"/>
      <c r="J376" s="81"/>
      <c r="K376" s="64"/>
      <c r="L376" s="248"/>
      <c r="M376" s="66"/>
      <c r="N376" s="231"/>
      <c r="T376" s="229"/>
    </row>
    <row r="377">
      <c r="A377" s="87"/>
      <c r="B377" s="87"/>
      <c r="C377" s="75"/>
      <c r="D377" s="22"/>
      <c r="E377" s="23"/>
      <c r="F377" s="44"/>
      <c r="G377" s="26"/>
      <c r="H377" s="62"/>
      <c r="I377" s="62"/>
      <c r="J377" s="81"/>
      <c r="K377" s="64"/>
      <c r="L377" s="181"/>
      <c r="M377" s="66"/>
      <c r="T377" s="229"/>
    </row>
    <row r="378">
      <c r="A378" s="87"/>
      <c r="B378" s="87"/>
      <c r="C378" s="75"/>
      <c r="D378" s="22"/>
      <c r="E378" s="23"/>
      <c r="F378" s="25"/>
      <c r="G378" s="26"/>
      <c r="H378" s="62"/>
      <c r="I378" s="62"/>
      <c r="J378" s="81"/>
      <c r="K378" s="64"/>
      <c r="L378" s="181"/>
      <c r="M378" s="66"/>
      <c r="T378" s="229"/>
    </row>
    <row r="379">
      <c r="A379" s="87"/>
      <c r="B379" s="87"/>
      <c r="C379" s="75"/>
      <c r="D379" s="22"/>
      <c r="E379" s="23"/>
      <c r="F379" s="25"/>
      <c r="G379" s="26"/>
      <c r="H379" s="29"/>
      <c r="I379" s="62"/>
      <c r="J379" s="81"/>
      <c r="K379" s="64"/>
      <c r="L379" s="181"/>
      <c r="M379" s="66"/>
      <c r="T379" s="229"/>
    </row>
    <row r="380">
      <c r="A380" s="87"/>
      <c r="B380" s="87"/>
      <c r="C380" s="75"/>
      <c r="D380" s="22"/>
      <c r="E380" s="23"/>
      <c r="F380" s="25"/>
      <c r="G380" s="26"/>
      <c r="H380" s="62"/>
      <c r="I380" s="62"/>
      <c r="J380" s="81"/>
      <c r="K380" s="64"/>
      <c r="L380" s="181"/>
      <c r="M380" s="66"/>
      <c r="T380" s="229"/>
    </row>
    <row r="381">
      <c r="A381" s="87"/>
      <c r="B381" s="87"/>
      <c r="C381" s="75"/>
      <c r="D381" s="22"/>
      <c r="E381" s="23"/>
      <c r="F381" s="25"/>
      <c r="G381" s="26"/>
      <c r="H381" s="62"/>
      <c r="I381" s="62"/>
      <c r="J381" s="81"/>
      <c r="K381" s="64"/>
      <c r="L381" s="181"/>
      <c r="M381" s="66"/>
      <c r="T381" s="229"/>
    </row>
    <row r="382">
      <c r="A382" s="20"/>
      <c r="B382" s="87"/>
      <c r="C382" s="75"/>
      <c r="D382" s="22"/>
      <c r="E382" s="23"/>
      <c r="F382" s="25"/>
      <c r="G382" s="26"/>
      <c r="H382" s="62"/>
      <c r="I382" s="62"/>
      <c r="J382" s="81"/>
      <c r="K382" s="64"/>
      <c r="L382" s="181"/>
      <c r="M382" s="66"/>
      <c r="T382" s="229"/>
    </row>
    <row r="383">
      <c r="A383" s="87"/>
      <c r="B383" s="87"/>
      <c r="C383" s="75"/>
      <c r="D383" s="22"/>
      <c r="E383" s="23"/>
      <c r="F383" s="25"/>
      <c r="G383" s="26"/>
      <c r="H383" s="62"/>
      <c r="I383" s="62"/>
      <c r="J383" s="81"/>
      <c r="K383" s="64"/>
      <c r="L383" s="181"/>
      <c r="M383" s="66"/>
      <c r="T383" s="229"/>
    </row>
    <row r="384">
      <c r="A384" s="87"/>
      <c r="B384" s="87"/>
      <c r="C384" s="75"/>
      <c r="D384" s="22"/>
      <c r="E384" s="23"/>
      <c r="F384" s="25"/>
      <c r="G384" s="26"/>
      <c r="H384" s="62"/>
      <c r="I384" s="62"/>
      <c r="J384" s="81"/>
      <c r="K384" s="64"/>
      <c r="L384" s="256"/>
      <c r="M384" s="66"/>
      <c r="T384" s="229"/>
    </row>
    <row r="385">
      <c r="A385" s="87"/>
      <c r="B385" s="87"/>
      <c r="C385" s="75"/>
      <c r="D385" s="22"/>
      <c r="E385" s="23"/>
      <c r="F385" s="25"/>
      <c r="G385" s="26"/>
      <c r="H385" s="62"/>
      <c r="I385" s="29"/>
      <c r="J385" s="81"/>
      <c r="K385" s="42"/>
      <c r="L385" s="181"/>
      <c r="M385" s="66"/>
      <c r="T385" s="229"/>
    </row>
    <row r="386">
      <c r="A386" s="87"/>
      <c r="B386" s="87"/>
      <c r="C386" s="75"/>
      <c r="D386" s="22"/>
      <c r="E386" s="23"/>
      <c r="F386" s="25"/>
      <c r="G386" s="26"/>
      <c r="H386" s="62"/>
      <c r="I386" s="62"/>
      <c r="J386" s="81"/>
      <c r="K386" s="64"/>
      <c r="L386" s="248"/>
      <c r="M386" s="66"/>
      <c r="T386" s="229"/>
    </row>
    <row r="387">
      <c r="A387" s="87"/>
      <c r="B387" s="87"/>
      <c r="C387" s="75"/>
      <c r="D387" s="22"/>
      <c r="E387" s="23"/>
      <c r="F387" s="25"/>
      <c r="G387" s="26"/>
      <c r="H387" s="62"/>
      <c r="I387" s="62"/>
      <c r="J387" s="81"/>
      <c r="K387" s="64"/>
      <c r="L387" s="246"/>
      <c r="M387" s="66"/>
      <c r="T387" s="229"/>
    </row>
    <row r="388">
      <c r="A388" s="87"/>
      <c r="B388" s="87"/>
      <c r="C388" s="75"/>
      <c r="D388" s="22"/>
      <c r="E388" s="23"/>
      <c r="F388" s="25"/>
      <c r="G388" s="26"/>
      <c r="H388" s="29"/>
      <c r="I388" s="62"/>
      <c r="J388" s="81"/>
      <c r="K388" s="42"/>
      <c r="L388" s="181"/>
      <c r="M388" s="66"/>
      <c r="T388" s="229"/>
    </row>
    <row r="389">
      <c r="A389" s="87"/>
      <c r="B389" s="87"/>
      <c r="C389" s="75"/>
      <c r="D389" s="22"/>
      <c r="E389" s="23"/>
      <c r="F389" s="25"/>
      <c r="G389" s="26"/>
      <c r="H389" s="62"/>
      <c r="I389" s="62"/>
      <c r="J389" s="81"/>
      <c r="K389" s="64"/>
      <c r="L389" s="181"/>
      <c r="M389" s="66"/>
      <c r="T389" s="229"/>
    </row>
    <row r="390">
      <c r="A390" s="87"/>
      <c r="B390" s="87"/>
      <c r="C390" s="75"/>
      <c r="D390" s="22"/>
      <c r="E390" s="23"/>
      <c r="F390" s="25"/>
      <c r="G390" s="26"/>
      <c r="H390" s="29"/>
      <c r="I390" s="29"/>
      <c r="J390" s="30"/>
      <c r="K390" s="42"/>
      <c r="L390" s="246"/>
      <c r="M390" s="66"/>
      <c r="T390" s="229"/>
    </row>
    <row r="391">
      <c r="A391" s="87"/>
      <c r="B391" s="87"/>
      <c r="C391" s="75"/>
      <c r="D391" s="22"/>
      <c r="E391" s="23"/>
      <c r="F391" s="25"/>
      <c r="G391" s="26"/>
      <c r="H391" s="62"/>
      <c r="I391" s="62"/>
      <c r="J391" s="81"/>
      <c r="K391" s="64"/>
      <c r="L391" s="246"/>
      <c r="M391" s="54"/>
      <c r="T391" s="229"/>
    </row>
    <row r="392">
      <c r="A392" s="87"/>
      <c r="B392" s="87"/>
      <c r="C392" s="75"/>
      <c r="D392" s="22"/>
      <c r="E392" s="23"/>
      <c r="F392" s="25"/>
      <c r="G392" s="26"/>
      <c r="H392" s="62"/>
      <c r="I392" s="62"/>
      <c r="J392" s="81"/>
      <c r="K392" s="64"/>
      <c r="L392" s="181"/>
      <c r="M392" s="66"/>
      <c r="T392" s="229"/>
    </row>
    <row r="393">
      <c r="A393" s="87"/>
      <c r="B393" s="87"/>
      <c r="C393" s="138"/>
      <c r="D393" s="22"/>
      <c r="E393" s="23"/>
      <c r="F393" s="25"/>
      <c r="G393" s="26"/>
      <c r="H393" s="62"/>
      <c r="I393" s="160"/>
      <c r="J393" s="251"/>
      <c r="K393" s="64"/>
      <c r="L393" s="181"/>
      <c r="M393" s="66"/>
      <c r="N393" s="226"/>
      <c r="O393" s="226"/>
      <c r="P393" s="244"/>
      <c r="T393" s="229"/>
    </row>
    <row r="394">
      <c r="A394" s="87"/>
      <c r="B394" s="87"/>
      <c r="C394" s="75"/>
      <c r="D394" s="22"/>
      <c r="E394" s="23"/>
      <c r="F394" s="25"/>
      <c r="G394" s="26"/>
      <c r="H394" s="62"/>
      <c r="I394" s="62"/>
      <c r="J394" s="81"/>
      <c r="K394" s="64"/>
      <c r="L394" s="268"/>
      <c r="M394" s="66"/>
      <c r="T394" s="229"/>
    </row>
    <row r="395">
      <c r="A395" s="87"/>
      <c r="B395" s="20"/>
      <c r="C395" s="75"/>
      <c r="D395" s="22"/>
      <c r="E395" s="23"/>
      <c r="F395" s="25"/>
      <c r="G395" s="26"/>
      <c r="H395" s="62"/>
      <c r="I395" s="62"/>
      <c r="J395" s="81"/>
      <c r="K395" s="64"/>
      <c r="L395" s="181"/>
      <c r="M395" s="66"/>
      <c r="T395" s="229"/>
    </row>
    <row r="396">
      <c r="A396" s="87"/>
      <c r="B396" s="87"/>
      <c r="C396" s="75"/>
      <c r="D396" s="22"/>
      <c r="E396" s="23"/>
      <c r="F396" s="25"/>
      <c r="G396" s="26"/>
      <c r="H396" s="62"/>
      <c r="I396" s="62"/>
      <c r="J396" s="81"/>
      <c r="K396" s="64"/>
      <c r="L396" s="181"/>
      <c r="M396" s="66"/>
      <c r="T396" s="229"/>
    </row>
    <row r="397">
      <c r="A397" s="87"/>
      <c r="B397" s="87"/>
      <c r="C397" s="75"/>
      <c r="D397" s="22"/>
      <c r="E397" s="23"/>
      <c r="F397" s="25"/>
      <c r="G397" s="26"/>
      <c r="H397" s="62"/>
      <c r="I397" s="62"/>
      <c r="J397" s="81"/>
      <c r="K397" s="64"/>
      <c r="L397" s="246"/>
      <c r="M397" s="66"/>
      <c r="N397" s="231"/>
      <c r="T397" s="229"/>
    </row>
    <row r="398">
      <c r="A398" s="87"/>
      <c r="B398" s="87"/>
      <c r="C398" s="75"/>
      <c r="D398" s="20"/>
      <c r="E398" s="23"/>
      <c r="F398" s="25"/>
      <c r="G398" s="26"/>
      <c r="H398" s="62"/>
      <c r="I398" s="62"/>
      <c r="J398" s="81"/>
      <c r="K398" s="64"/>
      <c r="L398" s="133"/>
      <c r="M398" s="66"/>
      <c r="T398" s="229"/>
    </row>
    <row r="399">
      <c r="A399" s="87"/>
      <c r="B399" s="87"/>
      <c r="C399" s="75"/>
      <c r="D399" s="22"/>
      <c r="E399" s="23"/>
      <c r="F399" s="25"/>
      <c r="G399" s="26"/>
      <c r="H399" s="62"/>
      <c r="I399" s="62"/>
      <c r="J399" s="81"/>
      <c r="K399" s="64"/>
      <c r="L399" s="181"/>
      <c r="M399" s="66"/>
      <c r="T399" s="229"/>
    </row>
    <row r="400">
      <c r="A400" s="87"/>
      <c r="B400" s="87"/>
      <c r="C400" s="75"/>
      <c r="D400" s="22"/>
      <c r="E400" s="23"/>
      <c r="F400" s="25"/>
      <c r="G400" s="26"/>
      <c r="H400" s="62"/>
      <c r="I400" s="62"/>
      <c r="J400" s="81"/>
      <c r="K400" s="64"/>
      <c r="L400" s="181"/>
      <c r="M400" s="66"/>
      <c r="T400" s="229"/>
    </row>
    <row r="401">
      <c r="A401" s="87"/>
      <c r="B401" s="87"/>
      <c r="C401" s="75"/>
      <c r="D401" s="149"/>
      <c r="E401" s="23"/>
      <c r="F401" s="25"/>
      <c r="G401" s="26"/>
      <c r="H401" s="62"/>
      <c r="I401" s="62"/>
      <c r="J401" s="81"/>
      <c r="K401" s="64"/>
      <c r="L401" s="181"/>
      <c r="M401" s="66"/>
      <c r="T401" s="229"/>
    </row>
    <row r="402">
      <c r="A402" s="87"/>
      <c r="B402" s="87"/>
      <c r="C402" s="75"/>
      <c r="D402" s="22"/>
      <c r="E402" s="23"/>
      <c r="F402" s="25"/>
      <c r="G402" s="26"/>
      <c r="H402" s="62"/>
      <c r="I402" s="62"/>
      <c r="J402" s="81"/>
      <c r="K402" s="64"/>
      <c r="L402" s="181"/>
      <c r="M402" s="66"/>
      <c r="T402" s="229"/>
    </row>
    <row r="403">
      <c r="A403" s="87"/>
      <c r="B403" s="87"/>
      <c r="C403" s="75"/>
      <c r="D403" s="22"/>
      <c r="E403" s="23"/>
      <c r="F403" s="25"/>
      <c r="G403" s="26"/>
      <c r="H403" s="29"/>
      <c r="I403" s="62"/>
      <c r="J403" s="81"/>
      <c r="K403" s="64"/>
      <c r="L403" s="181"/>
      <c r="M403" s="66"/>
      <c r="T403" s="229"/>
    </row>
    <row r="404">
      <c r="A404" s="87"/>
      <c r="B404" s="87"/>
      <c r="C404" s="75"/>
      <c r="D404" s="22"/>
      <c r="E404" s="23"/>
      <c r="F404" s="25"/>
      <c r="G404" s="26"/>
      <c r="H404" s="62"/>
      <c r="I404" s="62"/>
      <c r="J404" s="81"/>
      <c r="K404" s="64"/>
      <c r="L404" s="181"/>
      <c r="M404" s="66"/>
      <c r="T404" s="229"/>
    </row>
    <row r="405">
      <c r="A405" s="67"/>
      <c r="B405" s="67"/>
      <c r="C405" s="75"/>
      <c r="D405" s="22"/>
      <c r="E405" s="23"/>
      <c r="F405" s="25"/>
      <c r="G405" s="26"/>
      <c r="H405" s="62"/>
      <c r="I405" s="62"/>
      <c r="J405" s="81"/>
      <c r="K405" s="64"/>
      <c r="L405" s="181"/>
      <c r="M405" s="66"/>
      <c r="T405" s="229"/>
    </row>
    <row r="406">
      <c r="A406" s="87"/>
      <c r="B406" s="87"/>
      <c r="C406" s="75"/>
      <c r="D406" s="22"/>
      <c r="E406" s="23"/>
      <c r="F406" s="25"/>
      <c r="G406" s="26"/>
      <c r="H406" s="62"/>
      <c r="I406" s="62"/>
      <c r="J406" s="81"/>
      <c r="K406" s="64"/>
      <c r="L406" s="181"/>
      <c r="M406" s="66"/>
      <c r="P406" s="244"/>
      <c r="T406" s="229"/>
    </row>
    <row r="407">
      <c r="A407" s="87"/>
      <c r="B407" s="87"/>
      <c r="C407" s="75"/>
      <c r="D407" s="22"/>
      <c r="E407" s="23"/>
      <c r="F407" s="25"/>
      <c r="G407" s="26"/>
      <c r="H407" s="62"/>
      <c r="I407" s="62"/>
      <c r="J407" s="81"/>
      <c r="K407" s="64"/>
      <c r="L407" s="181"/>
      <c r="M407" s="66"/>
      <c r="N407" s="231"/>
      <c r="T407" s="229"/>
    </row>
    <row r="408">
      <c r="A408" s="20"/>
      <c r="B408" s="20"/>
      <c r="C408" s="21"/>
      <c r="D408" s="20"/>
      <c r="E408" s="23"/>
      <c r="F408" s="25"/>
      <c r="G408" s="26"/>
      <c r="H408" s="29"/>
      <c r="I408" s="29"/>
      <c r="J408" s="30"/>
      <c r="K408" s="42"/>
      <c r="L408" s="246"/>
      <c r="M408" s="54"/>
      <c r="T408" s="229"/>
    </row>
    <row r="409">
      <c r="A409" s="87"/>
      <c r="B409" s="87"/>
      <c r="C409" s="75"/>
      <c r="D409" s="22"/>
      <c r="E409" s="23"/>
      <c r="F409" s="25"/>
      <c r="G409" s="26"/>
      <c r="H409" s="62"/>
      <c r="I409" s="62"/>
      <c r="J409" s="81"/>
      <c r="K409" s="64"/>
      <c r="L409" s="181"/>
      <c r="M409" s="66"/>
      <c r="T409" s="229"/>
    </row>
    <row r="410">
      <c r="A410" s="87"/>
      <c r="B410" s="87"/>
      <c r="C410" s="75"/>
      <c r="D410" s="22"/>
      <c r="E410" s="23"/>
      <c r="F410" s="25"/>
      <c r="G410" s="26"/>
      <c r="H410" s="62"/>
      <c r="I410" s="62"/>
      <c r="J410" s="81"/>
      <c r="K410" s="64"/>
      <c r="L410" s="181"/>
      <c r="M410" s="66"/>
      <c r="T410" s="229"/>
    </row>
    <row r="411">
      <c r="A411" s="87"/>
      <c r="B411" s="87"/>
      <c r="C411" s="75"/>
      <c r="D411" s="149"/>
      <c r="E411" s="23"/>
      <c r="F411" s="25"/>
      <c r="G411" s="26"/>
      <c r="H411" s="62"/>
      <c r="I411" s="62"/>
      <c r="J411" s="81"/>
      <c r="K411" s="64"/>
      <c r="L411" s="181"/>
      <c r="M411" s="66"/>
      <c r="T411" s="229"/>
    </row>
    <row r="412">
      <c r="A412" s="87"/>
      <c r="B412" s="87"/>
      <c r="C412" s="75"/>
      <c r="D412" s="22"/>
      <c r="E412" s="23"/>
      <c r="F412" s="25"/>
      <c r="G412" s="26"/>
      <c r="H412" s="62"/>
      <c r="I412" s="62"/>
      <c r="J412" s="81"/>
      <c r="K412" s="64"/>
      <c r="L412" s="181"/>
      <c r="M412" s="66"/>
      <c r="T412" s="229"/>
    </row>
    <row r="413">
      <c r="A413" s="87"/>
      <c r="B413" s="87"/>
      <c r="C413" s="75"/>
      <c r="D413" s="22"/>
      <c r="E413" s="23"/>
      <c r="F413" s="25"/>
      <c r="G413" s="26"/>
      <c r="H413" s="62"/>
      <c r="I413" s="62"/>
      <c r="J413" s="81"/>
      <c r="K413" s="64"/>
      <c r="L413" s="181"/>
      <c r="M413" s="66"/>
      <c r="T413" s="229"/>
    </row>
    <row r="414">
      <c r="A414" s="87"/>
      <c r="B414" s="87"/>
      <c r="C414" s="75"/>
      <c r="D414" s="20"/>
      <c r="E414" s="23"/>
      <c r="F414" s="25"/>
      <c r="G414" s="26"/>
      <c r="H414" s="62"/>
      <c r="I414" s="62"/>
      <c r="J414" s="81"/>
      <c r="K414" s="64"/>
      <c r="L414" s="256"/>
      <c r="M414" s="66"/>
      <c r="T414" s="229"/>
    </row>
    <row r="415">
      <c r="A415" s="87"/>
      <c r="B415" s="87"/>
      <c r="C415" s="75"/>
      <c r="D415" s="22"/>
      <c r="E415" s="23"/>
      <c r="F415" s="25"/>
      <c r="G415" s="26"/>
      <c r="H415" s="29"/>
      <c r="I415" s="29"/>
      <c r="J415" s="81"/>
      <c r="K415" s="42"/>
      <c r="L415" s="181"/>
      <c r="M415" s="66"/>
      <c r="T415" s="229"/>
    </row>
    <row r="416">
      <c r="A416" s="87"/>
      <c r="B416" s="87"/>
      <c r="C416" s="75"/>
      <c r="D416" s="22"/>
      <c r="E416" s="23"/>
      <c r="F416" s="25"/>
      <c r="G416" s="26"/>
      <c r="H416" s="62"/>
      <c r="I416" s="62"/>
      <c r="J416" s="81"/>
      <c r="K416" s="64"/>
      <c r="L416" s="181"/>
      <c r="M416" s="66"/>
      <c r="T416" s="229"/>
    </row>
    <row r="417">
      <c r="A417" s="87"/>
      <c r="B417" s="87"/>
      <c r="C417" s="21"/>
      <c r="D417" s="22"/>
      <c r="E417" s="23"/>
      <c r="F417" s="25"/>
      <c r="G417" s="26"/>
      <c r="H417" s="62"/>
      <c r="I417" s="62"/>
      <c r="J417" s="81"/>
      <c r="K417" s="64"/>
      <c r="L417" s="246"/>
      <c r="M417" s="66"/>
      <c r="T417" s="229"/>
    </row>
    <row r="418">
      <c r="A418" s="87"/>
      <c r="B418" s="87"/>
      <c r="C418" s="75"/>
      <c r="D418" s="22"/>
      <c r="E418" s="23"/>
      <c r="F418" s="25"/>
      <c r="G418" s="26"/>
      <c r="H418" s="62"/>
      <c r="I418" s="62"/>
      <c r="J418" s="81"/>
      <c r="K418" s="64"/>
      <c r="L418" s="181"/>
      <c r="M418" s="66"/>
      <c r="T418" s="229"/>
    </row>
    <row r="419">
      <c r="A419" s="87"/>
      <c r="B419" s="87"/>
      <c r="C419" s="75"/>
      <c r="D419" s="22"/>
      <c r="E419" s="23"/>
      <c r="F419" s="25"/>
      <c r="G419" s="26"/>
      <c r="H419" s="62"/>
      <c r="I419" s="62"/>
      <c r="J419" s="81"/>
      <c r="K419" s="64"/>
      <c r="L419" s="181"/>
      <c r="M419" s="66"/>
      <c r="T419" s="229"/>
    </row>
    <row r="420">
      <c r="A420" s="87"/>
      <c r="B420" s="87"/>
      <c r="C420" s="75"/>
      <c r="D420" s="22"/>
      <c r="E420" s="23"/>
      <c r="F420" s="44"/>
      <c r="G420" s="26"/>
      <c r="H420" s="62"/>
      <c r="I420" s="62"/>
      <c r="J420" s="81"/>
      <c r="K420" s="64"/>
      <c r="L420" s="181"/>
      <c r="M420" s="66"/>
      <c r="T420" s="229"/>
    </row>
    <row r="421">
      <c r="A421" s="87"/>
      <c r="B421" s="87"/>
      <c r="C421" s="75"/>
      <c r="D421" s="22"/>
      <c r="E421" s="23"/>
      <c r="F421" s="25"/>
      <c r="G421" s="26"/>
      <c r="H421" s="29"/>
      <c r="I421" s="62"/>
      <c r="J421" s="81"/>
      <c r="K421" s="64"/>
      <c r="L421" s="181"/>
      <c r="M421" s="66"/>
      <c r="T421" s="229"/>
    </row>
    <row r="422">
      <c r="A422" s="87"/>
      <c r="B422" s="87"/>
      <c r="C422" s="75"/>
      <c r="D422" s="22"/>
      <c r="E422" s="23"/>
      <c r="F422" s="25"/>
      <c r="G422" s="26"/>
      <c r="H422" s="62"/>
      <c r="I422" s="62"/>
      <c r="J422" s="81"/>
      <c r="K422" s="64"/>
      <c r="L422" s="256"/>
      <c r="M422" s="66"/>
      <c r="T422" s="229"/>
    </row>
    <row r="423">
      <c r="A423" s="87"/>
      <c r="B423" s="87"/>
      <c r="C423" s="75"/>
      <c r="D423" s="22"/>
      <c r="E423" s="23"/>
      <c r="F423" s="25"/>
      <c r="G423" s="26"/>
      <c r="H423" s="62"/>
      <c r="I423" s="62"/>
      <c r="J423" s="81"/>
      <c r="K423" s="64"/>
      <c r="L423" s="181"/>
      <c r="M423" s="66"/>
      <c r="T423" s="229"/>
    </row>
    <row r="424">
      <c r="A424" s="87"/>
      <c r="B424" s="87"/>
      <c r="C424" s="75"/>
      <c r="D424" s="22"/>
      <c r="E424" s="23"/>
      <c r="F424" s="25"/>
      <c r="G424" s="26"/>
      <c r="H424" s="62"/>
      <c r="I424" s="62"/>
      <c r="J424" s="81"/>
      <c r="K424" s="64"/>
      <c r="L424" s="181"/>
      <c r="M424" s="66"/>
      <c r="P424" s="244"/>
      <c r="T424" s="229"/>
    </row>
    <row r="425">
      <c r="A425" s="87"/>
      <c r="B425" s="87"/>
      <c r="C425" s="75"/>
      <c r="D425" s="22"/>
      <c r="E425" s="23"/>
      <c r="F425" s="25"/>
      <c r="G425" s="26"/>
      <c r="H425" s="62"/>
      <c r="I425" s="62"/>
      <c r="J425" s="81"/>
      <c r="K425" s="64"/>
      <c r="L425" s="246"/>
      <c r="M425" s="66"/>
      <c r="T425" s="229"/>
    </row>
    <row r="426">
      <c r="A426" s="87"/>
      <c r="B426" s="87"/>
      <c r="C426" s="75"/>
      <c r="D426" s="22"/>
      <c r="E426" s="23"/>
      <c r="F426" s="25"/>
      <c r="G426" s="26"/>
      <c r="H426" s="62"/>
      <c r="I426" s="62"/>
      <c r="J426" s="81"/>
      <c r="K426" s="64"/>
      <c r="L426" s="181"/>
      <c r="M426" s="66"/>
      <c r="P426" s="244"/>
      <c r="T426" s="229"/>
    </row>
    <row r="427">
      <c r="A427" s="87"/>
      <c r="B427" s="87"/>
      <c r="C427" s="75"/>
      <c r="D427" s="22"/>
      <c r="E427" s="23"/>
      <c r="F427" s="25"/>
      <c r="G427" s="26"/>
      <c r="H427" s="269"/>
      <c r="I427" s="62"/>
      <c r="J427" s="81"/>
      <c r="K427" s="64"/>
      <c r="L427" s="270"/>
      <c r="M427" s="271"/>
      <c r="T427" s="245"/>
    </row>
    <row r="428">
      <c r="A428" s="87"/>
      <c r="B428" s="87"/>
      <c r="C428" s="75"/>
      <c r="D428" s="22"/>
      <c r="E428" s="23"/>
      <c r="F428" s="25"/>
      <c r="G428" s="26"/>
      <c r="H428" s="62"/>
      <c r="I428" s="62"/>
      <c r="J428" s="81"/>
      <c r="K428" s="64"/>
      <c r="L428" s="256"/>
      <c r="M428" s="66"/>
      <c r="T428" s="229"/>
    </row>
    <row r="429">
      <c r="A429" s="87"/>
      <c r="B429" s="87"/>
      <c r="C429" s="75"/>
      <c r="D429" s="22"/>
      <c r="E429" s="23"/>
      <c r="F429" s="25"/>
      <c r="G429" s="26"/>
      <c r="H429" s="62"/>
      <c r="I429" s="62"/>
      <c r="J429" s="81"/>
      <c r="K429" s="64"/>
      <c r="L429" s="256"/>
      <c r="M429" s="66"/>
      <c r="T429" s="229"/>
    </row>
    <row r="430">
      <c r="A430" s="20"/>
      <c r="B430" s="20"/>
      <c r="C430" s="21"/>
      <c r="D430" s="22"/>
      <c r="E430" s="23"/>
      <c r="F430" s="25"/>
      <c r="G430" s="26"/>
      <c r="H430" s="29"/>
      <c r="I430" s="29"/>
      <c r="J430" s="30"/>
      <c r="K430" s="42"/>
      <c r="L430" s="230"/>
      <c r="M430" s="54"/>
      <c r="T430" s="229"/>
    </row>
    <row r="431">
      <c r="A431" s="20"/>
      <c r="B431" s="250"/>
      <c r="C431" s="21"/>
      <c r="D431" s="22"/>
      <c r="E431" s="23"/>
      <c r="F431" s="172"/>
      <c r="G431" s="102"/>
      <c r="H431" s="160"/>
      <c r="I431" s="160"/>
      <c r="J431" s="251"/>
      <c r="K431" s="251"/>
      <c r="L431" s="230"/>
      <c r="M431" s="66"/>
      <c r="N431" s="226"/>
      <c r="O431" s="226"/>
    </row>
    <row r="432">
      <c r="A432" s="20"/>
      <c r="B432" s="20"/>
      <c r="C432" s="21"/>
      <c r="D432" s="22"/>
      <c r="E432" s="23"/>
      <c r="F432" s="25"/>
      <c r="G432" s="26"/>
      <c r="H432" s="29"/>
      <c r="I432" s="29"/>
      <c r="J432" s="30"/>
      <c r="K432" s="42"/>
      <c r="L432" s="230"/>
      <c r="M432" s="54"/>
      <c r="T432" s="229"/>
    </row>
    <row r="433">
      <c r="A433" s="20"/>
      <c r="B433" s="20"/>
      <c r="C433" s="21"/>
      <c r="D433" s="22"/>
      <c r="E433" s="23"/>
      <c r="F433" s="25"/>
      <c r="G433" s="26"/>
      <c r="H433" s="29"/>
      <c r="I433" s="29"/>
      <c r="J433" s="30"/>
      <c r="K433" s="42"/>
      <c r="L433" s="230"/>
      <c r="M433" s="54"/>
      <c r="T433" s="229"/>
    </row>
    <row r="434">
      <c r="A434" s="20"/>
      <c r="B434" s="20"/>
      <c r="C434" s="21"/>
      <c r="D434" s="22"/>
      <c r="E434" s="23"/>
      <c r="F434" s="25"/>
      <c r="G434" s="26"/>
      <c r="H434" s="29"/>
      <c r="I434" s="29"/>
      <c r="J434" s="30"/>
      <c r="K434" s="42"/>
      <c r="L434" s="230"/>
      <c r="M434" s="54"/>
      <c r="T434" s="229"/>
    </row>
    <row r="435">
      <c r="A435" s="20"/>
      <c r="B435" s="20"/>
      <c r="C435" s="21"/>
      <c r="D435" s="22"/>
      <c r="E435" s="23"/>
      <c r="F435" s="25"/>
      <c r="G435" s="26"/>
      <c r="H435" s="29"/>
      <c r="I435" s="29"/>
      <c r="J435" s="30"/>
      <c r="K435" s="42"/>
      <c r="L435" s="230"/>
      <c r="M435" s="54"/>
      <c r="T435" s="229"/>
    </row>
    <row r="436">
      <c r="A436" s="20"/>
      <c r="B436" s="20"/>
      <c r="C436" s="21"/>
      <c r="D436" s="22"/>
      <c r="E436" s="23"/>
      <c r="F436" s="25"/>
      <c r="G436" s="26"/>
      <c r="H436" s="29"/>
      <c r="I436" s="29"/>
      <c r="J436" s="30"/>
      <c r="K436" s="42"/>
      <c r="L436" s="230"/>
      <c r="M436" s="54"/>
      <c r="T436" s="229"/>
    </row>
    <row r="437">
      <c r="A437" s="20"/>
      <c r="B437" s="20"/>
      <c r="C437" s="21"/>
      <c r="D437" s="22"/>
      <c r="E437" s="23"/>
      <c r="F437" s="25"/>
      <c r="G437" s="26"/>
      <c r="H437" s="29"/>
      <c r="I437" s="29"/>
      <c r="J437" s="30"/>
      <c r="K437" s="42"/>
      <c r="L437" s="230"/>
      <c r="M437" s="54"/>
      <c r="T437" s="229"/>
    </row>
    <row r="438">
      <c r="A438" s="20"/>
      <c r="B438" s="20"/>
      <c r="C438" s="21"/>
      <c r="D438" s="22"/>
      <c r="E438" s="23"/>
      <c r="F438" s="25"/>
      <c r="G438" s="26"/>
      <c r="H438" s="29"/>
      <c r="I438" s="29"/>
      <c r="J438" s="30"/>
      <c r="K438" s="42"/>
      <c r="L438" s="230"/>
      <c r="M438" s="54"/>
      <c r="T438" s="229"/>
    </row>
    <row r="439">
      <c r="A439" s="20"/>
      <c r="B439" s="20"/>
      <c r="C439" s="21"/>
      <c r="D439" s="22"/>
      <c r="E439" s="23"/>
      <c r="F439" s="25"/>
      <c r="G439" s="26"/>
      <c r="H439" s="29"/>
      <c r="I439" s="29"/>
      <c r="J439" s="30"/>
      <c r="K439" s="42"/>
      <c r="L439" s="230"/>
      <c r="M439" s="54"/>
      <c r="T439" s="229"/>
    </row>
    <row r="440">
      <c r="A440" s="20"/>
      <c r="B440" s="20"/>
      <c r="C440" s="21"/>
      <c r="D440" s="22"/>
      <c r="E440" s="23"/>
      <c r="F440" s="25"/>
      <c r="G440" s="26"/>
      <c r="H440" s="29"/>
      <c r="I440" s="29"/>
      <c r="J440" s="30"/>
      <c r="K440" s="42"/>
      <c r="L440" s="230"/>
      <c r="M440" s="54"/>
      <c r="N440" s="231"/>
      <c r="T440" s="229"/>
    </row>
    <row r="441">
      <c r="A441" s="20"/>
      <c r="B441" s="20"/>
      <c r="C441" s="21"/>
      <c r="D441" s="22"/>
      <c r="E441" s="23"/>
      <c r="F441" s="25"/>
      <c r="G441" s="26"/>
      <c r="H441" s="29"/>
      <c r="I441" s="29"/>
      <c r="J441" s="30"/>
      <c r="K441" s="42"/>
      <c r="L441" s="230"/>
      <c r="M441" s="54"/>
      <c r="T441" s="229"/>
    </row>
    <row r="442">
      <c r="A442" s="20"/>
      <c r="B442" s="20"/>
      <c r="C442" s="21"/>
      <c r="D442" s="22"/>
      <c r="E442" s="23"/>
      <c r="F442" s="25"/>
      <c r="G442" s="26"/>
      <c r="H442" s="29"/>
      <c r="I442" s="29"/>
      <c r="J442" s="30"/>
      <c r="K442" s="42"/>
      <c r="L442" s="230"/>
      <c r="M442" s="54"/>
      <c r="T442" s="229"/>
    </row>
    <row r="443">
      <c r="A443" s="20"/>
      <c r="B443" s="20"/>
      <c r="C443" s="21"/>
      <c r="D443" s="22"/>
      <c r="E443" s="23"/>
      <c r="F443" s="25"/>
      <c r="G443" s="26"/>
      <c r="H443" s="29"/>
      <c r="I443" s="29"/>
      <c r="J443" s="30"/>
      <c r="K443" s="42"/>
      <c r="L443" s="230"/>
      <c r="M443" s="54"/>
      <c r="T443" s="229"/>
    </row>
    <row r="444">
      <c r="A444" s="20"/>
      <c r="B444" s="20"/>
      <c r="C444" s="21"/>
      <c r="D444" s="22"/>
      <c r="E444" s="23"/>
      <c r="F444" s="25"/>
      <c r="G444" s="26"/>
      <c r="H444" s="29"/>
      <c r="I444" s="29"/>
      <c r="J444" s="30"/>
      <c r="K444" s="42"/>
      <c r="L444" s="230"/>
      <c r="M444" s="54"/>
      <c r="T444" s="229"/>
    </row>
    <row r="445">
      <c r="A445" s="20"/>
      <c r="B445" s="20"/>
      <c r="C445" s="21"/>
      <c r="D445" s="22"/>
      <c r="E445" s="23"/>
      <c r="F445" s="25"/>
      <c r="G445" s="26"/>
      <c r="H445" s="29"/>
      <c r="I445" s="29"/>
      <c r="J445" s="30"/>
      <c r="K445" s="42"/>
      <c r="L445" s="230"/>
      <c r="M445" s="54"/>
      <c r="T445" s="229"/>
    </row>
    <row r="446">
      <c r="A446" s="20"/>
      <c r="B446" s="20"/>
      <c r="C446" s="21"/>
      <c r="D446" s="22"/>
      <c r="E446" s="23"/>
      <c r="F446" s="25"/>
      <c r="G446" s="26"/>
      <c r="H446" s="29"/>
      <c r="I446" s="29"/>
      <c r="J446" s="30"/>
      <c r="K446" s="42"/>
      <c r="L446" s="230"/>
      <c r="M446" s="54"/>
      <c r="N446" s="231"/>
      <c r="T446" s="229"/>
    </row>
    <row r="447">
      <c r="A447" s="20"/>
      <c r="B447" s="20"/>
      <c r="C447" s="21"/>
      <c r="D447" s="22"/>
      <c r="E447" s="23"/>
      <c r="F447" s="25"/>
      <c r="G447" s="26"/>
      <c r="H447" s="29"/>
      <c r="I447" s="29"/>
      <c r="J447" s="30"/>
      <c r="K447" s="42"/>
      <c r="L447" s="230"/>
      <c r="M447" s="54"/>
      <c r="T447" s="229"/>
    </row>
    <row r="448">
      <c r="A448" s="20"/>
      <c r="B448" s="20"/>
      <c r="C448" s="21"/>
      <c r="D448" s="22"/>
      <c r="E448" s="23"/>
      <c r="F448" s="25"/>
      <c r="G448" s="26"/>
      <c r="H448" s="29"/>
      <c r="I448" s="29"/>
      <c r="J448" s="30"/>
      <c r="K448" s="42"/>
      <c r="L448" s="230"/>
      <c r="M448" s="54"/>
      <c r="N448" s="231"/>
      <c r="T448" s="229"/>
    </row>
    <row r="449">
      <c r="A449" s="20"/>
      <c r="B449" s="20"/>
      <c r="C449" s="21"/>
      <c r="D449" s="22"/>
      <c r="E449" s="23"/>
      <c r="F449" s="25"/>
      <c r="G449" s="26"/>
      <c r="H449" s="29"/>
      <c r="I449" s="29"/>
      <c r="J449" s="30"/>
      <c r="K449" s="42"/>
      <c r="L449" s="230"/>
      <c r="M449" s="54"/>
      <c r="N449" s="231"/>
      <c r="T449" s="229"/>
    </row>
    <row r="450">
      <c r="A450" s="20"/>
      <c r="B450" s="20"/>
      <c r="C450" s="21"/>
      <c r="D450" s="22"/>
      <c r="E450" s="23"/>
      <c r="F450" s="25"/>
      <c r="G450" s="26"/>
      <c r="H450" s="29"/>
      <c r="I450" s="29"/>
      <c r="J450" s="30"/>
      <c r="K450" s="42"/>
      <c r="L450" s="230"/>
      <c r="M450" s="54"/>
      <c r="T450" s="229"/>
    </row>
    <row r="451">
      <c r="A451" s="20"/>
      <c r="B451" s="20"/>
      <c r="C451" s="21"/>
      <c r="D451" s="22"/>
      <c r="E451" s="23"/>
      <c r="F451" s="25"/>
      <c r="G451" s="26"/>
      <c r="H451" s="29"/>
      <c r="I451" s="29"/>
      <c r="J451" s="30"/>
      <c r="K451" s="42"/>
      <c r="L451" s="230"/>
      <c r="M451" s="54"/>
      <c r="T451" s="229"/>
    </row>
    <row r="452">
      <c r="A452" s="20"/>
      <c r="B452" s="20"/>
      <c r="C452" s="21"/>
      <c r="D452" s="22"/>
      <c r="E452" s="23"/>
      <c r="F452" s="25"/>
      <c r="G452" s="26"/>
      <c r="H452" s="29"/>
      <c r="I452" s="29"/>
      <c r="J452" s="30"/>
      <c r="K452" s="42"/>
      <c r="L452" s="230"/>
      <c r="M452" s="54"/>
      <c r="T452" s="229"/>
    </row>
    <row r="453">
      <c r="A453" s="20"/>
      <c r="B453" s="20"/>
      <c r="C453" s="21"/>
      <c r="D453" s="22"/>
      <c r="E453" s="23"/>
      <c r="F453" s="25"/>
      <c r="G453" s="26"/>
      <c r="H453" s="29"/>
      <c r="I453" s="29"/>
      <c r="J453" s="30"/>
      <c r="K453" s="42"/>
      <c r="L453" s="230"/>
      <c r="M453" s="54"/>
      <c r="T453" s="229"/>
    </row>
    <row r="454">
      <c r="A454" s="20"/>
      <c r="B454" s="20"/>
      <c r="C454" s="21"/>
      <c r="D454" s="22"/>
      <c r="E454" s="23"/>
      <c r="F454" s="25"/>
      <c r="G454" s="26"/>
      <c r="H454" s="29"/>
      <c r="I454" s="29"/>
      <c r="J454" s="30"/>
      <c r="K454" s="42"/>
      <c r="L454" s="230"/>
      <c r="M454" s="54"/>
      <c r="T454" s="229"/>
    </row>
    <row r="455">
      <c r="A455" s="20"/>
      <c r="B455" s="20"/>
      <c r="C455" s="21"/>
      <c r="D455" s="22"/>
      <c r="E455" s="23"/>
      <c r="F455" s="25"/>
      <c r="G455" s="26"/>
      <c r="H455" s="29"/>
      <c r="I455" s="29"/>
      <c r="J455" s="30"/>
      <c r="K455" s="42"/>
      <c r="L455" s="230"/>
      <c r="M455" s="54"/>
      <c r="T455" s="229"/>
    </row>
    <row r="456">
      <c r="A456" s="20"/>
      <c r="B456" s="20"/>
      <c r="C456" s="21"/>
      <c r="D456" s="22"/>
      <c r="E456" s="23"/>
      <c r="F456" s="25"/>
      <c r="G456" s="26"/>
      <c r="H456" s="29"/>
      <c r="I456" s="29"/>
      <c r="J456" s="30"/>
      <c r="K456" s="42"/>
      <c r="L456" s="230"/>
      <c r="M456" s="54"/>
      <c r="T456" s="229"/>
    </row>
    <row r="457">
      <c r="A457" s="20"/>
      <c r="B457" s="20"/>
      <c r="C457" s="21"/>
      <c r="D457" s="22"/>
      <c r="E457" s="23"/>
      <c r="F457" s="25"/>
      <c r="G457" s="26"/>
      <c r="H457" s="29"/>
      <c r="I457" s="29"/>
      <c r="J457" s="30"/>
      <c r="K457" s="42"/>
      <c r="L457" s="230"/>
      <c r="M457" s="54"/>
      <c r="T457" s="229"/>
    </row>
    <row r="458">
      <c r="A458" s="20"/>
      <c r="B458" s="20"/>
      <c r="C458" s="21"/>
      <c r="D458" s="22"/>
      <c r="E458" s="23"/>
      <c r="F458" s="25"/>
      <c r="G458" s="26"/>
      <c r="H458" s="29"/>
      <c r="I458" s="29"/>
      <c r="J458" s="30"/>
      <c r="K458" s="42"/>
      <c r="L458" s="230"/>
      <c r="M458" s="54"/>
      <c r="T458" s="229"/>
    </row>
    <row r="459">
      <c r="A459" s="20"/>
      <c r="B459" s="20"/>
      <c r="C459" s="21"/>
      <c r="D459" s="22"/>
      <c r="E459" s="23"/>
      <c r="F459" s="25"/>
      <c r="G459" s="26"/>
      <c r="H459" s="29"/>
      <c r="I459" s="29"/>
      <c r="J459" s="30"/>
      <c r="K459" s="42"/>
      <c r="L459" s="230"/>
      <c r="M459" s="54"/>
      <c r="T459" s="229"/>
    </row>
    <row r="460">
      <c r="A460" s="20"/>
      <c r="B460" s="20"/>
      <c r="C460" s="21"/>
      <c r="D460" s="22"/>
      <c r="E460" s="23"/>
      <c r="F460" s="25"/>
      <c r="G460" s="26"/>
      <c r="H460" s="28"/>
      <c r="I460" s="29"/>
      <c r="J460" s="30"/>
      <c r="K460" s="31"/>
      <c r="L460" s="28"/>
      <c r="M460" s="32"/>
      <c r="T460" s="229"/>
    </row>
    <row r="461">
      <c r="A461" s="20"/>
      <c r="B461" s="20"/>
      <c r="C461" s="21"/>
      <c r="D461" s="22"/>
      <c r="E461" s="23"/>
      <c r="F461" s="25"/>
      <c r="G461" s="26"/>
      <c r="H461" s="29"/>
      <c r="I461" s="29"/>
      <c r="J461" s="30"/>
      <c r="K461" s="42"/>
      <c r="L461" s="230"/>
      <c r="M461" s="54"/>
      <c r="T461" s="229"/>
    </row>
    <row r="462">
      <c r="A462" s="20"/>
      <c r="B462" s="20"/>
      <c r="C462" s="21"/>
      <c r="D462" s="22"/>
      <c r="E462" s="23"/>
      <c r="F462" s="25"/>
      <c r="G462" s="26"/>
      <c r="H462" s="29"/>
      <c r="I462" s="29"/>
      <c r="J462" s="30"/>
      <c r="K462" s="42"/>
      <c r="L462" s="230"/>
      <c r="M462" s="54"/>
      <c r="T462" s="229"/>
    </row>
    <row r="463">
      <c r="A463" s="20"/>
      <c r="B463" s="20"/>
      <c r="C463" s="21"/>
      <c r="D463" s="22"/>
      <c r="E463" s="23"/>
      <c r="F463" s="25"/>
      <c r="G463" s="26"/>
      <c r="H463" s="29"/>
      <c r="I463" s="29"/>
      <c r="J463" s="30"/>
      <c r="K463" s="42"/>
      <c r="L463" s="230"/>
      <c r="M463" s="54"/>
      <c r="T463" s="229"/>
    </row>
    <row r="464">
      <c r="A464" s="20"/>
      <c r="B464" s="20"/>
      <c r="C464" s="21"/>
      <c r="D464" s="22"/>
      <c r="E464" s="23"/>
      <c r="F464" s="25"/>
      <c r="G464" s="26"/>
      <c r="H464" s="29"/>
      <c r="I464" s="29"/>
      <c r="J464" s="30"/>
      <c r="K464" s="42"/>
      <c r="L464" s="230"/>
      <c r="M464" s="54"/>
      <c r="T464" s="229"/>
    </row>
    <row r="465">
      <c r="A465" s="20"/>
      <c r="B465" s="20"/>
      <c r="C465" s="21"/>
      <c r="D465" s="22"/>
      <c r="E465" s="23"/>
      <c r="F465" s="25"/>
      <c r="G465" s="26"/>
      <c r="H465" s="29"/>
      <c r="I465" s="29"/>
      <c r="J465" s="30"/>
      <c r="K465" s="42"/>
      <c r="L465" s="239"/>
      <c r="M465" s="54"/>
      <c r="T465" s="229"/>
    </row>
    <row r="466">
      <c r="A466" s="20"/>
      <c r="B466" s="20"/>
      <c r="C466" s="21"/>
      <c r="D466" s="22"/>
      <c r="E466" s="23"/>
      <c r="F466" s="25"/>
      <c r="G466" s="26"/>
      <c r="H466" s="29"/>
      <c r="I466" s="29"/>
      <c r="J466" s="30"/>
      <c r="K466" s="42"/>
      <c r="L466" s="230"/>
      <c r="M466" s="54"/>
      <c r="T466" s="229"/>
    </row>
    <row r="467">
      <c r="A467" s="20"/>
      <c r="B467" s="20"/>
      <c r="C467" s="21"/>
      <c r="D467" s="22"/>
      <c r="E467" s="23"/>
      <c r="F467" s="25"/>
      <c r="G467" s="26"/>
      <c r="H467" s="29"/>
      <c r="I467" s="29"/>
      <c r="J467" s="30"/>
      <c r="K467" s="42"/>
      <c r="L467" s="230"/>
      <c r="M467" s="54"/>
      <c r="T467" s="229"/>
    </row>
    <row r="468">
      <c r="A468" s="20"/>
      <c r="B468" s="20"/>
      <c r="C468" s="21"/>
      <c r="D468" s="22"/>
      <c r="E468" s="23"/>
      <c r="F468" s="25"/>
      <c r="G468" s="26"/>
      <c r="H468" s="29"/>
      <c r="I468" s="29"/>
      <c r="J468" s="30"/>
      <c r="K468" s="42"/>
      <c r="L468" s="230"/>
      <c r="M468" s="54"/>
      <c r="T468" s="229"/>
    </row>
    <row r="469">
      <c r="A469" s="20"/>
      <c r="B469" s="20"/>
      <c r="C469" s="21"/>
      <c r="D469" s="22"/>
      <c r="E469" s="23"/>
      <c r="F469" s="25"/>
      <c r="G469" s="26"/>
      <c r="H469" s="29"/>
      <c r="I469" s="29"/>
      <c r="J469" s="30"/>
      <c r="K469" s="42"/>
      <c r="L469" s="230"/>
      <c r="M469" s="54"/>
      <c r="T469" s="229"/>
    </row>
    <row r="470">
      <c r="A470" s="20"/>
      <c r="B470" s="20"/>
      <c r="C470" s="21"/>
      <c r="D470" s="22"/>
      <c r="E470" s="23"/>
      <c r="F470" s="25"/>
      <c r="G470" s="26"/>
      <c r="H470" s="28"/>
      <c r="I470" s="29"/>
      <c r="J470" s="30"/>
      <c r="K470" s="31"/>
      <c r="L470" s="28"/>
      <c r="M470" s="32"/>
      <c r="N470" s="231"/>
      <c r="T470" s="229"/>
    </row>
    <row r="471">
      <c r="A471" s="20"/>
      <c r="B471" s="20"/>
      <c r="C471" s="21"/>
      <c r="D471" s="22"/>
      <c r="E471" s="23"/>
      <c r="F471" s="25"/>
      <c r="G471" s="26"/>
      <c r="H471" s="29"/>
      <c r="I471" s="29"/>
      <c r="J471" s="30"/>
      <c r="K471" s="42"/>
      <c r="L471" s="230"/>
      <c r="M471" s="54"/>
      <c r="N471" s="231"/>
      <c r="T471" s="229"/>
    </row>
    <row r="472">
      <c r="A472" s="20"/>
      <c r="B472" s="20"/>
      <c r="C472" s="21"/>
      <c r="D472" s="22"/>
      <c r="E472" s="23"/>
      <c r="F472" s="25"/>
      <c r="G472" s="26"/>
      <c r="H472" s="29"/>
      <c r="I472" s="29"/>
      <c r="J472" s="30"/>
      <c r="K472" s="42"/>
      <c r="L472" s="230"/>
      <c r="M472" s="54"/>
      <c r="N472" s="231"/>
      <c r="T472" s="229"/>
    </row>
    <row r="473">
      <c r="A473" s="20"/>
      <c r="B473" s="20"/>
      <c r="C473" s="21"/>
      <c r="D473" s="22"/>
      <c r="E473" s="23"/>
      <c r="F473" s="25"/>
      <c r="G473" s="26"/>
      <c r="H473" s="29"/>
      <c r="I473" s="29"/>
      <c r="J473" s="30"/>
      <c r="K473" s="42"/>
      <c r="L473" s="230"/>
      <c r="M473" s="54"/>
      <c r="T473" s="229"/>
    </row>
    <row r="474">
      <c r="A474" s="20"/>
      <c r="B474" s="20"/>
      <c r="C474" s="21"/>
      <c r="D474" s="22"/>
      <c r="E474" s="23"/>
      <c r="F474" s="25"/>
      <c r="G474" s="26"/>
      <c r="H474" s="29"/>
      <c r="I474" s="29"/>
      <c r="J474" s="30"/>
      <c r="K474" s="42"/>
      <c r="L474" s="230"/>
      <c r="M474" s="54"/>
      <c r="T474" s="229"/>
    </row>
    <row r="475">
      <c r="A475" s="20"/>
      <c r="B475" s="20"/>
      <c r="C475" s="21"/>
      <c r="D475" s="22"/>
      <c r="E475" s="23"/>
      <c r="F475" s="25"/>
      <c r="G475" s="26"/>
      <c r="H475" s="29"/>
      <c r="I475" s="29"/>
      <c r="J475" s="30"/>
      <c r="K475" s="42"/>
      <c r="L475" s="230"/>
      <c r="M475" s="54"/>
      <c r="N475" s="232"/>
      <c r="T475" s="229"/>
    </row>
    <row r="476">
      <c r="A476" s="20"/>
      <c r="B476" s="20"/>
      <c r="C476" s="21"/>
      <c r="D476" s="22"/>
      <c r="E476" s="23"/>
      <c r="F476" s="25"/>
      <c r="G476" s="26"/>
      <c r="H476" s="29"/>
      <c r="I476" s="29"/>
      <c r="J476" s="30"/>
      <c r="K476" s="42"/>
      <c r="L476" s="230"/>
      <c r="M476" s="252"/>
      <c r="T476" s="229"/>
    </row>
    <row r="477">
      <c r="A477" s="20"/>
      <c r="B477" s="20"/>
      <c r="C477" s="21"/>
      <c r="D477" s="22"/>
      <c r="E477" s="23"/>
      <c r="F477" s="25"/>
      <c r="G477" s="26"/>
      <c r="H477" s="29"/>
      <c r="I477" s="29"/>
      <c r="J477" s="30"/>
      <c r="K477" s="42"/>
      <c r="L477" s="230"/>
      <c r="M477" s="54"/>
      <c r="T477" s="229"/>
    </row>
    <row r="478">
      <c r="A478" s="20"/>
      <c r="B478" s="20"/>
      <c r="C478" s="21"/>
      <c r="D478" s="22"/>
      <c r="E478" s="23"/>
      <c r="F478" s="25"/>
      <c r="G478" s="26"/>
      <c r="H478" s="29"/>
      <c r="I478" s="29"/>
      <c r="J478" s="30"/>
      <c r="K478" s="42"/>
      <c r="L478" s="230"/>
      <c r="M478" s="54"/>
      <c r="T478" s="229"/>
    </row>
    <row r="479">
      <c r="A479" s="20"/>
      <c r="B479" s="20"/>
      <c r="C479" s="21"/>
      <c r="D479" s="22"/>
      <c r="E479" s="23"/>
      <c r="F479" s="25"/>
      <c r="G479" s="26"/>
      <c r="H479" s="29"/>
      <c r="I479" s="29"/>
      <c r="J479" s="30"/>
      <c r="K479" s="42"/>
      <c r="L479" s="230"/>
      <c r="M479" s="54"/>
      <c r="T479" s="229"/>
    </row>
    <row r="480">
      <c r="A480" s="20"/>
      <c r="B480" s="20"/>
      <c r="C480" s="21"/>
      <c r="D480" s="22"/>
      <c r="E480" s="23"/>
      <c r="F480" s="25"/>
      <c r="G480" s="26"/>
      <c r="H480" s="29"/>
      <c r="I480" s="29"/>
      <c r="J480" s="30"/>
      <c r="K480" s="42"/>
      <c r="L480" s="230"/>
      <c r="M480" s="54"/>
      <c r="T480" s="229"/>
    </row>
    <row r="481">
      <c r="A481" s="20"/>
      <c r="B481" s="20"/>
      <c r="C481" s="21"/>
      <c r="D481" s="22"/>
      <c r="E481" s="23"/>
      <c r="F481" s="25"/>
      <c r="G481" s="26"/>
      <c r="H481" s="29"/>
      <c r="I481" s="29"/>
      <c r="J481" s="30"/>
      <c r="K481" s="42"/>
      <c r="L481" s="230"/>
      <c r="M481" s="30"/>
      <c r="T481" s="229"/>
    </row>
    <row r="482">
      <c r="A482" s="20"/>
      <c r="B482" s="20"/>
      <c r="C482" s="21"/>
      <c r="D482" s="22"/>
      <c r="E482" s="23"/>
      <c r="F482" s="25"/>
      <c r="G482" s="26"/>
      <c r="H482" s="29"/>
      <c r="I482" s="29"/>
      <c r="J482" s="30"/>
      <c r="K482" s="42"/>
      <c r="L482" s="230"/>
      <c r="M482" s="54"/>
      <c r="T482" s="229"/>
    </row>
    <row r="483">
      <c r="A483" s="20"/>
      <c r="B483" s="20"/>
      <c r="C483" s="21"/>
      <c r="D483" s="22"/>
      <c r="E483" s="23"/>
      <c r="F483" s="25"/>
      <c r="G483" s="26"/>
      <c r="H483" s="29"/>
      <c r="I483" s="29"/>
      <c r="J483" s="30"/>
      <c r="K483" s="42"/>
      <c r="L483" s="230"/>
      <c r="M483" s="54"/>
      <c r="T483" s="229"/>
    </row>
    <row r="484">
      <c r="A484" s="20"/>
      <c r="B484" s="20"/>
      <c r="C484" s="21"/>
      <c r="D484" s="22"/>
      <c r="E484" s="23"/>
      <c r="F484" s="25"/>
      <c r="G484" s="26"/>
      <c r="H484" s="29"/>
      <c r="I484" s="29"/>
      <c r="J484" s="30"/>
      <c r="K484" s="42"/>
      <c r="L484" s="230"/>
      <c r="M484" s="54"/>
      <c r="N484" s="231"/>
      <c r="T484" s="229"/>
    </row>
    <row r="485">
      <c r="A485" s="20"/>
      <c r="B485" s="20"/>
      <c r="C485" s="21"/>
      <c r="D485" s="22"/>
      <c r="E485" s="23"/>
      <c r="F485" s="25"/>
      <c r="G485" s="26"/>
      <c r="H485" s="29"/>
      <c r="I485" s="29"/>
      <c r="J485" s="30"/>
      <c r="K485" s="42"/>
      <c r="L485" s="230"/>
      <c r="M485" s="54"/>
      <c r="T485" s="229"/>
    </row>
    <row r="486">
      <c r="A486" s="20"/>
      <c r="B486" s="20"/>
      <c r="C486" s="21"/>
      <c r="D486" s="22"/>
      <c r="E486" s="23"/>
      <c r="F486" s="25"/>
      <c r="G486" s="26"/>
      <c r="H486" s="29"/>
      <c r="I486" s="29"/>
      <c r="J486" s="30"/>
      <c r="K486" s="42"/>
      <c r="L486" s="230"/>
      <c r="M486" s="54"/>
      <c r="N486" s="231"/>
      <c r="T486" s="229"/>
    </row>
    <row r="487">
      <c r="A487" s="20"/>
      <c r="B487" s="20"/>
      <c r="C487" s="21"/>
      <c r="D487" s="22"/>
      <c r="E487" s="23"/>
      <c r="F487" s="25"/>
      <c r="G487" s="26"/>
      <c r="H487" s="29"/>
      <c r="I487" s="29"/>
      <c r="J487" s="30"/>
      <c r="K487" s="42"/>
      <c r="L487" s="230"/>
      <c r="M487" s="54"/>
      <c r="T487" s="229"/>
    </row>
    <row r="488">
      <c r="A488" s="20"/>
      <c r="B488" s="20"/>
      <c r="C488" s="21"/>
      <c r="D488" s="22"/>
      <c r="E488" s="23"/>
      <c r="F488" s="25"/>
      <c r="G488" s="26"/>
      <c r="H488" s="29"/>
      <c r="I488" s="29"/>
      <c r="J488" s="30"/>
      <c r="K488" s="42"/>
      <c r="L488" s="234"/>
      <c r="M488" s="54"/>
      <c r="T488" s="229"/>
    </row>
    <row r="489">
      <c r="A489" s="20"/>
      <c r="B489" s="20"/>
      <c r="C489" s="21"/>
      <c r="D489" s="22"/>
      <c r="E489" s="23"/>
      <c r="F489" s="25"/>
      <c r="G489" s="26"/>
      <c r="H489" s="29"/>
      <c r="I489" s="29"/>
      <c r="J489" s="30"/>
      <c r="K489" s="42"/>
      <c r="L489" s="230"/>
      <c r="M489" s="54"/>
      <c r="T489" s="229"/>
    </row>
    <row r="490">
      <c r="A490" s="20"/>
      <c r="B490" s="20"/>
      <c r="C490" s="21"/>
      <c r="D490" s="22"/>
      <c r="E490" s="23"/>
      <c r="F490" s="25"/>
      <c r="G490" s="26"/>
      <c r="H490" s="29"/>
      <c r="I490" s="29"/>
      <c r="J490" s="30"/>
      <c r="K490" s="42"/>
      <c r="L490" s="230"/>
      <c r="M490" s="54"/>
      <c r="N490" s="233"/>
      <c r="T490" s="229"/>
    </row>
    <row r="491">
      <c r="A491" s="20"/>
      <c r="B491" s="20"/>
      <c r="C491" s="21"/>
      <c r="D491" s="22"/>
      <c r="E491" s="23"/>
      <c r="F491" s="25"/>
      <c r="G491" s="26"/>
      <c r="H491" s="29"/>
      <c r="I491" s="29"/>
      <c r="J491" s="30"/>
      <c r="K491" s="42"/>
      <c r="L491" s="230"/>
      <c r="M491" s="54"/>
      <c r="T491" s="229"/>
    </row>
    <row r="492">
      <c r="A492" s="20"/>
      <c r="B492" s="20"/>
      <c r="C492" s="21"/>
      <c r="D492" s="22"/>
      <c r="E492" s="23"/>
      <c r="F492" s="25"/>
      <c r="G492" s="26"/>
      <c r="H492" s="29"/>
      <c r="I492" s="29"/>
      <c r="J492" s="30"/>
      <c r="K492" s="42"/>
      <c r="L492" s="230"/>
      <c r="M492" s="54"/>
      <c r="T492" s="229"/>
    </row>
    <row r="493">
      <c r="A493" s="20"/>
      <c r="B493" s="20"/>
      <c r="C493" s="21"/>
      <c r="D493" s="22"/>
      <c r="E493" s="23"/>
      <c r="F493" s="25"/>
      <c r="G493" s="26"/>
      <c r="H493" s="29"/>
      <c r="I493" s="29"/>
      <c r="J493" s="30"/>
      <c r="K493" s="42"/>
      <c r="L493" s="230"/>
      <c r="M493" s="54"/>
      <c r="N493" s="231"/>
      <c r="T493" s="229"/>
    </row>
    <row r="494">
      <c r="A494" s="20"/>
      <c r="B494" s="20"/>
      <c r="C494" s="21"/>
      <c r="D494" s="22"/>
      <c r="E494" s="23"/>
      <c r="F494" s="25"/>
      <c r="G494" s="26"/>
      <c r="H494" s="29"/>
      <c r="I494" s="29"/>
      <c r="J494" s="30"/>
      <c r="K494" s="42"/>
      <c r="L494" s="230"/>
      <c r="M494" s="54"/>
      <c r="T494" s="229"/>
    </row>
    <row r="495">
      <c r="A495" s="20"/>
      <c r="B495" s="20"/>
      <c r="C495" s="21"/>
      <c r="D495" s="22"/>
      <c r="E495" s="23"/>
      <c r="F495" s="25"/>
      <c r="G495" s="26"/>
      <c r="H495" s="29"/>
      <c r="I495" s="29"/>
      <c r="J495" s="30"/>
      <c r="K495" s="42"/>
      <c r="L495" s="230"/>
      <c r="M495" s="54"/>
      <c r="T495" s="229"/>
    </row>
    <row r="496">
      <c r="A496" s="20"/>
      <c r="B496" s="20"/>
      <c r="C496" s="21"/>
      <c r="D496" s="22"/>
      <c r="E496" s="23"/>
      <c r="F496" s="25"/>
      <c r="G496" s="26"/>
      <c r="H496" s="29"/>
      <c r="I496" s="29"/>
      <c r="J496" s="30"/>
      <c r="K496" s="42"/>
      <c r="L496" s="230"/>
      <c r="M496" s="54"/>
      <c r="T496" s="229"/>
    </row>
    <row r="497">
      <c r="A497" s="20"/>
      <c r="B497" s="20"/>
      <c r="C497" s="21"/>
      <c r="D497" s="22"/>
      <c r="E497" s="23"/>
      <c r="F497" s="25"/>
      <c r="G497" s="26"/>
      <c r="H497" s="28"/>
      <c r="I497" s="29"/>
      <c r="J497" s="30"/>
      <c r="K497" s="31"/>
      <c r="L497" s="28"/>
      <c r="M497" s="32"/>
      <c r="T497" s="229"/>
    </row>
    <row r="498">
      <c r="A498" s="36"/>
      <c r="B498" s="20"/>
      <c r="C498" s="21"/>
      <c r="D498" s="22"/>
      <c r="E498" s="23"/>
      <c r="F498" s="25"/>
      <c r="G498" s="26"/>
      <c r="H498" s="29"/>
      <c r="I498" s="29"/>
      <c r="J498" s="30"/>
      <c r="K498" s="42"/>
      <c r="L498" s="230"/>
      <c r="M498" s="54"/>
      <c r="T498" s="229"/>
    </row>
    <row r="499">
      <c r="A499" s="20"/>
      <c r="B499" s="20"/>
      <c r="C499" s="21"/>
      <c r="D499" s="22"/>
      <c r="E499" s="23"/>
      <c r="F499" s="25"/>
      <c r="G499" s="26"/>
      <c r="H499" s="29"/>
      <c r="I499" s="29"/>
      <c r="J499" s="30"/>
      <c r="K499" s="42"/>
      <c r="L499" s="230"/>
      <c r="M499" s="54"/>
      <c r="T499" s="229"/>
    </row>
    <row r="500">
      <c r="A500" s="20"/>
      <c r="B500" s="20"/>
      <c r="C500" s="21"/>
      <c r="D500" s="22"/>
      <c r="E500" s="23"/>
      <c r="F500" s="25"/>
      <c r="G500" s="26"/>
      <c r="H500" s="29"/>
      <c r="I500" s="29"/>
      <c r="J500" s="30"/>
      <c r="K500" s="42"/>
      <c r="L500" s="230"/>
      <c r="M500" s="54"/>
      <c r="T500" s="229"/>
    </row>
    <row r="501">
      <c r="A501" s="20"/>
      <c r="B501" s="20"/>
      <c r="C501" s="21"/>
      <c r="D501" s="22"/>
      <c r="E501" s="23"/>
      <c r="F501" s="25"/>
      <c r="G501" s="26"/>
      <c r="H501" s="29"/>
      <c r="I501" s="29"/>
      <c r="J501" s="30"/>
      <c r="K501" s="42"/>
      <c r="L501" s="230"/>
      <c r="M501" s="54"/>
      <c r="T501" s="229"/>
    </row>
    <row r="502">
      <c r="A502" s="20"/>
      <c r="B502" s="20"/>
      <c r="C502" s="21"/>
      <c r="D502" s="22"/>
      <c r="E502" s="23"/>
      <c r="F502" s="25"/>
      <c r="G502" s="26"/>
      <c r="H502" s="29"/>
      <c r="I502" s="29"/>
      <c r="J502" s="30"/>
      <c r="K502" s="42"/>
      <c r="L502" s="28"/>
      <c r="M502" s="54"/>
      <c r="T502" s="229"/>
    </row>
    <row r="503">
      <c r="A503" s="20"/>
      <c r="B503" s="20"/>
      <c r="C503" s="21"/>
      <c r="D503" s="22"/>
      <c r="E503" s="23"/>
      <c r="F503" s="25"/>
      <c r="G503" s="26"/>
      <c r="H503" s="29"/>
      <c r="I503" s="29"/>
      <c r="J503" s="30"/>
      <c r="K503" s="42"/>
      <c r="L503" s="230"/>
      <c r="M503" s="54"/>
      <c r="T503" s="229"/>
    </row>
    <row r="504">
      <c r="A504" s="20"/>
      <c r="B504" s="20"/>
      <c r="C504" s="21"/>
      <c r="D504" s="22"/>
      <c r="E504" s="23"/>
      <c r="F504" s="25"/>
      <c r="G504" s="26"/>
      <c r="H504" s="29"/>
      <c r="I504" s="29"/>
      <c r="J504" s="30"/>
      <c r="K504" s="42"/>
      <c r="L504" s="230"/>
      <c r="M504" s="54"/>
      <c r="N504" s="231"/>
      <c r="T504" s="229"/>
    </row>
    <row r="505">
      <c r="A505" s="20"/>
      <c r="B505" s="20"/>
      <c r="C505" s="21"/>
      <c r="D505" s="22"/>
      <c r="E505" s="23"/>
      <c r="F505" s="25"/>
      <c r="G505" s="26"/>
      <c r="H505" s="29"/>
      <c r="I505" s="29"/>
      <c r="J505" s="30"/>
      <c r="K505" s="42"/>
      <c r="L505" s="230"/>
      <c r="M505" s="54"/>
      <c r="N505" s="231"/>
      <c r="T505" s="229"/>
    </row>
    <row r="506">
      <c r="A506" s="20"/>
      <c r="B506" s="20"/>
      <c r="C506" s="21"/>
      <c r="D506" s="22"/>
      <c r="E506" s="23"/>
      <c r="F506" s="25"/>
      <c r="G506" s="26"/>
      <c r="H506" s="29"/>
      <c r="I506" s="29"/>
      <c r="J506" s="30"/>
      <c r="K506" s="42"/>
      <c r="L506" s="230"/>
      <c r="M506" s="54"/>
      <c r="N506" s="231"/>
      <c r="T506" s="229"/>
    </row>
    <row r="507">
      <c r="A507" s="20"/>
      <c r="B507" s="20"/>
      <c r="C507" s="21"/>
      <c r="D507" s="22"/>
      <c r="E507" s="23"/>
      <c r="F507" s="25"/>
      <c r="G507" s="26"/>
      <c r="H507" s="62"/>
      <c r="I507" s="62"/>
      <c r="J507" s="81"/>
      <c r="K507" s="64"/>
      <c r="L507" s="230"/>
      <c r="M507" s="66"/>
      <c r="N507" s="231"/>
      <c r="T507" s="229"/>
    </row>
    <row r="508">
      <c r="A508" s="20"/>
      <c r="B508" s="20"/>
      <c r="C508" s="21"/>
      <c r="D508" s="22"/>
      <c r="E508" s="23"/>
      <c r="F508" s="25"/>
      <c r="G508" s="26"/>
      <c r="H508" s="29"/>
      <c r="I508" s="29"/>
      <c r="J508" s="30"/>
      <c r="K508" s="42"/>
      <c r="L508" s="230"/>
      <c r="M508" s="54"/>
      <c r="T508" s="229"/>
    </row>
    <row r="509">
      <c r="A509" s="20"/>
      <c r="B509" s="20"/>
      <c r="C509" s="21"/>
      <c r="D509" s="22"/>
      <c r="E509" s="23"/>
      <c r="F509" s="25"/>
      <c r="G509" s="26"/>
      <c r="H509" s="29"/>
      <c r="I509" s="29"/>
      <c r="J509" s="30"/>
      <c r="K509" s="42"/>
      <c r="L509" s="230"/>
      <c r="M509" s="54"/>
      <c r="N509" s="231"/>
      <c r="T509" s="229"/>
    </row>
    <row r="510">
      <c r="A510" s="20"/>
      <c r="B510" s="20"/>
      <c r="C510" s="21"/>
      <c r="D510" s="22"/>
      <c r="E510" s="23"/>
      <c r="F510" s="25"/>
      <c r="G510" s="26"/>
      <c r="H510" s="29"/>
      <c r="I510" s="29"/>
      <c r="J510" s="30"/>
      <c r="K510" s="42"/>
      <c r="L510" s="230"/>
      <c r="M510" s="54"/>
      <c r="T510" s="229"/>
    </row>
    <row r="511">
      <c r="A511" s="20"/>
      <c r="B511" s="20"/>
      <c r="C511" s="21"/>
      <c r="D511" s="22"/>
      <c r="E511" s="23"/>
      <c r="F511" s="25"/>
      <c r="G511" s="26"/>
      <c r="H511" s="29"/>
      <c r="I511" s="29"/>
      <c r="J511" s="30"/>
      <c r="K511" s="42"/>
      <c r="L511" s="230"/>
      <c r="M511" s="54"/>
      <c r="T511" s="229"/>
    </row>
    <row r="512">
      <c r="A512" s="20"/>
      <c r="B512" s="20"/>
      <c r="C512" s="21"/>
      <c r="D512" s="22"/>
      <c r="E512" s="23"/>
      <c r="F512" s="25"/>
      <c r="G512" s="26"/>
      <c r="H512" s="29"/>
      <c r="I512" s="29"/>
      <c r="J512" s="30"/>
      <c r="K512" s="42"/>
      <c r="L512" s="230"/>
      <c r="M512" s="54"/>
      <c r="T512" s="229"/>
    </row>
    <row r="513">
      <c r="A513" s="122"/>
      <c r="B513" s="122"/>
      <c r="C513" s="242"/>
      <c r="D513" s="253"/>
      <c r="E513" s="236"/>
      <c r="F513" s="123"/>
      <c r="G513" s="135"/>
      <c r="H513" s="122"/>
      <c r="I513" s="122"/>
      <c r="J513" s="242"/>
      <c r="K513" s="254"/>
      <c r="L513" s="255"/>
      <c r="M513" s="73"/>
      <c r="T513" s="229"/>
    </row>
    <row r="514">
      <c r="A514" s="20"/>
      <c r="B514" s="20"/>
      <c r="C514" s="21"/>
      <c r="D514" s="22"/>
      <c r="E514" s="23"/>
      <c r="F514" s="25"/>
      <c r="G514" s="26"/>
      <c r="H514" s="29"/>
      <c r="I514" s="29"/>
      <c r="J514" s="30"/>
      <c r="K514" s="42"/>
      <c r="L514" s="230"/>
      <c r="M514" s="54"/>
      <c r="T514" s="229"/>
    </row>
    <row r="515">
      <c r="A515" s="20"/>
      <c r="B515" s="20"/>
      <c r="C515" s="21"/>
      <c r="D515" s="22"/>
      <c r="E515" s="23"/>
      <c r="F515" s="25"/>
      <c r="G515" s="26"/>
      <c r="H515" s="29"/>
      <c r="I515" s="29"/>
      <c r="J515" s="30"/>
      <c r="K515" s="42"/>
      <c r="L515" s="30"/>
      <c r="M515" s="79"/>
      <c r="T515" s="229"/>
    </row>
    <row r="516">
      <c r="A516" s="20"/>
      <c r="B516" s="20"/>
      <c r="C516" s="21"/>
      <c r="D516" s="22"/>
      <c r="E516" s="23"/>
      <c r="F516" s="25"/>
      <c r="G516" s="26"/>
      <c r="H516" s="29"/>
      <c r="I516" s="29"/>
      <c r="J516" s="30"/>
      <c r="K516" s="42"/>
      <c r="L516" s="230"/>
      <c r="M516" s="54"/>
      <c r="T516" s="229"/>
    </row>
    <row r="517">
      <c r="A517" s="20"/>
      <c r="B517" s="20"/>
      <c r="C517" s="21"/>
      <c r="D517" s="22"/>
      <c r="E517" s="23"/>
      <c r="F517" s="25"/>
      <c r="G517" s="26"/>
      <c r="H517" s="29"/>
      <c r="I517" s="29"/>
      <c r="J517" s="30"/>
      <c r="K517" s="42"/>
      <c r="L517" s="230"/>
      <c r="M517" s="54"/>
      <c r="T517" s="229"/>
    </row>
    <row r="518">
      <c r="A518" s="87"/>
      <c r="B518" s="87"/>
      <c r="C518" s="75"/>
      <c r="D518" s="149"/>
      <c r="E518" s="23"/>
      <c r="F518" s="155"/>
      <c r="G518" s="26"/>
      <c r="H518" s="62"/>
      <c r="I518" s="62"/>
      <c r="J518" s="81"/>
      <c r="K518" s="64"/>
      <c r="L518" s="256"/>
      <c r="M518" s="54"/>
      <c r="N518" s="238"/>
      <c r="T518" s="229"/>
    </row>
    <row r="519">
      <c r="A519" s="20"/>
      <c r="B519" s="20"/>
      <c r="C519" s="21"/>
      <c r="D519" s="22"/>
      <c r="E519" s="23"/>
      <c r="F519" s="25"/>
      <c r="G519" s="26"/>
      <c r="H519" s="29"/>
      <c r="I519" s="29"/>
      <c r="J519" s="30"/>
      <c r="K519" s="42"/>
      <c r="L519" s="239"/>
      <c r="M519" s="54"/>
      <c r="N519" s="240"/>
      <c r="T519" s="229"/>
    </row>
    <row r="520">
      <c r="A520" s="20"/>
      <c r="B520" s="20"/>
      <c r="C520" s="21"/>
      <c r="D520" s="22"/>
      <c r="E520" s="23"/>
      <c r="F520" s="25"/>
      <c r="G520" s="26"/>
      <c r="H520" s="29"/>
      <c r="I520" s="29"/>
      <c r="J520" s="30"/>
      <c r="K520" s="42"/>
      <c r="L520" s="239"/>
      <c r="M520" s="54"/>
      <c r="T520" s="229"/>
    </row>
    <row r="521">
      <c r="A521" s="20"/>
      <c r="B521" s="20"/>
      <c r="C521" s="21"/>
      <c r="D521" s="22"/>
      <c r="E521" s="23"/>
      <c r="F521" s="25"/>
      <c r="G521" s="26"/>
      <c r="H521" s="29"/>
      <c r="I521" s="29"/>
      <c r="J521" s="30"/>
      <c r="K521" s="42"/>
      <c r="L521" s="230"/>
      <c r="M521" s="54"/>
      <c r="T521" s="229"/>
    </row>
    <row r="522">
      <c r="A522" s="20"/>
      <c r="B522" s="20"/>
      <c r="C522" s="21"/>
      <c r="D522" s="22"/>
      <c r="E522" s="23"/>
      <c r="F522" s="25"/>
      <c r="G522" s="26"/>
      <c r="H522" s="29"/>
      <c r="I522" s="29"/>
      <c r="J522" s="30"/>
      <c r="K522" s="42"/>
      <c r="L522" s="230"/>
      <c r="M522" s="54"/>
      <c r="T522" s="229"/>
    </row>
    <row r="523">
      <c r="A523" s="20"/>
      <c r="B523" s="20"/>
      <c r="C523" s="21"/>
      <c r="D523" s="22"/>
      <c r="E523" s="23"/>
      <c r="F523" s="25"/>
      <c r="G523" s="26"/>
      <c r="H523" s="29"/>
      <c r="I523" s="29"/>
      <c r="J523" s="30"/>
      <c r="K523" s="42"/>
      <c r="L523" s="230"/>
      <c r="M523" s="54"/>
      <c r="T523" s="229"/>
    </row>
    <row r="524">
      <c r="A524" s="20"/>
      <c r="B524" s="20"/>
      <c r="C524" s="21"/>
      <c r="D524" s="22"/>
      <c r="E524" s="23"/>
      <c r="F524" s="25"/>
      <c r="G524" s="26"/>
      <c r="H524" s="29"/>
      <c r="I524" s="29"/>
      <c r="J524" s="30"/>
      <c r="K524" s="42"/>
      <c r="L524" s="230"/>
      <c r="M524" s="54"/>
      <c r="T524" s="229"/>
    </row>
    <row r="525">
      <c r="A525" s="20"/>
      <c r="B525" s="20"/>
      <c r="C525" s="21"/>
      <c r="D525" s="22"/>
      <c r="E525" s="23"/>
      <c r="F525" s="25"/>
      <c r="G525" s="26"/>
      <c r="H525" s="29"/>
      <c r="I525" s="29"/>
      <c r="J525" s="30"/>
      <c r="K525" s="42"/>
      <c r="L525" s="230"/>
      <c r="M525" s="54"/>
      <c r="T525" s="229"/>
    </row>
    <row r="526">
      <c r="A526" s="84"/>
      <c r="B526" s="84"/>
      <c r="C526" s="21"/>
      <c r="D526" s="22"/>
      <c r="E526" s="23"/>
      <c r="F526" s="25"/>
      <c r="G526" s="26"/>
      <c r="H526" s="28"/>
      <c r="I526" s="29"/>
      <c r="J526" s="30"/>
      <c r="K526" s="31"/>
      <c r="L526" s="121"/>
      <c r="M526" s="32"/>
      <c r="T526" s="229"/>
    </row>
    <row r="527">
      <c r="A527" s="84"/>
      <c r="B527" s="84"/>
      <c r="C527" s="21"/>
      <c r="D527" s="22"/>
      <c r="E527" s="23"/>
      <c r="F527" s="25"/>
      <c r="G527" s="26"/>
      <c r="H527" s="28"/>
      <c r="I527" s="29"/>
      <c r="J527" s="30"/>
      <c r="K527" s="31"/>
      <c r="L527" s="121"/>
      <c r="M527" s="32"/>
      <c r="T527" s="229"/>
    </row>
    <row r="528">
      <c r="A528" s="84"/>
      <c r="B528" s="84"/>
      <c r="C528" s="21"/>
      <c r="D528" s="22"/>
      <c r="E528" s="23"/>
      <c r="F528" s="25"/>
      <c r="G528" s="26"/>
      <c r="H528" s="241"/>
      <c r="I528" s="29"/>
      <c r="J528" s="29"/>
      <c r="K528" s="94"/>
      <c r="L528" s="92"/>
      <c r="M528" s="91"/>
      <c r="T528" s="229"/>
    </row>
    <row r="529">
      <c r="A529" s="84"/>
      <c r="B529" s="84"/>
      <c r="C529" s="21"/>
      <c r="D529" s="22"/>
      <c r="E529" s="23"/>
      <c r="F529" s="25"/>
      <c r="G529" s="26"/>
      <c r="H529" s="28"/>
      <c r="I529" s="29"/>
      <c r="J529" s="30"/>
      <c r="K529" s="31"/>
      <c r="L529" s="92"/>
      <c r="M529" s="32"/>
      <c r="T529" s="229"/>
    </row>
    <row r="530">
      <c r="A530" s="84"/>
      <c r="B530" s="84"/>
      <c r="C530" s="21"/>
      <c r="D530" s="22"/>
      <c r="E530" s="23"/>
      <c r="F530" s="25"/>
      <c r="G530" s="26"/>
      <c r="H530" s="262"/>
      <c r="I530" s="62"/>
      <c r="J530" s="81"/>
      <c r="K530" s="263"/>
      <c r="L530" s="121"/>
      <c r="M530" s="264"/>
      <c r="T530" s="229"/>
    </row>
    <row r="531">
      <c r="A531" s="84"/>
      <c r="B531" s="84"/>
      <c r="C531" s="21"/>
      <c r="D531" s="22"/>
      <c r="E531" s="23"/>
      <c r="F531" s="25"/>
      <c r="G531" s="26"/>
      <c r="H531" s="28"/>
      <c r="I531" s="29"/>
      <c r="J531" s="30"/>
      <c r="K531" s="31"/>
      <c r="L531" s="57"/>
      <c r="M531" s="32"/>
      <c r="N531" s="232"/>
      <c r="T531" s="229"/>
    </row>
    <row r="532">
      <c r="A532" s="84"/>
      <c r="B532" s="84"/>
      <c r="C532" s="21"/>
      <c r="D532" s="22"/>
      <c r="E532" s="23"/>
      <c r="F532" s="25"/>
      <c r="G532" s="26"/>
      <c r="H532" s="28"/>
      <c r="I532" s="29"/>
      <c r="J532" s="30"/>
      <c r="K532" s="31"/>
      <c r="L532" s="32"/>
      <c r="M532" s="32"/>
      <c r="N532" s="232"/>
      <c r="T532" s="229"/>
    </row>
    <row r="533">
      <c r="A533" s="84"/>
      <c r="B533" s="84"/>
      <c r="C533" s="21"/>
      <c r="D533" s="22"/>
      <c r="E533" s="23"/>
      <c r="F533" s="25"/>
      <c r="G533" s="26"/>
      <c r="H533" s="28"/>
      <c r="I533" s="29"/>
      <c r="J533" s="30"/>
      <c r="K533" s="31"/>
      <c r="L533" s="32"/>
      <c r="M533" s="32"/>
      <c r="N533" s="232"/>
      <c r="T533" s="229"/>
    </row>
    <row r="534">
      <c r="A534" s="84"/>
      <c r="B534" s="84"/>
      <c r="C534" s="21"/>
      <c r="D534" s="22"/>
      <c r="E534" s="23"/>
      <c r="F534" s="25"/>
      <c r="G534" s="26"/>
      <c r="H534" s="28"/>
      <c r="I534" s="29"/>
      <c r="J534" s="30"/>
      <c r="K534" s="31"/>
      <c r="L534" s="260"/>
      <c r="M534" s="32"/>
      <c r="N534" s="232"/>
      <c r="T534" s="229"/>
    </row>
    <row r="535">
      <c r="A535" s="84"/>
      <c r="B535" s="84"/>
      <c r="C535" s="21"/>
      <c r="D535" s="22"/>
      <c r="E535" s="23"/>
      <c r="F535" s="25"/>
      <c r="G535" s="26"/>
      <c r="H535" s="28"/>
      <c r="I535" s="29"/>
      <c r="J535" s="30"/>
      <c r="K535" s="31"/>
      <c r="L535" s="260"/>
      <c r="M535" s="32"/>
      <c r="N535" s="232"/>
      <c r="T535" s="229"/>
    </row>
    <row r="536">
      <c r="A536" s="84"/>
      <c r="B536" s="84"/>
      <c r="C536" s="21"/>
      <c r="D536" s="22"/>
      <c r="E536" s="23"/>
      <c r="F536" s="25"/>
      <c r="G536" s="26"/>
      <c r="H536" s="28"/>
      <c r="I536" s="29"/>
      <c r="J536" s="30"/>
      <c r="K536" s="31"/>
      <c r="L536" s="260"/>
      <c r="M536" s="32"/>
      <c r="N536" s="232"/>
      <c r="T536" s="229"/>
    </row>
    <row r="537">
      <c r="A537" s="84"/>
      <c r="B537" s="84"/>
      <c r="C537" s="21"/>
      <c r="D537" s="22"/>
      <c r="E537" s="23"/>
      <c r="F537" s="25"/>
      <c r="G537" s="26"/>
      <c r="H537" s="28"/>
      <c r="I537" s="29"/>
      <c r="J537" s="30"/>
      <c r="K537" s="31"/>
      <c r="L537" s="260"/>
      <c r="M537" s="32"/>
      <c r="N537" s="232"/>
      <c r="T537" s="229"/>
    </row>
    <row r="538">
      <c r="A538" s="84"/>
      <c r="B538" s="84"/>
      <c r="C538" s="21"/>
      <c r="D538" s="22"/>
      <c r="E538" s="23"/>
      <c r="F538" s="25"/>
      <c r="G538" s="26"/>
      <c r="H538" s="28"/>
      <c r="I538" s="29"/>
      <c r="J538" s="30"/>
      <c r="K538" s="31"/>
      <c r="L538" s="57"/>
      <c r="M538" s="57"/>
      <c r="N538" s="232"/>
      <c r="T538" s="229"/>
    </row>
    <row r="539">
      <c r="A539" s="84"/>
      <c r="B539" s="84"/>
      <c r="C539" s="21"/>
      <c r="D539" s="22"/>
      <c r="E539" s="23"/>
      <c r="F539" s="25"/>
      <c r="G539" s="26"/>
      <c r="H539" s="29"/>
      <c r="I539" s="29"/>
      <c r="J539" s="30"/>
      <c r="K539" s="42"/>
      <c r="L539" s="28"/>
      <c r="M539" s="54"/>
      <c r="N539" s="232"/>
      <c r="T539" s="229"/>
    </row>
    <row r="540">
      <c r="A540" s="20"/>
      <c r="B540" s="20"/>
      <c r="C540" s="21"/>
      <c r="D540" s="22"/>
      <c r="E540" s="23"/>
      <c r="F540" s="25"/>
      <c r="G540" s="26"/>
      <c r="H540" s="28"/>
      <c r="I540" s="29"/>
      <c r="J540" s="30"/>
      <c r="K540" s="31"/>
      <c r="L540" s="261"/>
      <c r="M540" s="32"/>
      <c r="N540" s="232"/>
      <c r="T540" s="229"/>
    </row>
    <row r="541">
      <c r="A541" s="20"/>
      <c r="B541" s="20"/>
      <c r="C541" s="21"/>
      <c r="D541" s="22"/>
      <c r="E541" s="23"/>
      <c r="F541" s="25"/>
      <c r="G541" s="26"/>
      <c r="H541" s="28"/>
      <c r="I541" s="29"/>
      <c r="J541" s="30"/>
      <c r="K541" s="31"/>
      <c r="L541" s="28"/>
      <c r="M541" s="32"/>
      <c r="T541" s="229"/>
    </row>
    <row r="542">
      <c r="A542" s="20"/>
      <c r="B542" s="20"/>
      <c r="C542" s="21"/>
      <c r="D542" s="22"/>
      <c r="E542" s="23"/>
      <c r="F542" s="25"/>
      <c r="G542" s="26"/>
      <c r="H542" s="28"/>
      <c r="I542" s="29"/>
      <c r="J542" s="30"/>
      <c r="K542" s="31"/>
      <c r="L542" s="230"/>
      <c r="M542" s="32"/>
      <c r="N542" s="232"/>
      <c r="T542" s="229"/>
    </row>
    <row r="543">
      <c r="A543" s="20"/>
      <c r="B543" s="20"/>
      <c r="C543" s="21"/>
      <c r="D543" s="22"/>
      <c r="E543" s="23"/>
      <c r="F543" s="25"/>
      <c r="G543" s="26"/>
      <c r="H543" s="28"/>
      <c r="I543" s="29"/>
      <c r="J543" s="30"/>
      <c r="K543" s="31"/>
      <c r="L543" s="230"/>
      <c r="M543" s="32"/>
      <c r="N543" s="232"/>
      <c r="T543" s="229"/>
    </row>
    <row r="544">
      <c r="A544" s="20"/>
      <c r="B544" s="20"/>
      <c r="C544" s="21"/>
      <c r="D544" s="22"/>
      <c r="E544" s="23"/>
      <c r="F544" s="25"/>
      <c r="G544" s="26"/>
      <c r="H544" s="262"/>
      <c r="I544" s="62"/>
      <c r="J544" s="81"/>
      <c r="K544" s="263"/>
      <c r="L544" s="230"/>
      <c r="M544" s="264"/>
      <c r="N544" s="232"/>
      <c r="T544" s="229"/>
    </row>
    <row r="545">
      <c r="A545" s="20"/>
      <c r="B545" s="20"/>
      <c r="C545" s="21"/>
      <c r="D545" s="22"/>
      <c r="E545" s="23"/>
      <c r="F545" s="25"/>
      <c r="G545" s="26"/>
      <c r="H545" s="28"/>
      <c r="I545" s="29"/>
      <c r="J545" s="30"/>
      <c r="K545" s="31"/>
      <c r="L545" s="230"/>
      <c r="M545" s="32"/>
      <c r="N545" s="232"/>
      <c r="T545" s="229"/>
    </row>
    <row r="546">
      <c r="A546" s="20"/>
      <c r="B546" s="20"/>
      <c r="C546" s="21"/>
      <c r="D546" s="22"/>
      <c r="E546" s="23"/>
      <c r="F546" s="25"/>
      <c r="G546" s="26"/>
      <c r="H546" s="28"/>
      <c r="I546" s="29"/>
      <c r="J546" s="30"/>
      <c r="K546" s="31"/>
      <c r="L546" s="239"/>
      <c r="M546" s="32"/>
      <c r="N546" s="232"/>
      <c r="T546" s="229"/>
    </row>
    <row r="547">
      <c r="A547" s="20"/>
      <c r="B547" s="20"/>
      <c r="C547" s="21"/>
      <c r="D547" s="22"/>
      <c r="E547" s="23"/>
      <c r="F547" s="25"/>
      <c r="G547" s="26"/>
      <c r="H547" s="28"/>
      <c r="I547" s="29"/>
      <c r="J547" s="30"/>
      <c r="K547" s="31"/>
      <c r="L547" s="230"/>
      <c r="M547" s="32"/>
      <c r="N547" s="232"/>
      <c r="T547" s="229"/>
    </row>
    <row r="548">
      <c r="A548" s="20"/>
      <c r="B548" s="20"/>
      <c r="C548" s="21"/>
      <c r="D548" s="22"/>
      <c r="E548" s="23"/>
      <c r="F548" s="25"/>
      <c r="G548" s="26"/>
      <c r="H548" s="28"/>
      <c r="I548" s="29"/>
      <c r="J548" s="30"/>
      <c r="K548" s="31"/>
      <c r="L548" s="230"/>
      <c r="M548" s="32"/>
      <c r="N548" s="232"/>
      <c r="T548" s="229"/>
    </row>
    <row r="549">
      <c r="A549" s="20"/>
      <c r="B549" s="20"/>
      <c r="C549" s="21"/>
      <c r="D549" s="22"/>
      <c r="E549" s="23"/>
      <c r="F549" s="25"/>
      <c r="G549" s="26"/>
      <c r="H549" s="28"/>
      <c r="I549" s="29"/>
      <c r="J549" s="30"/>
      <c r="K549" s="31"/>
      <c r="L549" s="230"/>
      <c r="M549" s="32"/>
      <c r="N549" s="232"/>
      <c r="T549" s="229"/>
    </row>
    <row r="550">
      <c r="A550" s="20"/>
      <c r="B550" s="20"/>
      <c r="C550" s="21"/>
      <c r="D550" s="22"/>
      <c r="E550" s="23"/>
      <c r="F550" s="25"/>
      <c r="G550" s="26"/>
      <c r="H550" s="28"/>
      <c r="I550" s="29"/>
      <c r="J550" s="30"/>
      <c r="K550" s="31"/>
      <c r="L550" s="230"/>
      <c r="M550" s="32"/>
      <c r="N550" s="232"/>
      <c r="T550" s="229"/>
    </row>
    <row r="551">
      <c r="A551" s="20"/>
      <c r="B551" s="20"/>
      <c r="C551" s="21"/>
      <c r="D551" s="22"/>
      <c r="E551" s="23"/>
      <c r="F551" s="25"/>
      <c r="G551" s="26"/>
      <c r="H551" s="28"/>
      <c r="I551" s="29"/>
      <c r="J551" s="30"/>
      <c r="K551" s="31"/>
      <c r="L551" s="230"/>
      <c r="M551" s="32"/>
      <c r="N551" s="232"/>
      <c r="T551" s="229"/>
    </row>
    <row r="552">
      <c r="A552" s="20"/>
      <c r="B552" s="20"/>
      <c r="C552" s="21"/>
      <c r="D552" s="22"/>
      <c r="E552" s="23"/>
      <c r="F552" s="25"/>
      <c r="G552" s="26"/>
      <c r="H552" s="28"/>
      <c r="I552" s="29"/>
      <c r="J552" s="30"/>
      <c r="K552" s="31"/>
      <c r="L552" s="230"/>
      <c r="M552" s="32"/>
      <c r="N552" s="232"/>
      <c r="T552" s="229"/>
    </row>
    <row r="553">
      <c r="A553" s="20"/>
      <c r="B553" s="20"/>
      <c r="C553" s="21"/>
      <c r="D553" s="22"/>
      <c r="E553" s="23"/>
      <c r="F553" s="25"/>
      <c r="G553" s="26"/>
      <c r="H553" s="28"/>
      <c r="I553" s="29"/>
      <c r="J553" s="30"/>
      <c r="K553" s="31"/>
      <c r="L553" s="230"/>
      <c r="M553" s="32"/>
      <c r="N553" s="232"/>
      <c r="T553" s="229"/>
    </row>
    <row r="554">
      <c r="A554" s="20"/>
      <c r="B554" s="20"/>
      <c r="C554" s="21"/>
      <c r="D554" s="22"/>
      <c r="E554" s="23"/>
      <c r="F554" s="25"/>
      <c r="G554" s="26"/>
      <c r="H554" s="28"/>
      <c r="I554" s="29"/>
      <c r="J554" s="30"/>
      <c r="K554" s="31"/>
      <c r="L554" s="230"/>
      <c r="M554" s="32"/>
      <c r="N554" s="232"/>
      <c r="T554" s="229"/>
    </row>
    <row r="555">
      <c r="A555" s="20"/>
      <c r="B555" s="20"/>
      <c r="C555" s="21"/>
      <c r="D555" s="22"/>
      <c r="E555" s="242"/>
      <c r="F555" s="25"/>
      <c r="G555" s="26"/>
      <c r="H555" s="28"/>
      <c r="I555" s="29"/>
      <c r="J555" s="30"/>
      <c r="K555" s="31"/>
      <c r="L555" s="230"/>
      <c r="M555" s="32"/>
      <c r="N555" s="232"/>
      <c r="T555" s="229"/>
    </row>
    <row r="556">
      <c r="A556" s="20"/>
      <c r="B556" s="20"/>
      <c r="C556" s="21"/>
      <c r="D556" s="22"/>
      <c r="E556" s="23"/>
      <c r="F556" s="25"/>
      <c r="G556" s="26"/>
      <c r="H556" s="28"/>
      <c r="I556" s="29"/>
      <c r="J556" s="30"/>
      <c r="K556" s="31"/>
      <c r="L556" s="265"/>
      <c r="M556" s="32"/>
      <c r="N556" s="232"/>
      <c r="T556" s="229"/>
    </row>
    <row r="557">
      <c r="A557" s="20"/>
      <c r="B557" s="20"/>
      <c r="C557" s="21"/>
      <c r="D557" s="22"/>
      <c r="E557" s="23"/>
      <c r="F557" s="25"/>
      <c r="G557" s="26"/>
      <c r="H557" s="28"/>
      <c r="I557" s="29"/>
      <c r="J557" s="30"/>
      <c r="K557" s="31"/>
      <c r="L557" s="246"/>
      <c r="M557" s="32"/>
      <c r="N557" s="232"/>
      <c r="T557" s="229"/>
    </row>
    <row r="558">
      <c r="A558" s="20"/>
      <c r="B558" s="20"/>
      <c r="C558" s="21"/>
      <c r="D558" s="22"/>
      <c r="E558" s="23"/>
      <c r="F558" s="25"/>
      <c r="G558" s="26"/>
      <c r="H558" s="28"/>
      <c r="I558" s="29"/>
      <c r="J558" s="30"/>
      <c r="K558" s="31"/>
      <c r="L558" s="28"/>
      <c r="M558" s="32"/>
      <c r="N558" s="232"/>
      <c r="T558" s="229"/>
    </row>
    <row r="559">
      <c r="A559" s="20"/>
      <c r="B559" s="20"/>
      <c r="C559" s="21"/>
      <c r="D559" s="22"/>
      <c r="E559" s="23"/>
      <c r="F559" s="25"/>
      <c r="G559" s="26"/>
      <c r="H559" s="28"/>
      <c r="I559" s="29"/>
      <c r="J559" s="30"/>
      <c r="K559" s="31"/>
      <c r="L559" s="28"/>
      <c r="M559" s="32"/>
      <c r="N559" s="232"/>
      <c r="T559" s="229"/>
    </row>
    <row r="560">
      <c r="A560" s="20"/>
      <c r="B560" s="20"/>
      <c r="C560" s="21"/>
      <c r="D560" s="22"/>
      <c r="E560" s="23"/>
      <c r="F560" s="25"/>
      <c r="G560" s="26"/>
      <c r="H560" s="28"/>
      <c r="I560" s="29"/>
      <c r="J560" s="30"/>
      <c r="K560" s="31"/>
      <c r="L560" s="28"/>
      <c r="M560" s="32"/>
      <c r="N560" s="232"/>
      <c r="T560" s="229"/>
    </row>
    <row r="561">
      <c r="A561" s="20"/>
      <c r="B561" s="20"/>
      <c r="C561" s="21"/>
      <c r="D561" s="22"/>
      <c r="E561" s="23"/>
      <c r="F561" s="25"/>
      <c r="G561" s="26"/>
      <c r="H561" s="28"/>
      <c r="I561" s="29"/>
      <c r="J561" s="30"/>
      <c r="K561" s="31"/>
      <c r="L561" s="28"/>
      <c r="M561" s="32"/>
      <c r="N561" s="232"/>
      <c r="T561" s="229"/>
    </row>
    <row r="562">
      <c r="A562" s="20"/>
      <c r="B562" s="20"/>
      <c r="C562" s="21"/>
      <c r="D562" s="22"/>
      <c r="E562" s="23"/>
      <c r="F562" s="25"/>
      <c r="G562" s="26"/>
      <c r="H562" s="28"/>
      <c r="I562" s="29"/>
      <c r="J562" s="30"/>
      <c r="K562" s="31"/>
      <c r="L562" s="262"/>
      <c r="M562" s="32"/>
      <c r="N562" s="232"/>
      <c r="T562" s="229"/>
    </row>
    <row r="563">
      <c r="A563" s="20"/>
      <c r="B563" s="20"/>
      <c r="C563" s="21"/>
      <c r="D563" s="22"/>
      <c r="E563" s="23"/>
      <c r="F563" s="25"/>
      <c r="G563" s="26"/>
      <c r="H563" s="28"/>
      <c r="I563" s="29"/>
      <c r="J563" s="30"/>
      <c r="K563" s="31"/>
      <c r="L563" s="28"/>
      <c r="M563" s="32"/>
      <c r="N563" s="232"/>
      <c r="T563" s="229"/>
    </row>
    <row r="564">
      <c r="A564" s="20"/>
      <c r="B564" s="20"/>
      <c r="C564" s="21"/>
      <c r="D564" s="22"/>
      <c r="E564" s="23"/>
      <c r="F564" s="25"/>
      <c r="G564" s="26"/>
      <c r="H564" s="28"/>
      <c r="I564" s="29"/>
      <c r="J564" s="30"/>
      <c r="K564" s="31"/>
      <c r="L564" s="28"/>
      <c r="M564" s="32"/>
      <c r="N564" s="232"/>
      <c r="T564" s="229"/>
    </row>
    <row r="565">
      <c r="A565" s="20"/>
      <c r="B565" s="20"/>
      <c r="C565" s="21"/>
      <c r="D565" s="22"/>
      <c r="E565" s="23"/>
      <c r="F565" s="25"/>
      <c r="G565" s="26"/>
      <c r="H565" s="28"/>
      <c r="I565" s="29"/>
      <c r="J565" s="30"/>
      <c r="K565" s="31"/>
      <c r="L565" s="28"/>
      <c r="M565" s="32"/>
      <c r="N565" s="232"/>
      <c r="T565" s="229"/>
    </row>
    <row r="566">
      <c r="A566" s="20"/>
      <c r="B566" s="20"/>
      <c r="C566" s="21"/>
      <c r="D566" s="22"/>
      <c r="E566" s="23"/>
      <c r="F566" s="25"/>
      <c r="G566" s="26"/>
      <c r="H566" s="28"/>
      <c r="I566" s="29"/>
      <c r="J566" s="30"/>
      <c r="K566" s="31"/>
      <c r="L566" s="28"/>
      <c r="M566" s="32"/>
      <c r="N566" s="232"/>
      <c r="T566" s="229"/>
    </row>
    <row r="567">
      <c r="A567" s="20"/>
      <c r="B567" s="20"/>
      <c r="C567" s="21"/>
      <c r="D567" s="22"/>
      <c r="E567" s="23"/>
      <c r="F567" s="25"/>
      <c r="G567" s="26"/>
      <c r="H567" s="28"/>
      <c r="I567" s="29"/>
      <c r="J567" s="30"/>
      <c r="K567" s="31"/>
      <c r="L567" s="57"/>
      <c r="M567" s="32"/>
      <c r="N567" s="232"/>
      <c r="T567" s="229"/>
    </row>
    <row r="568">
      <c r="A568" s="20"/>
      <c r="B568" s="20"/>
      <c r="C568" s="21"/>
      <c r="D568" s="22"/>
      <c r="E568" s="23"/>
      <c r="F568" s="25"/>
      <c r="G568" s="26"/>
      <c r="H568" s="28"/>
      <c r="I568" s="29"/>
      <c r="J568" s="30"/>
      <c r="K568" s="31"/>
      <c r="L568" s="28"/>
      <c r="M568" s="32"/>
      <c r="N568" s="232"/>
      <c r="P568" s="244"/>
      <c r="T568" s="245"/>
    </row>
    <row r="569">
      <c r="A569" s="20"/>
      <c r="B569" s="20"/>
      <c r="C569" s="21"/>
      <c r="D569" s="22"/>
      <c r="E569" s="23"/>
      <c r="F569" s="25"/>
      <c r="G569" s="26"/>
      <c r="H569" s="28"/>
      <c r="I569" s="29"/>
      <c r="J569" s="30"/>
      <c r="K569" s="31"/>
      <c r="L569" s="28"/>
      <c r="M569" s="32"/>
      <c r="N569" s="232"/>
      <c r="T569" s="229"/>
    </row>
    <row r="570">
      <c r="A570" s="20"/>
      <c r="B570" s="20"/>
      <c r="C570" s="21"/>
      <c r="D570" s="22"/>
      <c r="E570" s="23"/>
      <c r="F570" s="25"/>
      <c r="G570" s="26"/>
      <c r="H570" s="28"/>
      <c r="I570" s="29"/>
      <c r="J570" s="30"/>
      <c r="K570" s="31"/>
      <c r="L570" s="28"/>
      <c r="M570" s="32"/>
      <c r="N570" s="232"/>
      <c r="T570" s="229"/>
    </row>
    <row r="571">
      <c r="A571" s="20"/>
      <c r="B571" s="20"/>
      <c r="C571" s="21"/>
      <c r="D571" s="22"/>
      <c r="E571" s="23"/>
      <c r="F571" s="25"/>
      <c r="G571" s="26"/>
      <c r="H571" s="28"/>
      <c r="I571" s="29"/>
      <c r="J571" s="30"/>
      <c r="K571" s="31"/>
      <c r="L571" s="28"/>
      <c r="M571" s="32"/>
      <c r="N571" s="232"/>
      <c r="T571" s="229"/>
    </row>
    <row r="572">
      <c r="A572" s="20"/>
      <c r="B572" s="20"/>
      <c r="C572" s="21"/>
      <c r="D572" s="22"/>
      <c r="E572" s="23"/>
      <c r="F572" s="25"/>
      <c r="G572" s="26"/>
      <c r="H572" s="28"/>
      <c r="I572" s="29"/>
      <c r="J572" s="30"/>
      <c r="K572" s="31"/>
      <c r="L572" s="28"/>
      <c r="M572" s="32"/>
      <c r="N572" s="232"/>
      <c r="T572" s="229"/>
    </row>
    <row r="573">
      <c r="A573" s="20"/>
      <c r="B573" s="20"/>
      <c r="C573" s="21"/>
      <c r="D573" s="22"/>
      <c r="E573" s="23"/>
      <c r="F573" s="25"/>
      <c r="G573" s="26"/>
      <c r="H573" s="28"/>
      <c r="I573" s="29"/>
      <c r="J573" s="30"/>
      <c r="K573" s="31"/>
      <c r="L573" s="28"/>
      <c r="M573" s="32"/>
      <c r="N573" s="232"/>
      <c r="T573" s="229"/>
    </row>
    <row r="574">
      <c r="A574" s="20"/>
      <c r="B574" s="20"/>
      <c r="C574" s="21"/>
      <c r="D574" s="22"/>
      <c r="E574" s="23"/>
      <c r="F574" s="25"/>
      <c r="G574" s="26"/>
      <c r="H574" s="28"/>
      <c r="I574" s="29"/>
      <c r="J574" s="30"/>
      <c r="K574" s="31"/>
      <c r="L574" s="246"/>
      <c r="M574" s="32"/>
      <c r="N574" s="232"/>
      <c r="T574" s="229"/>
    </row>
    <row r="575">
      <c r="A575" s="84"/>
      <c r="B575" s="20"/>
      <c r="C575" s="21"/>
      <c r="D575" s="22"/>
      <c r="E575" s="23"/>
      <c r="F575" s="25"/>
      <c r="G575" s="26"/>
      <c r="H575" s="28"/>
      <c r="I575" s="29"/>
      <c r="J575" s="30"/>
      <c r="K575" s="42"/>
      <c r="L575" s="28"/>
      <c r="M575" s="32"/>
      <c r="N575" s="232"/>
      <c r="T575" s="229"/>
    </row>
    <row r="576">
      <c r="A576" s="20"/>
      <c r="B576" s="20"/>
      <c r="C576" s="21"/>
      <c r="D576" s="22"/>
      <c r="E576" s="23"/>
      <c r="F576" s="25"/>
      <c r="G576" s="26"/>
      <c r="H576" s="29"/>
      <c r="I576" s="29"/>
      <c r="J576" s="30"/>
      <c r="K576" s="42"/>
      <c r="L576" s="246"/>
      <c r="M576" s="54"/>
      <c r="N576" s="232"/>
      <c r="T576" s="229"/>
    </row>
    <row r="577">
      <c r="A577" s="20"/>
      <c r="B577" s="20"/>
      <c r="C577" s="21"/>
      <c r="D577" s="22"/>
      <c r="E577" s="23"/>
      <c r="F577" s="146"/>
      <c r="G577" s="26"/>
      <c r="H577" s="29"/>
      <c r="I577" s="29"/>
      <c r="J577" s="30"/>
      <c r="K577" s="42"/>
      <c r="L577" s="246"/>
      <c r="M577" s="54"/>
      <c r="N577" s="232"/>
      <c r="T577" s="229"/>
    </row>
    <row r="578">
      <c r="A578" s="20"/>
      <c r="B578" s="20"/>
      <c r="C578" s="21"/>
      <c r="D578" s="22"/>
      <c r="E578" s="23"/>
      <c r="F578" s="25"/>
      <c r="G578" s="26"/>
      <c r="H578" s="29"/>
      <c r="I578" s="29"/>
      <c r="J578" s="30"/>
      <c r="K578" s="42"/>
      <c r="L578" s="246"/>
      <c r="M578" s="54"/>
      <c r="T578" s="229"/>
    </row>
    <row r="579">
      <c r="A579" s="22"/>
      <c r="B579" s="22"/>
      <c r="C579" s="24"/>
      <c r="D579" s="22"/>
      <c r="E579" s="23"/>
      <c r="F579" s="25"/>
      <c r="G579" s="26"/>
      <c r="H579" s="150"/>
      <c r="I579" s="150"/>
      <c r="J579" s="272"/>
      <c r="K579" s="273"/>
      <c r="L579" s="247"/>
      <c r="M579" s="274"/>
      <c r="P579" s="244"/>
      <c r="T579" s="229"/>
    </row>
    <row r="580">
      <c r="A580" s="20"/>
      <c r="B580" s="20"/>
      <c r="C580" s="21"/>
      <c r="D580" s="22"/>
      <c r="E580" s="23"/>
      <c r="F580" s="25"/>
      <c r="G580" s="26"/>
      <c r="H580" s="29"/>
      <c r="I580" s="29"/>
      <c r="J580" s="30"/>
      <c r="K580" s="42"/>
      <c r="L580" s="246"/>
      <c r="M580" s="54"/>
      <c r="N580" s="232"/>
      <c r="T580" s="229"/>
    </row>
    <row r="581">
      <c r="A581" s="87"/>
      <c r="B581" s="87"/>
      <c r="C581" s="75"/>
      <c r="D581" s="22"/>
      <c r="E581" s="23"/>
      <c r="F581" s="25"/>
      <c r="G581" s="26"/>
      <c r="H581" s="62"/>
      <c r="I581" s="62"/>
      <c r="J581" s="81"/>
      <c r="K581" s="64"/>
      <c r="L581" s="181"/>
      <c r="M581" s="66"/>
      <c r="T581" s="229"/>
    </row>
    <row r="582">
      <c r="A582" s="87"/>
      <c r="B582" s="87"/>
      <c r="C582" s="75"/>
      <c r="D582" s="22"/>
      <c r="E582" s="23"/>
      <c r="F582" s="25"/>
      <c r="G582" s="26"/>
      <c r="H582" s="62"/>
      <c r="I582" s="62"/>
      <c r="J582" s="81"/>
      <c r="K582" s="64"/>
      <c r="L582" s="62"/>
      <c r="M582" s="66"/>
      <c r="T582" s="229"/>
    </row>
    <row r="583">
      <c r="A583" s="87"/>
      <c r="B583" s="87"/>
      <c r="C583" s="75"/>
      <c r="D583" s="22"/>
      <c r="E583" s="23"/>
      <c r="F583" s="25"/>
      <c r="G583" s="26"/>
      <c r="H583" s="62"/>
      <c r="I583" s="62"/>
      <c r="J583" s="81"/>
      <c r="K583" s="64"/>
      <c r="L583" s="246"/>
      <c r="M583" s="66"/>
      <c r="T583" s="229"/>
    </row>
    <row r="584">
      <c r="A584" s="87"/>
      <c r="B584" s="87"/>
      <c r="C584" s="75"/>
      <c r="D584" s="22"/>
      <c r="E584" s="23"/>
      <c r="F584" s="25"/>
      <c r="G584" s="26"/>
      <c r="H584" s="29"/>
      <c r="I584" s="62"/>
      <c r="J584" s="81"/>
      <c r="K584" s="64"/>
      <c r="L584" s="246"/>
      <c r="M584" s="66"/>
      <c r="T584" s="229"/>
    </row>
    <row r="585">
      <c r="A585" s="87"/>
      <c r="B585" s="87"/>
      <c r="C585" s="75"/>
      <c r="D585" s="22"/>
      <c r="E585" s="23"/>
      <c r="F585" s="25"/>
      <c r="G585" s="26"/>
      <c r="H585" s="62"/>
      <c r="I585" s="62"/>
      <c r="J585" s="81"/>
      <c r="K585" s="64"/>
      <c r="L585" s="181"/>
      <c r="M585" s="66"/>
      <c r="T585" s="229"/>
    </row>
    <row r="586">
      <c r="A586" s="87"/>
      <c r="B586" s="87"/>
      <c r="C586" s="75"/>
      <c r="D586" s="20"/>
      <c r="E586" s="23"/>
      <c r="F586" s="25"/>
      <c r="G586" s="26"/>
      <c r="H586" s="62"/>
      <c r="I586" s="62"/>
      <c r="J586" s="81"/>
      <c r="K586" s="64"/>
      <c r="L586" s="181"/>
      <c r="M586" s="66"/>
      <c r="T586" s="229"/>
    </row>
    <row r="587">
      <c r="A587" s="87"/>
      <c r="B587" s="87"/>
      <c r="C587" s="75"/>
      <c r="D587" s="22"/>
      <c r="E587" s="23"/>
      <c r="F587" s="25"/>
      <c r="G587" s="26"/>
      <c r="H587" s="62"/>
      <c r="I587" s="62"/>
      <c r="J587" s="81"/>
      <c r="K587" s="64"/>
      <c r="L587" s="181"/>
      <c r="M587" s="66"/>
      <c r="T587" s="229"/>
    </row>
    <row r="588">
      <c r="A588" s="87"/>
      <c r="B588" s="87"/>
      <c r="C588" s="75"/>
      <c r="D588" s="22"/>
      <c r="E588" s="23"/>
      <c r="F588" s="25"/>
      <c r="G588" s="26"/>
      <c r="H588" s="62"/>
      <c r="I588" s="62"/>
      <c r="J588" s="81"/>
      <c r="K588" s="64"/>
      <c r="L588" s="181"/>
      <c r="M588" s="66"/>
      <c r="N588" s="231"/>
      <c r="T588" s="229"/>
    </row>
    <row r="589">
      <c r="A589" s="87"/>
      <c r="B589" s="87"/>
      <c r="C589" s="75"/>
      <c r="D589" s="22"/>
      <c r="E589" s="23"/>
      <c r="F589" s="25"/>
      <c r="G589" s="26"/>
      <c r="H589" s="62"/>
      <c r="I589" s="62"/>
      <c r="J589" s="81"/>
      <c r="K589" s="64"/>
      <c r="L589" s="181"/>
      <c r="M589" s="66"/>
      <c r="N589" s="231"/>
      <c r="T589" s="229"/>
    </row>
    <row r="590">
      <c r="A590" s="87"/>
      <c r="B590" s="87"/>
      <c r="C590" s="75"/>
      <c r="D590" s="22"/>
      <c r="E590" s="23"/>
      <c r="F590" s="25"/>
      <c r="G590" s="26"/>
      <c r="H590" s="62"/>
      <c r="I590" s="62"/>
      <c r="J590" s="81"/>
      <c r="K590" s="64"/>
      <c r="L590" s="181"/>
      <c r="M590" s="66"/>
      <c r="N590" s="231"/>
      <c r="T590" s="229"/>
    </row>
    <row r="591">
      <c r="A591" s="87"/>
      <c r="B591" s="87"/>
      <c r="C591" s="75"/>
      <c r="D591" s="149"/>
      <c r="E591" s="23"/>
      <c r="F591" s="44"/>
      <c r="G591" s="26"/>
      <c r="H591" s="62"/>
      <c r="I591" s="62"/>
      <c r="J591" s="81"/>
      <c r="K591" s="64"/>
      <c r="L591" s="248"/>
      <c r="M591" s="66"/>
      <c r="N591" s="231"/>
      <c r="T591" s="229"/>
    </row>
    <row r="592">
      <c r="A592" s="87"/>
      <c r="B592" s="87"/>
      <c r="C592" s="75"/>
      <c r="D592" s="22"/>
      <c r="E592" s="23"/>
      <c r="F592" s="44"/>
      <c r="G592" s="26"/>
      <c r="H592" s="62"/>
      <c r="I592" s="62"/>
      <c r="J592" s="81"/>
      <c r="K592" s="64"/>
      <c r="L592" s="181"/>
      <c r="M592" s="66"/>
      <c r="T592" s="229"/>
    </row>
    <row r="593">
      <c r="A593" s="87"/>
      <c r="B593" s="87"/>
      <c r="C593" s="75"/>
      <c r="D593" s="22"/>
      <c r="E593" s="23"/>
      <c r="F593" s="25"/>
      <c r="G593" s="26"/>
      <c r="H593" s="62"/>
      <c r="I593" s="62"/>
      <c r="J593" s="81"/>
      <c r="K593" s="64"/>
      <c r="L593" s="181"/>
      <c r="M593" s="66"/>
      <c r="T593" s="229"/>
    </row>
    <row r="594">
      <c r="A594" s="87"/>
      <c r="B594" s="87"/>
      <c r="C594" s="75"/>
      <c r="D594" s="22"/>
      <c r="E594" s="23"/>
      <c r="F594" s="25"/>
      <c r="G594" s="26"/>
      <c r="H594" s="29"/>
      <c r="I594" s="62"/>
      <c r="J594" s="81"/>
      <c r="K594" s="64"/>
      <c r="L594" s="181"/>
      <c r="M594" s="66"/>
      <c r="T594" s="229"/>
    </row>
    <row r="595">
      <c r="A595" s="87"/>
      <c r="B595" s="87"/>
      <c r="C595" s="75"/>
      <c r="D595" s="22"/>
      <c r="E595" s="23"/>
      <c r="F595" s="25"/>
      <c r="G595" s="26"/>
      <c r="H595" s="62"/>
      <c r="I595" s="62"/>
      <c r="J595" s="81"/>
      <c r="K595" s="64"/>
      <c r="L595" s="181"/>
      <c r="M595" s="66"/>
      <c r="T595" s="229"/>
    </row>
    <row r="596">
      <c r="A596" s="87"/>
      <c r="B596" s="87"/>
      <c r="C596" s="75"/>
      <c r="D596" s="22"/>
      <c r="E596" s="23"/>
      <c r="F596" s="25"/>
      <c r="G596" s="26"/>
      <c r="H596" s="62"/>
      <c r="I596" s="62"/>
      <c r="J596" s="81"/>
      <c r="K596" s="64"/>
      <c r="L596" s="181"/>
      <c r="M596" s="66"/>
      <c r="T596" s="229"/>
    </row>
    <row r="597">
      <c r="A597" s="20"/>
      <c r="B597" s="87"/>
      <c r="C597" s="75"/>
      <c r="D597" s="22"/>
      <c r="E597" s="23"/>
      <c r="F597" s="25"/>
      <c r="G597" s="26"/>
      <c r="H597" s="62"/>
      <c r="I597" s="62"/>
      <c r="J597" s="81"/>
      <c r="K597" s="64"/>
      <c r="L597" s="256"/>
      <c r="M597" s="66"/>
      <c r="T597" s="229"/>
    </row>
    <row r="598">
      <c r="A598" s="87"/>
      <c r="B598" s="87"/>
      <c r="C598" s="75"/>
      <c r="D598" s="22"/>
      <c r="E598" s="23"/>
      <c r="F598" s="25"/>
      <c r="G598" s="26"/>
      <c r="H598" s="62"/>
      <c r="I598" s="62"/>
      <c r="J598" s="81"/>
      <c r="K598" s="64"/>
      <c r="L598" s="181"/>
      <c r="M598" s="66"/>
      <c r="T598" s="229"/>
    </row>
    <row r="599">
      <c r="A599" s="87"/>
      <c r="B599" s="87"/>
      <c r="C599" s="75"/>
      <c r="D599" s="22"/>
      <c r="E599" s="23"/>
      <c r="F599" s="25"/>
      <c r="G599" s="26"/>
      <c r="H599" s="62"/>
      <c r="I599" s="62"/>
      <c r="J599" s="81"/>
      <c r="K599" s="64"/>
      <c r="L599" s="181"/>
      <c r="M599" s="66"/>
      <c r="T599" s="229"/>
    </row>
    <row r="600">
      <c r="A600" s="87"/>
      <c r="B600" s="87"/>
      <c r="C600" s="75"/>
      <c r="D600" s="22"/>
      <c r="E600" s="23"/>
      <c r="F600" s="25"/>
      <c r="G600" s="26"/>
      <c r="H600" s="62"/>
      <c r="I600" s="29"/>
      <c r="J600" s="81"/>
      <c r="K600" s="42"/>
      <c r="L600" s="181"/>
      <c r="M600" s="66"/>
      <c r="T600" s="229"/>
    </row>
    <row r="601">
      <c r="A601" s="87"/>
      <c r="B601" s="87"/>
      <c r="C601" s="75"/>
      <c r="D601" s="22"/>
      <c r="E601" s="23"/>
      <c r="F601" s="25"/>
      <c r="G601" s="26"/>
      <c r="H601" s="62"/>
      <c r="I601" s="62"/>
      <c r="J601" s="81"/>
      <c r="K601" s="64"/>
      <c r="L601" s="248"/>
      <c r="M601" s="66"/>
      <c r="T601" s="229"/>
    </row>
    <row r="602">
      <c r="A602" s="87"/>
      <c r="B602" s="87"/>
      <c r="C602" s="75"/>
      <c r="D602" s="22"/>
      <c r="E602" s="23"/>
      <c r="F602" s="25"/>
      <c r="G602" s="26"/>
      <c r="H602" s="62"/>
      <c r="I602" s="62"/>
      <c r="J602" s="81"/>
      <c r="K602" s="64"/>
      <c r="L602" s="246"/>
      <c r="M602" s="66"/>
      <c r="T602" s="229"/>
    </row>
    <row r="603">
      <c r="A603" s="87"/>
      <c r="B603" s="87"/>
      <c r="C603" s="75"/>
      <c r="D603" s="22"/>
      <c r="E603" s="23"/>
      <c r="F603" s="25"/>
      <c r="G603" s="26"/>
      <c r="H603" s="29"/>
      <c r="I603" s="62"/>
      <c r="J603" s="81"/>
      <c r="K603" s="42"/>
      <c r="L603" s="181"/>
      <c r="M603" s="66"/>
      <c r="T603" s="229"/>
    </row>
    <row r="604">
      <c r="A604" s="87"/>
      <c r="B604" s="87"/>
      <c r="C604" s="75"/>
      <c r="D604" s="22"/>
      <c r="E604" s="23"/>
      <c r="F604" s="25"/>
      <c r="G604" s="26"/>
      <c r="H604" s="62"/>
      <c r="I604" s="62"/>
      <c r="J604" s="81"/>
      <c r="K604" s="64"/>
      <c r="L604" s="181"/>
      <c r="M604" s="66"/>
      <c r="T604" s="229"/>
    </row>
    <row r="605">
      <c r="A605" s="87"/>
      <c r="B605" s="87"/>
      <c r="C605" s="75"/>
      <c r="D605" s="22"/>
      <c r="E605" s="23"/>
      <c r="F605" s="25"/>
      <c r="G605" s="26"/>
      <c r="H605" s="29"/>
      <c r="I605" s="29"/>
      <c r="J605" s="30"/>
      <c r="K605" s="42"/>
      <c r="L605" s="246"/>
      <c r="M605" s="66"/>
      <c r="T605" s="229"/>
    </row>
    <row r="606">
      <c r="A606" s="87"/>
      <c r="B606" s="87"/>
      <c r="C606" s="75"/>
      <c r="D606" s="22"/>
      <c r="E606" s="23"/>
      <c r="F606" s="25"/>
      <c r="G606" s="26"/>
      <c r="H606" s="62"/>
      <c r="I606" s="62"/>
      <c r="J606" s="81"/>
      <c r="K606" s="64"/>
      <c r="L606" s="246"/>
      <c r="M606" s="54"/>
      <c r="T606" s="229"/>
    </row>
    <row r="607">
      <c r="A607" s="87"/>
      <c r="B607" s="87"/>
      <c r="C607" s="75"/>
      <c r="D607" s="22"/>
      <c r="E607" s="23"/>
      <c r="F607" s="25"/>
      <c r="G607" s="26"/>
      <c r="H607" s="62"/>
      <c r="I607" s="62"/>
      <c r="J607" s="81"/>
      <c r="K607" s="64"/>
      <c r="L607" s="268"/>
      <c r="M607" s="66"/>
      <c r="T607" s="229"/>
    </row>
    <row r="608">
      <c r="A608" s="87"/>
      <c r="B608" s="87"/>
      <c r="C608" s="138"/>
      <c r="D608" s="22"/>
      <c r="E608" s="23"/>
      <c r="F608" s="25"/>
      <c r="G608" s="26"/>
      <c r="H608" s="62"/>
      <c r="I608" s="160"/>
      <c r="J608" s="251"/>
      <c r="K608" s="64"/>
      <c r="L608" s="181"/>
      <c r="M608" s="66"/>
      <c r="N608" s="226"/>
      <c r="O608" s="226"/>
      <c r="P608" s="244"/>
      <c r="T608" s="229"/>
    </row>
    <row r="609">
      <c r="A609" s="87"/>
      <c r="B609" s="87"/>
      <c r="C609" s="75"/>
      <c r="D609" s="22"/>
      <c r="E609" s="23"/>
      <c r="F609" s="25"/>
      <c r="G609" s="26"/>
      <c r="H609" s="62"/>
      <c r="I609" s="62"/>
      <c r="J609" s="81"/>
      <c r="K609" s="64"/>
      <c r="L609" s="181"/>
      <c r="M609" s="66"/>
      <c r="T609" s="229"/>
    </row>
    <row r="610">
      <c r="A610" s="87"/>
      <c r="B610" s="20"/>
      <c r="C610" s="75"/>
      <c r="D610" s="22"/>
      <c r="E610" s="23"/>
      <c r="F610" s="25"/>
      <c r="G610" s="26"/>
      <c r="H610" s="62"/>
      <c r="I610" s="62"/>
      <c r="J610" s="81"/>
      <c r="K610" s="64"/>
      <c r="L610" s="181"/>
      <c r="M610" s="66"/>
      <c r="T610" s="229"/>
    </row>
    <row r="611">
      <c r="A611" s="87"/>
      <c r="B611" s="87"/>
      <c r="C611" s="75"/>
      <c r="D611" s="20"/>
      <c r="E611" s="23"/>
      <c r="F611" s="25"/>
      <c r="G611" s="26"/>
      <c r="H611" s="62"/>
      <c r="I611" s="62"/>
      <c r="J611" s="81"/>
      <c r="K611" s="64"/>
      <c r="L611" s="133"/>
      <c r="M611" s="66"/>
      <c r="T611" s="229"/>
    </row>
    <row r="612">
      <c r="A612" s="87"/>
      <c r="B612" s="87"/>
      <c r="C612" s="75"/>
      <c r="D612" s="22"/>
      <c r="E612" s="23"/>
      <c r="F612" s="25"/>
      <c r="G612" s="26"/>
      <c r="H612" s="62"/>
      <c r="I612" s="62"/>
      <c r="J612" s="81"/>
      <c r="K612" s="64"/>
      <c r="L612" s="246"/>
      <c r="M612" s="66"/>
      <c r="N612" s="231"/>
      <c r="T612" s="229"/>
    </row>
    <row r="613">
      <c r="A613" s="87"/>
      <c r="B613" s="87"/>
      <c r="C613" s="75"/>
      <c r="D613" s="22"/>
      <c r="E613" s="23"/>
      <c r="F613" s="25"/>
      <c r="G613" s="26"/>
      <c r="H613" s="62"/>
      <c r="I613" s="62"/>
      <c r="J613" s="81"/>
      <c r="K613" s="64"/>
      <c r="L613" s="181"/>
      <c r="M613" s="66"/>
      <c r="T613" s="229"/>
    </row>
    <row r="614">
      <c r="A614" s="87"/>
      <c r="B614" s="87"/>
      <c r="C614" s="75"/>
      <c r="D614" s="22"/>
      <c r="E614" s="23"/>
      <c r="F614" s="25"/>
      <c r="G614" s="26"/>
      <c r="H614" s="62"/>
      <c r="I614" s="62"/>
      <c r="J614" s="81"/>
      <c r="K614" s="64"/>
      <c r="L614" s="181"/>
      <c r="M614" s="66"/>
      <c r="T614" s="229"/>
    </row>
    <row r="615">
      <c r="A615" s="87"/>
      <c r="B615" s="87"/>
      <c r="C615" s="75"/>
      <c r="D615" s="22"/>
      <c r="E615" s="23"/>
      <c r="F615" s="25"/>
      <c r="G615" s="26"/>
      <c r="H615" s="62"/>
      <c r="I615" s="62"/>
      <c r="J615" s="81"/>
      <c r="K615" s="64"/>
      <c r="L615" s="181"/>
      <c r="M615" s="66"/>
      <c r="T615" s="229"/>
    </row>
    <row r="616">
      <c r="A616" s="87"/>
      <c r="B616" s="87"/>
      <c r="C616" s="75"/>
      <c r="D616" s="149"/>
      <c r="E616" s="23"/>
      <c r="F616" s="25"/>
      <c r="G616" s="26"/>
      <c r="H616" s="62"/>
      <c r="I616" s="62"/>
      <c r="J616" s="81"/>
      <c r="K616" s="64"/>
      <c r="L616" s="181"/>
      <c r="M616" s="66"/>
      <c r="T616" s="229"/>
    </row>
    <row r="617">
      <c r="A617" s="87"/>
      <c r="B617" s="87"/>
      <c r="C617" s="75"/>
      <c r="D617" s="22"/>
      <c r="E617" s="23"/>
      <c r="F617" s="25"/>
      <c r="G617" s="26"/>
      <c r="H617" s="62"/>
      <c r="I617" s="62"/>
      <c r="J617" s="81"/>
      <c r="K617" s="64"/>
      <c r="L617" s="181"/>
      <c r="M617" s="66"/>
      <c r="T617" s="229"/>
    </row>
    <row r="618">
      <c r="A618" s="67"/>
      <c r="B618" s="67"/>
      <c r="C618" s="75"/>
      <c r="D618" s="22"/>
      <c r="E618" s="23"/>
      <c r="F618" s="25"/>
      <c r="G618" s="26"/>
      <c r="H618" s="29"/>
      <c r="I618" s="62"/>
      <c r="J618" s="81"/>
      <c r="K618" s="64"/>
      <c r="L618" s="181"/>
      <c r="M618" s="66"/>
      <c r="T618" s="229"/>
    </row>
    <row r="619">
      <c r="A619" s="87"/>
      <c r="B619" s="87"/>
      <c r="C619" s="75"/>
      <c r="D619" s="22"/>
      <c r="E619" s="23"/>
      <c r="F619" s="25"/>
      <c r="G619" s="26"/>
      <c r="H619" s="62"/>
      <c r="I619" s="62"/>
      <c r="J619" s="81"/>
      <c r="K619" s="64"/>
      <c r="L619" s="181"/>
      <c r="M619" s="66"/>
      <c r="T619" s="229"/>
    </row>
    <row r="620">
      <c r="A620" s="87"/>
      <c r="B620" s="87"/>
      <c r="C620" s="75"/>
      <c r="D620" s="22"/>
      <c r="E620" s="23"/>
      <c r="F620" s="25"/>
      <c r="G620" s="26"/>
      <c r="H620" s="62"/>
      <c r="I620" s="62"/>
      <c r="J620" s="81"/>
      <c r="K620" s="64"/>
      <c r="L620" s="181"/>
      <c r="M620" s="66"/>
      <c r="T620" s="229"/>
    </row>
    <row r="621">
      <c r="A621" s="87"/>
      <c r="B621" s="87"/>
      <c r="C621" s="75"/>
      <c r="D621" s="20"/>
      <c r="E621" s="23"/>
      <c r="F621" s="25"/>
      <c r="G621" s="26"/>
      <c r="H621" s="62"/>
      <c r="I621" s="62"/>
      <c r="J621" s="81"/>
      <c r="K621" s="64"/>
      <c r="L621" s="181"/>
      <c r="M621" s="66"/>
      <c r="P621" s="244"/>
      <c r="T621" s="229"/>
    </row>
    <row r="622">
      <c r="A622" s="87"/>
      <c r="B622" s="87"/>
      <c r="C622" s="75"/>
      <c r="D622" s="22"/>
      <c r="E622" s="23"/>
      <c r="F622" s="25"/>
      <c r="G622" s="26"/>
      <c r="H622" s="62"/>
      <c r="I622" s="62"/>
      <c r="J622" s="81"/>
      <c r="K622" s="64"/>
      <c r="L622" s="181"/>
      <c r="M622" s="66"/>
      <c r="N622" s="231"/>
      <c r="T622" s="229"/>
    </row>
    <row r="623">
      <c r="A623" s="20"/>
      <c r="B623" s="20"/>
      <c r="C623" s="21"/>
      <c r="D623" s="22"/>
      <c r="E623" s="23"/>
      <c r="F623" s="25"/>
      <c r="G623" s="26"/>
      <c r="H623" s="29"/>
      <c r="I623" s="29"/>
      <c r="J623" s="30"/>
      <c r="K623" s="42"/>
      <c r="L623" s="246"/>
      <c r="M623" s="54"/>
      <c r="T623" s="229"/>
    </row>
    <row r="624">
      <c r="A624" s="87"/>
      <c r="B624" s="87"/>
      <c r="C624" s="75"/>
      <c r="D624" s="22"/>
      <c r="E624" s="23"/>
      <c r="F624" s="25"/>
      <c r="G624" s="26"/>
      <c r="H624" s="62"/>
      <c r="I624" s="62"/>
      <c r="J624" s="81"/>
      <c r="K624" s="64"/>
      <c r="L624" s="181"/>
      <c r="M624" s="66"/>
      <c r="T624" s="229"/>
    </row>
    <row r="625">
      <c r="A625" s="87"/>
      <c r="B625" s="87"/>
      <c r="C625" s="75"/>
      <c r="D625" s="22"/>
      <c r="E625" s="23"/>
      <c r="F625" s="25"/>
      <c r="G625" s="26"/>
      <c r="H625" s="62"/>
      <c r="I625" s="62"/>
      <c r="J625" s="81"/>
      <c r="K625" s="64"/>
      <c r="L625" s="181"/>
      <c r="M625" s="66"/>
      <c r="T625" s="229"/>
    </row>
    <row r="626">
      <c r="A626" s="87"/>
      <c r="B626" s="87"/>
      <c r="C626" s="75"/>
      <c r="D626" s="149"/>
      <c r="E626" s="23"/>
      <c r="F626" s="25"/>
      <c r="G626" s="26"/>
      <c r="H626" s="62"/>
      <c r="I626" s="62"/>
      <c r="J626" s="81"/>
      <c r="K626" s="64"/>
      <c r="L626" s="181"/>
      <c r="M626" s="66"/>
      <c r="T626" s="229"/>
    </row>
    <row r="627">
      <c r="A627" s="87"/>
      <c r="B627" s="87"/>
      <c r="C627" s="75"/>
      <c r="D627" s="20"/>
      <c r="E627" s="23"/>
      <c r="F627" s="25"/>
      <c r="G627" s="26"/>
      <c r="H627" s="62"/>
      <c r="I627" s="62"/>
      <c r="J627" s="81"/>
      <c r="K627" s="64"/>
      <c r="L627" s="256"/>
      <c r="M627" s="66"/>
      <c r="T627" s="229"/>
    </row>
    <row r="628">
      <c r="A628" s="87"/>
      <c r="B628" s="87"/>
      <c r="C628" s="75"/>
      <c r="D628" s="22"/>
      <c r="E628" s="23"/>
      <c r="F628" s="25"/>
      <c r="G628" s="26"/>
      <c r="H628" s="62"/>
      <c r="I628" s="62"/>
      <c r="J628" s="81"/>
      <c r="K628" s="64"/>
      <c r="L628" s="181"/>
      <c r="M628" s="66"/>
      <c r="T628" s="229"/>
    </row>
    <row r="629">
      <c r="A629" s="87"/>
      <c r="B629" s="87"/>
      <c r="C629" s="75"/>
      <c r="D629" s="22"/>
      <c r="E629" s="23"/>
      <c r="F629" s="25"/>
      <c r="G629" s="26"/>
      <c r="H629" s="62"/>
      <c r="I629" s="62"/>
      <c r="J629" s="81"/>
      <c r="K629" s="64"/>
      <c r="L629" s="181"/>
      <c r="M629" s="66"/>
      <c r="T629" s="229"/>
    </row>
    <row r="630">
      <c r="A630" s="87"/>
      <c r="B630" s="87"/>
      <c r="C630" s="75"/>
      <c r="D630" s="22"/>
      <c r="E630" s="23"/>
      <c r="F630" s="25"/>
      <c r="G630" s="26"/>
      <c r="H630" s="29"/>
      <c r="I630" s="29"/>
      <c r="J630" s="81"/>
      <c r="K630" s="42"/>
      <c r="L630" s="181"/>
      <c r="M630" s="66"/>
      <c r="T630" s="229"/>
    </row>
    <row r="631">
      <c r="A631" s="87"/>
      <c r="B631" s="87"/>
      <c r="C631" s="75"/>
      <c r="D631" s="22"/>
      <c r="E631" s="23"/>
      <c r="F631" s="25"/>
      <c r="G631" s="26"/>
      <c r="H631" s="62"/>
      <c r="I631" s="62"/>
      <c r="J631" s="81"/>
      <c r="K631" s="64"/>
      <c r="L631" s="181"/>
      <c r="M631" s="66"/>
      <c r="T631" s="229"/>
    </row>
    <row r="632">
      <c r="A632" s="87"/>
      <c r="B632" s="87"/>
      <c r="C632" s="21"/>
      <c r="D632" s="22"/>
      <c r="E632" s="23"/>
      <c r="F632" s="25"/>
      <c r="G632" s="26"/>
      <c r="H632" s="62"/>
      <c r="I632" s="62"/>
      <c r="J632" s="81"/>
      <c r="K632" s="64"/>
      <c r="L632" s="246"/>
      <c r="M632" s="66"/>
      <c r="T632" s="229"/>
    </row>
    <row r="633">
      <c r="A633" s="87"/>
      <c r="B633" s="87"/>
      <c r="C633" s="75"/>
      <c r="D633" s="22"/>
      <c r="E633" s="23"/>
      <c r="F633" s="25"/>
      <c r="G633" s="26"/>
      <c r="H633" s="62"/>
      <c r="I633" s="62"/>
      <c r="J633" s="81"/>
      <c r="K633" s="64"/>
      <c r="L633" s="181"/>
      <c r="M633" s="66"/>
      <c r="T633" s="229"/>
    </row>
    <row r="634">
      <c r="A634" s="87"/>
      <c r="B634" s="87"/>
      <c r="C634" s="75"/>
      <c r="D634" s="22"/>
      <c r="E634" s="23"/>
      <c r="F634" s="25"/>
      <c r="G634" s="26"/>
      <c r="H634" s="62"/>
      <c r="I634" s="62"/>
      <c r="J634" s="81"/>
      <c r="K634" s="64"/>
      <c r="L634" s="181"/>
      <c r="M634" s="66"/>
      <c r="T634" s="229"/>
    </row>
    <row r="635">
      <c r="A635" s="87"/>
      <c r="B635" s="87"/>
      <c r="C635" s="75"/>
      <c r="D635" s="22"/>
      <c r="E635" s="23"/>
      <c r="F635" s="44"/>
      <c r="G635" s="26"/>
      <c r="H635" s="62"/>
      <c r="I635" s="62"/>
      <c r="J635" s="81"/>
      <c r="K635" s="64"/>
      <c r="L635" s="256"/>
      <c r="M635" s="66"/>
      <c r="T635" s="229"/>
    </row>
    <row r="636">
      <c r="A636" s="87"/>
      <c r="B636" s="87"/>
      <c r="C636" s="75"/>
      <c r="D636" s="22"/>
      <c r="E636" s="23"/>
      <c r="F636" s="25"/>
      <c r="G636" s="26"/>
      <c r="H636" s="29"/>
      <c r="I636" s="62"/>
      <c r="J636" s="81"/>
      <c r="K636" s="64"/>
      <c r="L636" s="181"/>
      <c r="M636" s="66"/>
      <c r="T636" s="229"/>
    </row>
    <row r="637">
      <c r="A637" s="87"/>
      <c r="B637" s="87"/>
      <c r="C637" s="75"/>
      <c r="D637" s="22"/>
      <c r="E637" s="23"/>
      <c r="F637" s="25"/>
      <c r="G637" s="26"/>
      <c r="H637" s="62"/>
      <c r="I637" s="62"/>
      <c r="J637" s="81"/>
      <c r="K637" s="64"/>
      <c r="L637" s="181"/>
      <c r="M637" s="66"/>
      <c r="T637" s="229"/>
    </row>
    <row r="638">
      <c r="A638" s="87"/>
      <c r="B638" s="87"/>
      <c r="C638" s="75"/>
      <c r="D638" s="22"/>
      <c r="E638" s="23"/>
      <c r="F638" s="25"/>
      <c r="G638" s="26"/>
      <c r="H638" s="62"/>
      <c r="I638" s="62"/>
      <c r="J638" s="81"/>
      <c r="K638" s="64"/>
      <c r="L638" s="181"/>
      <c r="M638" s="66"/>
      <c r="T638" s="229"/>
    </row>
    <row r="639">
      <c r="A639" s="87"/>
      <c r="B639" s="87"/>
      <c r="C639" s="75"/>
      <c r="D639" s="22"/>
      <c r="E639" s="23"/>
      <c r="F639" s="25"/>
      <c r="G639" s="26"/>
      <c r="H639" s="62"/>
      <c r="I639" s="62"/>
      <c r="J639" s="81"/>
      <c r="K639" s="64"/>
      <c r="L639" s="181"/>
      <c r="M639" s="66"/>
      <c r="P639" s="244"/>
      <c r="T639" s="229"/>
    </row>
    <row r="640">
      <c r="A640" s="87"/>
      <c r="B640" s="87"/>
      <c r="C640" s="75"/>
      <c r="D640" s="22"/>
      <c r="E640" s="23"/>
      <c r="F640" s="25"/>
      <c r="G640" s="26"/>
      <c r="H640" s="269"/>
      <c r="I640" s="62"/>
      <c r="J640" s="81"/>
      <c r="K640" s="64"/>
      <c r="L640" s="50"/>
      <c r="M640" s="271"/>
      <c r="T640" s="229"/>
    </row>
    <row r="641">
      <c r="A641" s="87"/>
      <c r="B641" s="87"/>
      <c r="C641" s="75"/>
      <c r="D641" s="22"/>
      <c r="E641" s="23"/>
      <c r="F641" s="25"/>
      <c r="G641" s="26"/>
      <c r="H641" s="62"/>
      <c r="I641" s="62"/>
      <c r="J641" s="81"/>
      <c r="K641" s="64"/>
      <c r="L641" s="256"/>
      <c r="M641" s="66"/>
      <c r="P641" s="244"/>
      <c r="T641" s="229"/>
    </row>
    <row r="642">
      <c r="A642" s="87"/>
      <c r="B642" s="87"/>
      <c r="C642" s="75"/>
      <c r="D642" s="22"/>
      <c r="E642" s="23"/>
      <c r="F642" s="25"/>
      <c r="G642" s="26"/>
      <c r="H642" s="62"/>
      <c r="I642" s="62"/>
      <c r="J642" s="81"/>
      <c r="K642" s="64"/>
      <c r="L642" s="256"/>
      <c r="M642" s="66"/>
      <c r="T642" s="245"/>
    </row>
    <row r="643">
      <c r="A643" s="87"/>
      <c r="B643" s="87"/>
      <c r="C643" s="75"/>
      <c r="D643" s="22"/>
      <c r="E643" s="23"/>
      <c r="F643" s="25"/>
      <c r="G643" s="26"/>
      <c r="H643" s="62"/>
      <c r="I643" s="62"/>
      <c r="J643" s="81"/>
      <c r="K643" s="64"/>
      <c r="L643" s="256"/>
      <c r="M643" s="66"/>
      <c r="T643" s="229"/>
    </row>
    <row r="644">
      <c r="A644" s="87"/>
      <c r="B644" s="87"/>
      <c r="C644" s="75"/>
      <c r="D644" s="22"/>
      <c r="E644" s="23"/>
      <c r="F644" s="25"/>
      <c r="G644" s="26"/>
      <c r="H644" s="62"/>
      <c r="I644" s="62"/>
      <c r="J644" s="81"/>
      <c r="K644" s="64"/>
      <c r="L644" s="256"/>
      <c r="M644" s="66"/>
      <c r="T644" s="229"/>
    </row>
    <row r="645">
      <c r="A645" s="20"/>
      <c r="B645" s="20"/>
      <c r="C645" s="21"/>
      <c r="D645" s="22"/>
      <c r="E645" s="23"/>
      <c r="F645" s="25"/>
      <c r="G645" s="26"/>
      <c r="H645" s="29"/>
      <c r="I645" s="29"/>
      <c r="J645" s="30"/>
      <c r="K645" s="42"/>
      <c r="L645" s="230"/>
      <c r="M645" s="54"/>
      <c r="T645" s="229"/>
    </row>
    <row r="646">
      <c r="A646" s="20"/>
      <c r="B646" s="250"/>
      <c r="C646" s="21"/>
      <c r="D646" s="22"/>
      <c r="E646" s="23"/>
      <c r="F646" s="172"/>
      <c r="G646" s="102"/>
      <c r="H646" s="160"/>
      <c r="I646" s="160"/>
      <c r="J646" s="251"/>
      <c r="K646" s="251"/>
      <c r="L646" s="230"/>
      <c r="M646" s="66"/>
      <c r="N646" s="226"/>
      <c r="O646" s="226"/>
    </row>
    <row r="647">
      <c r="A647" s="20"/>
      <c r="B647" s="20"/>
      <c r="C647" s="21"/>
      <c r="D647" s="22"/>
      <c r="E647" s="23"/>
      <c r="F647" s="25"/>
      <c r="G647" s="26"/>
      <c r="H647" s="29"/>
      <c r="I647" s="29"/>
      <c r="J647" s="30"/>
      <c r="K647" s="42"/>
      <c r="L647" s="230"/>
      <c r="M647" s="54"/>
      <c r="T647" s="229"/>
    </row>
    <row r="648">
      <c r="A648" s="20"/>
      <c r="B648" s="20"/>
      <c r="C648" s="21"/>
      <c r="D648" s="22"/>
      <c r="E648" s="23"/>
      <c r="F648" s="25"/>
      <c r="G648" s="26"/>
      <c r="H648" s="29"/>
      <c r="I648" s="29"/>
      <c r="J648" s="30"/>
      <c r="K648" s="42"/>
      <c r="L648" s="230"/>
      <c r="M648" s="54"/>
      <c r="T648" s="229"/>
    </row>
    <row r="649">
      <c r="A649" s="20"/>
      <c r="B649" s="20"/>
      <c r="C649" s="21"/>
      <c r="D649" s="22"/>
      <c r="E649" s="23"/>
      <c r="F649" s="25"/>
      <c r="G649" s="26"/>
      <c r="H649" s="29"/>
      <c r="I649" s="29"/>
      <c r="J649" s="30"/>
      <c r="K649" s="42"/>
      <c r="L649" s="230"/>
      <c r="M649" s="54"/>
      <c r="T649" s="229"/>
    </row>
    <row r="650">
      <c r="A650" s="20"/>
      <c r="B650" s="20"/>
      <c r="C650" s="21"/>
      <c r="D650" s="22"/>
      <c r="E650" s="23"/>
      <c r="F650" s="25"/>
      <c r="G650" s="26"/>
      <c r="H650" s="29"/>
      <c r="I650" s="29"/>
      <c r="J650" s="30"/>
      <c r="K650" s="42"/>
      <c r="L650" s="230"/>
      <c r="M650" s="54"/>
      <c r="T650" s="229"/>
    </row>
    <row r="651">
      <c r="A651" s="20"/>
      <c r="B651" s="20"/>
      <c r="C651" s="21"/>
      <c r="D651" s="22"/>
      <c r="E651" s="23"/>
      <c r="F651" s="25"/>
      <c r="G651" s="26"/>
      <c r="H651" s="29"/>
      <c r="I651" s="29"/>
      <c r="J651" s="30"/>
      <c r="K651" s="42"/>
      <c r="L651" s="230"/>
      <c r="M651" s="54"/>
      <c r="T651" s="229"/>
    </row>
    <row r="652">
      <c r="A652" s="20"/>
      <c r="B652" s="20"/>
      <c r="C652" s="21"/>
      <c r="D652" s="22"/>
      <c r="E652" s="23"/>
      <c r="F652" s="25"/>
      <c r="G652" s="26"/>
      <c r="H652" s="29"/>
      <c r="I652" s="29"/>
      <c r="J652" s="30"/>
      <c r="K652" s="42"/>
      <c r="L652" s="230"/>
      <c r="M652" s="54"/>
      <c r="T652" s="229"/>
    </row>
    <row r="653">
      <c r="A653" s="20"/>
      <c r="B653" s="20"/>
      <c r="C653" s="21"/>
      <c r="D653" s="22"/>
      <c r="E653" s="23"/>
      <c r="F653" s="25"/>
      <c r="G653" s="26"/>
      <c r="H653" s="29"/>
      <c r="I653" s="29"/>
      <c r="J653" s="30"/>
      <c r="K653" s="42"/>
      <c r="L653" s="230"/>
      <c r="M653" s="54"/>
      <c r="T653" s="229"/>
    </row>
    <row r="654">
      <c r="A654" s="20"/>
      <c r="B654" s="20"/>
      <c r="C654" s="21"/>
      <c r="D654" s="22"/>
      <c r="E654" s="23"/>
      <c r="F654" s="25"/>
      <c r="G654" s="26"/>
      <c r="H654" s="29"/>
      <c r="I654" s="29"/>
      <c r="J654" s="30"/>
      <c r="K654" s="42"/>
      <c r="L654" s="230"/>
      <c r="M654" s="54"/>
      <c r="T654" s="229"/>
    </row>
    <row r="655">
      <c r="A655" s="20"/>
      <c r="B655" s="20"/>
      <c r="C655" s="21"/>
      <c r="D655" s="22"/>
      <c r="E655" s="23"/>
      <c r="F655" s="25"/>
      <c r="G655" s="26"/>
      <c r="H655" s="29"/>
      <c r="I655" s="29"/>
      <c r="J655" s="30"/>
      <c r="K655" s="42"/>
      <c r="L655" s="230"/>
      <c r="M655" s="54"/>
      <c r="N655" s="231"/>
      <c r="T655" s="229"/>
    </row>
    <row r="656">
      <c r="A656" s="20"/>
      <c r="B656" s="20"/>
      <c r="C656" s="21"/>
      <c r="D656" s="22"/>
      <c r="E656" s="23"/>
      <c r="F656" s="25"/>
      <c r="G656" s="26"/>
      <c r="H656" s="29"/>
      <c r="I656" s="29"/>
      <c r="J656" s="30"/>
      <c r="K656" s="42"/>
      <c r="L656" s="230"/>
      <c r="M656" s="54"/>
      <c r="T656" s="229"/>
    </row>
    <row r="657">
      <c r="A657" s="20"/>
      <c r="B657" s="20"/>
      <c r="C657" s="21"/>
      <c r="D657" s="22"/>
      <c r="E657" s="23"/>
      <c r="F657" s="25"/>
      <c r="G657" s="26"/>
      <c r="H657" s="29"/>
      <c r="I657" s="29"/>
      <c r="J657" s="30"/>
      <c r="K657" s="42"/>
      <c r="L657" s="230"/>
      <c r="M657" s="54"/>
      <c r="T657" s="229"/>
    </row>
    <row r="658">
      <c r="A658" s="20"/>
      <c r="B658" s="20"/>
      <c r="C658" s="21"/>
      <c r="D658" s="22"/>
      <c r="E658" s="23"/>
      <c r="F658" s="25"/>
      <c r="G658" s="26"/>
      <c r="H658" s="29"/>
      <c r="I658" s="29"/>
      <c r="J658" s="30"/>
      <c r="K658" s="42"/>
      <c r="L658" s="230"/>
      <c r="M658" s="54"/>
      <c r="T658" s="229"/>
    </row>
    <row r="659">
      <c r="A659" s="20"/>
      <c r="B659" s="20"/>
      <c r="C659" s="21"/>
      <c r="D659" s="22"/>
      <c r="E659" s="23"/>
      <c r="F659" s="25"/>
      <c r="G659" s="26"/>
      <c r="H659" s="29"/>
      <c r="I659" s="29"/>
      <c r="J659" s="30"/>
      <c r="K659" s="42"/>
      <c r="L659" s="230"/>
      <c r="M659" s="54"/>
      <c r="T659" s="229"/>
    </row>
    <row r="660">
      <c r="A660" s="20"/>
      <c r="B660" s="20"/>
      <c r="C660" s="21"/>
      <c r="D660" s="22"/>
      <c r="E660" s="23"/>
      <c r="F660" s="25"/>
      <c r="G660" s="26"/>
      <c r="H660" s="29"/>
      <c r="I660" s="29"/>
      <c r="J660" s="30"/>
      <c r="K660" s="42"/>
      <c r="L660" s="230"/>
      <c r="M660" s="54"/>
      <c r="T660" s="229"/>
    </row>
    <row r="661">
      <c r="A661" s="20"/>
      <c r="B661" s="20"/>
      <c r="C661" s="21"/>
      <c r="D661" s="22"/>
      <c r="E661" s="23"/>
      <c r="F661" s="25"/>
      <c r="G661" s="26"/>
      <c r="H661" s="29"/>
      <c r="I661" s="29"/>
      <c r="J661" s="30"/>
      <c r="K661" s="42"/>
      <c r="L661" s="230"/>
      <c r="M661" s="54"/>
      <c r="N661" s="231"/>
      <c r="T661" s="229"/>
    </row>
    <row r="662">
      <c r="A662" s="20"/>
      <c r="B662" s="20"/>
      <c r="C662" s="21"/>
      <c r="D662" s="22"/>
      <c r="E662" s="23"/>
      <c r="F662" s="25"/>
      <c r="G662" s="26"/>
      <c r="H662" s="29"/>
      <c r="I662" s="29"/>
      <c r="J662" s="30"/>
      <c r="K662" s="42"/>
      <c r="L662" s="230"/>
      <c r="M662" s="54"/>
      <c r="T662" s="229"/>
    </row>
    <row r="663">
      <c r="A663" s="20"/>
      <c r="B663" s="20"/>
      <c r="C663" s="21"/>
      <c r="D663" s="22"/>
      <c r="E663" s="23"/>
      <c r="F663" s="25"/>
      <c r="G663" s="26"/>
      <c r="H663" s="29"/>
      <c r="I663" s="29"/>
      <c r="J663" s="30"/>
      <c r="K663" s="42"/>
      <c r="L663" s="230"/>
      <c r="M663" s="54"/>
      <c r="N663" s="231"/>
      <c r="T663" s="229"/>
    </row>
    <row r="664">
      <c r="A664" s="20"/>
      <c r="B664" s="20"/>
      <c r="C664" s="21"/>
      <c r="D664" s="22"/>
      <c r="E664" s="23"/>
      <c r="F664" s="25"/>
      <c r="G664" s="26"/>
      <c r="H664" s="29"/>
      <c r="I664" s="29"/>
      <c r="J664" s="30"/>
      <c r="K664" s="42"/>
      <c r="L664" s="230"/>
      <c r="M664" s="54"/>
      <c r="N664" s="231"/>
      <c r="T664" s="229"/>
    </row>
    <row r="665">
      <c r="A665" s="20"/>
      <c r="B665" s="20"/>
      <c r="C665" s="21"/>
      <c r="D665" s="22"/>
      <c r="E665" s="23"/>
      <c r="F665" s="25"/>
      <c r="G665" s="26"/>
      <c r="H665" s="29"/>
      <c r="I665" s="29"/>
      <c r="J665" s="30"/>
      <c r="K665" s="42"/>
      <c r="L665" s="230"/>
      <c r="M665" s="54"/>
      <c r="T665" s="229"/>
    </row>
    <row r="666">
      <c r="A666" s="20"/>
      <c r="B666" s="20"/>
      <c r="C666" s="21"/>
      <c r="D666" s="22"/>
      <c r="E666" s="23"/>
      <c r="F666" s="25"/>
      <c r="G666" s="26"/>
      <c r="H666" s="29"/>
      <c r="I666" s="29"/>
      <c r="J666" s="30"/>
      <c r="K666" s="42"/>
      <c r="L666" s="230"/>
      <c r="M666" s="54"/>
      <c r="T666" s="229"/>
    </row>
    <row r="667">
      <c r="A667" s="20"/>
      <c r="B667" s="20"/>
      <c r="C667" s="21"/>
      <c r="D667" s="22"/>
      <c r="E667" s="23"/>
      <c r="F667" s="25"/>
      <c r="G667" s="26"/>
      <c r="H667" s="29"/>
      <c r="I667" s="29"/>
      <c r="J667" s="30"/>
      <c r="K667" s="42"/>
      <c r="L667" s="230"/>
      <c r="M667" s="54"/>
      <c r="T667" s="229"/>
    </row>
    <row r="668">
      <c r="A668" s="20"/>
      <c r="B668" s="20"/>
      <c r="C668" s="21"/>
      <c r="D668" s="22"/>
      <c r="E668" s="23"/>
      <c r="F668" s="25"/>
      <c r="G668" s="26"/>
      <c r="H668" s="29"/>
      <c r="I668" s="29"/>
      <c r="J668" s="30"/>
      <c r="K668" s="42"/>
      <c r="L668" s="230"/>
      <c r="M668" s="54"/>
      <c r="T668" s="229"/>
    </row>
    <row r="669">
      <c r="A669" s="20"/>
      <c r="B669" s="20"/>
      <c r="C669" s="21"/>
      <c r="D669" s="22"/>
      <c r="E669" s="23"/>
      <c r="F669" s="25"/>
      <c r="G669" s="26"/>
      <c r="H669" s="29"/>
      <c r="I669" s="29"/>
      <c r="J669" s="30"/>
      <c r="K669" s="42"/>
      <c r="L669" s="230"/>
      <c r="M669" s="54"/>
      <c r="T669" s="229"/>
    </row>
    <row r="670">
      <c r="A670" s="20"/>
      <c r="B670" s="20"/>
      <c r="C670" s="21"/>
      <c r="D670" s="22"/>
      <c r="E670" s="23"/>
      <c r="F670" s="25"/>
      <c r="G670" s="26"/>
      <c r="H670" s="29"/>
      <c r="I670" s="29"/>
      <c r="J670" s="30"/>
      <c r="K670" s="42"/>
      <c r="L670" s="230"/>
      <c r="M670" s="54"/>
      <c r="T670" s="229"/>
    </row>
    <row r="671">
      <c r="A671" s="20"/>
      <c r="B671" s="20"/>
      <c r="C671" s="21"/>
      <c r="D671" s="22"/>
      <c r="E671" s="23"/>
      <c r="F671" s="25"/>
      <c r="G671" s="26"/>
      <c r="H671" s="29"/>
      <c r="I671" s="29"/>
      <c r="J671" s="30"/>
      <c r="K671" s="42"/>
      <c r="L671" s="230"/>
      <c r="M671" s="54"/>
      <c r="T671" s="229"/>
    </row>
    <row r="672">
      <c r="A672" s="20"/>
      <c r="B672" s="20"/>
      <c r="C672" s="21"/>
      <c r="D672" s="22"/>
      <c r="E672" s="23"/>
      <c r="F672" s="25"/>
      <c r="G672" s="26"/>
      <c r="H672" s="29"/>
      <c r="I672" s="29"/>
      <c r="J672" s="30"/>
      <c r="K672" s="42"/>
      <c r="L672" s="230"/>
      <c r="M672" s="54"/>
      <c r="T672" s="229"/>
    </row>
    <row r="673">
      <c r="A673" s="20"/>
      <c r="B673" s="20"/>
      <c r="C673" s="21"/>
      <c r="D673" s="22"/>
      <c r="E673" s="23"/>
      <c r="F673" s="25"/>
      <c r="G673" s="26"/>
      <c r="H673" s="28"/>
      <c r="I673" s="29"/>
      <c r="J673" s="30"/>
      <c r="K673" s="31"/>
      <c r="L673" s="28"/>
      <c r="M673" s="32"/>
      <c r="T673" s="229"/>
    </row>
    <row r="674">
      <c r="A674" s="20"/>
      <c r="B674" s="20"/>
      <c r="C674" s="21"/>
      <c r="D674" s="22"/>
      <c r="E674" s="23"/>
      <c r="F674" s="25"/>
      <c r="G674" s="26"/>
      <c r="H674" s="29"/>
      <c r="I674" s="29"/>
      <c r="J674" s="30"/>
      <c r="K674" s="42"/>
      <c r="L674" s="230"/>
      <c r="M674" s="54"/>
      <c r="T674" s="229"/>
    </row>
    <row r="675">
      <c r="A675" s="20"/>
      <c r="B675" s="20"/>
      <c r="C675" s="21"/>
      <c r="D675" s="22"/>
      <c r="E675" s="23"/>
      <c r="F675" s="25"/>
      <c r="G675" s="26"/>
      <c r="H675" s="29"/>
      <c r="I675" s="29"/>
      <c r="J675" s="30"/>
      <c r="K675" s="42"/>
      <c r="L675" s="230"/>
      <c r="M675" s="54"/>
      <c r="T675" s="229"/>
    </row>
    <row r="676">
      <c r="A676" s="20"/>
      <c r="B676" s="20"/>
      <c r="C676" s="21"/>
      <c r="D676" s="22"/>
      <c r="E676" s="23"/>
      <c r="F676" s="25"/>
      <c r="G676" s="26"/>
      <c r="H676" s="29"/>
      <c r="I676" s="29"/>
      <c r="J676" s="30"/>
      <c r="K676" s="42"/>
      <c r="L676" s="230"/>
      <c r="M676" s="54"/>
      <c r="T676" s="229"/>
    </row>
    <row r="677">
      <c r="A677" s="20"/>
      <c r="B677" s="20"/>
      <c r="C677" s="21"/>
      <c r="D677" s="22"/>
      <c r="E677" s="23"/>
      <c r="F677" s="25"/>
      <c r="G677" s="26"/>
      <c r="H677" s="29"/>
      <c r="I677" s="29"/>
      <c r="J677" s="30"/>
      <c r="K677" s="42"/>
      <c r="L677" s="230"/>
      <c r="M677" s="54"/>
      <c r="T677" s="229"/>
    </row>
    <row r="678">
      <c r="A678" s="20"/>
      <c r="B678" s="20"/>
      <c r="C678" s="21"/>
      <c r="D678" s="22"/>
      <c r="E678" s="23"/>
      <c r="F678" s="25"/>
      <c r="G678" s="26"/>
      <c r="H678" s="29"/>
      <c r="I678" s="29"/>
      <c r="J678" s="30"/>
      <c r="K678" s="42"/>
      <c r="L678" s="230"/>
      <c r="M678" s="54"/>
      <c r="T678" s="229"/>
    </row>
    <row r="679">
      <c r="A679" s="20"/>
      <c r="B679" s="20"/>
      <c r="C679" s="21"/>
      <c r="D679" s="22"/>
      <c r="E679" s="23"/>
      <c r="F679" s="25"/>
      <c r="G679" s="26"/>
      <c r="H679" s="29"/>
      <c r="I679" s="29"/>
      <c r="J679" s="30"/>
      <c r="K679" s="42"/>
      <c r="L679" s="230"/>
      <c r="M679" s="54"/>
      <c r="T679" s="229"/>
    </row>
    <row r="680">
      <c r="A680" s="20"/>
      <c r="B680" s="20"/>
      <c r="C680" s="21"/>
      <c r="D680" s="22"/>
      <c r="E680" s="23"/>
      <c r="F680" s="25"/>
      <c r="G680" s="26"/>
      <c r="H680" s="29"/>
      <c r="I680" s="29"/>
      <c r="J680" s="30"/>
      <c r="K680" s="42"/>
      <c r="L680" s="239"/>
      <c r="M680" s="54"/>
      <c r="T680" s="229"/>
    </row>
    <row r="681">
      <c r="A681" s="20"/>
      <c r="B681" s="20"/>
      <c r="C681" s="21"/>
      <c r="D681" s="22"/>
      <c r="E681" s="23"/>
      <c r="F681" s="25"/>
      <c r="G681" s="26"/>
      <c r="H681" s="29"/>
      <c r="I681" s="29"/>
      <c r="J681" s="30"/>
      <c r="K681" s="42"/>
      <c r="L681" s="230"/>
      <c r="M681" s="54"/>
      <c r="T681" s="229"/>
    </row>
    <row r="682">
      <c r="A682" s="20"/>
      <c r="B682" s="20"/>
      <c r="C682" s="21"/>
      <c r="D682" s="22"/>
      <c r="E682" s="23"/>
      <c r="F682" s="25"/>
      <c r="G682" s="26"/>
      <c r="H682" s="29"/>
      <c r="I682" s="29"/>
      <c r="J682" s="30"/>
      <c r="K682" s="42"/>
      <c r="L682" s="230"/>
      <c r="M682" s="54"/>
      <c r="T682" s="229"/>
    </row>
    <row r="683">
      <c r="A683" s="20"/>
      <c r="B683" s="20"/>
      <c r="C683" s="21"/>
      <c r="D683" s="22"/>
      <c r="E683" s="23"/>
      <c r="F683" s="25"/>
      <c r="G683" s="26"/>
      <c r="H683" s="28"/>
      <c r="I683" s="29"/>
      <c r="J683" s="30"/>
      <c r="K683" s="31"/>
      <c r="L683" s="28"/>
      <c r="M683" s="32"/>
      <c r="T683" s="229"/>
    </row>
    <row r="684">
      <c r="A684" s="20"/>
      <c r="B684" s="20"/>
      <c r="C684" s="21"/>
      <c r="D684" s="22"/>
      <c r="E684" s="23"/>
      <c r="F684" s="25"/>
      <c r="G684" s="26"/>
      <c r="H684" s="29"/>
      <c r="I684" s="29"/>
      <c r="J684" s="30"/>
      <c r="K684" s="42"/>
      <c r="L684" s="230"/>
      <c r="M684" s="54"/>
      <c r="T684" s="229"/>
    </row>
    <row r="685">
      <c r="A685" s="20"/>
      <c r="B685" s="20"/>
      <c r="C685" s="21"/>
      <c r="D685" s="22"/>
      <c r="E685" s="23"/>
      <c r="F685" s="25"/>
      <c r="G685" s="26"/>
      <c r="H685" s="29"/>
      <c r="I685" s="29"/>
      <c r="J685" s="30"/>
      <c r="K685" s="42"/>
      <c r="L685" s="230"/>
      <c r="M685" s="54"/>
      <c r="N685" s="231"/>
      <c r="T685" s="229"/>
    </row>
    <row r="686">
      <c r="A686" s="20"/>
      <c r="B686" s="20"/>
      <c r="C686" s="21"/>
      <c r="D686" s="22"/>
      <c r="E686" s="23"/>
      <c r="F686" s="25"/>
      <c r="G686" s="26"/>
      <c r="H686" s="29"/>
      <c r="I686" s="29"/>
      <c r="J686" s="30"/>
      <c r="K686" s="42"/>
      <c r="L686" s="230"/>
      <c r="M686" s="54"/>
      <c r="N686" s="231"/>
      <c r="T686" s="229"/>
    </row>
    <row r="687">
      <c r="A687" s="20"/>
      <c r="B687" s="20"/>
      <c r="C687" s="21"/>
      <c r="D687" s="22"/>
      <c r="E687" s="23"/>
      <c r="F687" s="25"/>
      <c r="G687" s="26"/>
      <c r="H687" s="29"/>
      <c r="I687" s="29"/>
      <c r="J687" s="30"/>
      <c r="K687" s="42"/>
      <c r="L687" s="230"/>
      <c r="M687" s="54"/>
      <c r="N687" s="231"/>
      <c r="T687" s="229"/>
    </row>
    <row r="688">
      <c r="A688" s="20"/>
      <c r="B688" s="20"/>
      <c r="C688" s="21"/>
      <c r="D688" s="22"/>
      <c r="E688" s="23"/>
      <c r="F688" s="25"/>
      <c r="G688" s="26"/>
      <c r="H688" s="29"/>
      <c r="I688" s="29"/>
      <c r="J688" s="30"/>
      <c r="K688" s="42"/>
      <c r="L688" s="230"/>
      <c r="M688" s="54"/>
      <c r="T688" s="229"/>
    </row>
    <row r="689">
      <c r="A689" s="20"/>
      <c r="B689" s="20"/>
      <c r="C689" s="21"/>
      <c r="D689" s="22"/>
      <c r="E689" s="23"/>
      <c r="F689" s="25"/>
      <c r="G689" s="26"/>
      <c r="H689" s="29"/>
      <c r="I689" s="29"/>
      <c r="J689" s="30"/>
      <c r="K689" s="42"/>
      <c r="L689" s="230"/>
      <c r="M689" s="252"/>
      <c r="T689" s="229"/>
    </row>
    <row r="690">
      <c r="A690" s="20"/>
      <c r="B690" s="20"/>
      <c r="C690" s="21"/>
      <c r="D690" s="22"/>
      <c r="E690" s="23"/>
      <c r="F690" s="25"/>
      <c r="G690" s="26"/>
      <c r="H690" s="29"/>
      <c r="I690" s="29"/>
      <c r="J690" s="30"/>
      <c r="K690" s="42"/>
      <c r="L690" s="230"/>
      <c r="M690" s="54"/>
      <c r="N690" s="232"/>
      <c r="T690" s="229"/>
    </row>
    <row r="691">
      <c r="A691" s="20"/>
      <c r="B691" s="20"/>
      <c r="C691" s="21"/>
      <c r="D691" s="22"/>
      <c r="E691" s="23"/>
      <c r="F691" s="25"/>
      <c r="G691" s="26"/>
      <c r="H691" s="29"/>
      <c r="I691" s="29"/>
      <c r="J691" s="30"/>
      <c r="K691" s="42"/>
      <c r="L691" s="230"/>
      <c r="M691" s="54"/>
      <c r="T691" s="229"/>
    </row>
    <row r="692">
      <c r="A692" s="20"/>
      <c r="B692" s="20"/>
      <c r="C692" s="21"/>
      <c r="D692" s="22"/>
      <c r="E692" s="23"/>
      <c r="F692" s="25"/>
      <c r="G692" s="26"/>
      <c r="H692" s="29"/>
      <c r="I692" s="29"/>
      <c r="J692" s="30"/>
      <c r="K692" s="42"/>
      <c r="L692" s="230"/>
      <c r="M692" s="54"/>
      <c r="T692" s="229"/>
    </row>
    <row r="693">
      <c r="A693" s="20"/>
      <c r="B693" s="20"/>
      <c r="C693" s="21"/>
      <c r="D693" s="22"/>
      <c r="E693" s="23"/>
      <c r="F693" s="25"/>
      <c r="G693" s="26"/>
      <c r="H693" s="29"/>
      <c r="I693" s="29"/>
      <c r="J693" s="30"/>
      <c r="K693" s="42"/>
      <c r="L693" s="230"/>
      <c r="M693" s="54"/>
      <c r="T693" s="229"/>
    </row>
    <row r="694">
      <c r="A694" s="20"/>
      <c r="B694" s="20"/>
      <c r="C694" s="21"/>
      <c r="D694" s="22"/>
      <c r="E694" s="23"/>
      <c r="F694" s="25"/>
      <c r="G694" s="26"/>
      <c r="H694" s="29"/>
      <c r="I694" s="29"/>
      <c r="J694" s="30"/>
      <c r="K694" s="42"/>
      <c r="L694" s="230"/>
      <c r="M694" s="54"/>
      <c r="T694" s="229"/>
    </row>
    <row r="695">
      <c r="A695" s="20"/>
      <c r="B695" s="20"/>
      <c r="C695" s="21"/>
      <c r="D695" s="22"/>
      <c r="E695" s="23"/>
      <c r="F695" s="25"/>
      <c r="G695" s="26"/>
      <c r="H695" s="29"/>
      <c r="I695" s="29"/>
      <c r="J695" s="30"/>
      <c r="K695" s="42"/>
      <c r="L695" s="230"/>
      <c r="M695" s="54"/>
      <c r="T695" s="229"/>
    </row>
    <row r="696">
      <c r="A696" s="20"/>
      <c r="B696" s="20"/>
      <c r="C696" s="21"/>
      <c r="D696" s="22"/>
      <c r="E696" s="23"/>
      <c r="F696" s="25"/>
      <c r="G696" s="26"/>
      <c r="H696" s="29"/>
      <c r="I696" s="29"/>
      <c r="J696" s="30"/>
      <c r="K696" s="42"/>
      <c r="L696" s="230"/>
      <c r="M696" s="30"/>
      <c r="T696" s="229"/>
    </row>
    <row r="697">
      <c r="A697" s="20"/>
      <c r="B697" s="20"/>
      <c r="C697" s="21"/>
      <c r="D697" s="22"/>
      <c r="E697" s="23"/>
      <c r="F697" s="25"/>
      <c r="G697" s="26"/>
      <c r="H697" s="29"/>
      <c r="I697" s="29"/>
      <c r="J697" s="30"/>
      <c r="K697" s="42"/>
      <c r="L697" s="230"/>
      <c r="M697" s="54"/>
      <c r="T697" s="229"/>
    </row>
    <row r="698">
      <c r="A698" s="20"/>
      <c r="B698" s="20"/>
      <c r="C698" s="21"/>
      <c r="D698" s="22"/>
      <c r="E698" s="23"/>
      <c r="F698" s="25"/>
      <c r="G698" s="26"/>
      <c r="H698" s="29"/>
      <c r="I698" s="29"/>
      <c r="J698" s="30"/>
      <c r="K698" s="42"/>
      <c r="L698" s="230"/>
      <c r="M698" s="54"/>
      <c r="T698" s="229"/>
    </row>
    <row r="699">
      <c r="A699" s="20"/>
      <c r="B699" s="20"/>
      <c r="C699" s="21"/>
      <c r="D699" s="22"/>
      <c r="E699" s="23"/>
      <c r="F699" s="25"/>
      <c r="G699" s="26"/>
      <c r="H699" s="29"/>
      <c r="I699" s="29"/>
      <c r="J699" s="30"/>
      <c r="K699" s="42"/>
      <c r="L699" s="230"/>
      <c r="M699" s="54"/>
      <c r="N699" s="231"/>
      <c r="T699" s="229"/>
    </row>
    <row r="700">
      <c r="A700" s="20"/>
      <c r="B700" s="20"/>
      <c r="C700" s="21"/>
      <c r="D700" s="22"/>
      <c r="E700" s="23"/>
      <c r="F700" s="25"/>
      <c r="G700" s="26"/>
      <c r="H700" s="29"/>
      <c r="I700" s="29"/>
      <c r="J700" s="30"/>
      <c r="K700" s="42"/>
      <c r="L700" s="230"/>
      <c r="M700" s="54"/>
      <c r="T700" s="229"/>
    </row>
    <row r="701">
      <c r="A701" s="20"/>
      <c r="B701" s="20"/>
      <c r="C701" s="21"/>
      <c r="D701" s="22"/>
      <c r="E701" s="23"/>
      <c r="F701" s="25"/>
      <c r="G701" s="26"/>
      <c r="H701" s="29"/>
      <c r="I701" s="29"/>
      <c r="J701" s="30"/>
      <c r="K701" s="42"/>
      <c r="L701" s="234"/>
      <c r="M701" s="54"/>
      <c r="N701" s="231"/>
      <c r="T701" s="229"/>
    </row>
    <row r="702">
      <c r="A702" s="20"/>
      <c r="B702" s="20"/>
      <c r="C702" s="21"/>
      <c r="D702" s="22"/>
      <c r="E702" s="23"/>
      <c r="F702" s="25"/>
      <c r="G702" s="26"/>
      <c r="H702" s="29"/>
      <c r="I702" s="29"/>
      <c r="J702" s="30"/>
      <c r="K702" s="42"/>
      <c r="L702" s="230"/>
      <c r="M702" s="54"/>
      <c r="T702" s="229"/>
    </row>
    <row r="703">
      <c r="A703" s="20"/>
      <c r="B703" s="20"/>
      <c r="C703" s="21"/>
      <c r="D703" s="22"/>
      <c r="E703" s="23"/>
      <c r="F703" s="25"/>
      <c r="G703" s="26"/>
      <c r="H703" s="29"/>
      <c r="I703" s="29"/>
      <c r="J703" s="30"/>
      <c r="K703" s="42"/>
      <c r="L703" s="230"/>
      <c r="M703" s="54"/>
      <c r="T703" s="229"/>
    </row>
    <row r="704">
      <c r="A704" s="20"/>
      <c r="B704" s="20"/>
      <c r="C704" s="21"/>
      <c r="D704" s="22"/>
      <c r="E704" s="23"/>
      <c r="F704" s="25"/>
      <c r="G704" s="26"/>
      <c r="H704" s="29"/>
      <c r="I704" s="29"/>
      <c r="J704" s="30"/>
      <c r="K704" s="42"/>
      <c r="L704" s="230"/>
      <c r="M704" s="54"/>
      <c r="T704" s="229"/>
    </row>
    <row r="705">
      <c r="A705" s="20"/>
      <c r="B705" s="20"/>
      <c r="C705" s="21"/>
      <c r="D705" s="22"/>
      <c r="E705" s="23"/>
      <c r="F705" s="25"/>
      <c r="G705" s="26"/>
      <c r="H705" s="29"/>
      <c r="I705" s="29"/>
      <c r="J705" s="30"/>
      <c r="K705" s="42"/>
      <c r="L705" s="230"/>
      <c r="M705" s="54"/>
      <c r="N705" s="233"/>
      <c r="T705" s="229"/>
    </row>
    <row r="706">
      <c r="A706" s="20"/>
      <c r="B706" s="20"/>
      <c r="C706" s="21"/>
      <c r="D706" s="22"/>
      <c r="E706" s="23"/>
      <c r="F706" s="25"/>
      <c r="G706" s="26"/>
      <c r="H706" s="29"/>
      <c r="I706" s="29"/>
      <c r="J706" s="30"/>
      <c r="K706" s="42"/>
      <c r="L706" s="230"/>
      <c r="M706" s="54"/>
      <c r="T706" s="229"/>
    </row>
    <row r="707">
      <c r="A707" s="20"/>
      <c r="B707" s="20"/>
      <c r="C707" s="21"/>
      <c r="D707" s="22"/>
      <c r="E707" s="23"/>
      <c r="F707" s="25"/>
      <c r="G707" s="26"/>
      <c r="H707" s="29"/>
      <c r="I707" s="29"/>
      <c r="J707" s="30"/>
      <c r="K707" s="42"/>
      <c r="L707" s="230"/>
      <c r="M707" s="54"/>
      <c r="T707" s="229"/>
    </row>
    <row r="708">
      <c r="A708" s="20"/>
      <c r="B708" s="20"/>
      <c r="C708" s="21"/>
      <c r="D708" s="22"/>
      <c r="E708" s="23"/>
      <c r="F708" s="25"/>
      <c r="G708" s="26"/>
      <c r="H708" s="29"/>
      <c r="I708" s="29"/>
      <c r="J708" s="30"/>
      <c r="K708" s="42"/>
      <c r="L708" s="230"/>
      <c r="M708" s="54"/>
      <c r="N708" s="231"/>
      <c r="T708" s="229"/>
    </row>
    <row r="709">
      <c r="A709" s="20"/>
      <c r="B709" s="20"/>
      <c r="C709" s="21"/>
      <c r="D709" s="22"/>
      <c r="E709" s="23"/>
      <c r="F709" s="25"/>
      <c r="G709" s="26"/>
      <c r="H709" s="29"/>
      <c r="I709" s="29"/>
      <c r="J709" s="30"/>
      <c r="K709" s="42"/>
      <c r="L709" s="230"/>
      <c r="M709" s="54"/>
      <c r="T709" s="229"/>
    </row>
    <row r="710">
      <c r="A710" s="20"/>
      <c r="B710" s="20"/>
      <c r="C710" s="21"/>
      <c r="D710" s="22"/>
      <c r="E710" s="23"/>
      <c r="F710" s="25"/>
      <c r="G710" s="26"/>
      <c r="H710" s="28"/>
      <c r="I710" s="29"/>
      <c r="J710" s="30"/>
      <c r="K710" s="31"/>
      <c r="L710" s="28"/>
      <c r="M710" s="32"/>
      <c r="T710" s="229"/>
    </row>
    <row r="711">
      <c r="A711" s="36"/>
      <c r="B711" s="20"/>
      <c r="C711" s="21"/>
      <c r="D711" s="22"/>
      <c r="E711" s="23"/>
      <c r="F711" s="25"/>
      <c r="G711" s="26"/>
      <c r="H711" s="29"/>
      <c r="I711" s="29"/>
      <c r="J711" s="30"/>
      <c r="K711" s="42"/>
      <c r="L711" s="230"/>
      <c r="M711" s="54"/>
      <c r="T711" s="229"/>
    </row>
    <row r="712">
      <c r="A712" s="20"/>
      <c r="B712" s="20"/>
      <c r="C712" s="21"/>
      <c r="D712" s="22"/>
      <c r="E712" s="23"/>
      <c r="F712" s="25"/>
      <c r="G712" s="26"/>
      <c r="H712" s="29"/>
      <c r="I712" s="29"/>
      <c r="J712" s="30"/>
      <c r="K712" s="42"/>
      <c r="L712" s="230"/>
      <c r="M712" s="54"/>
      <c r="T712" s="229"/>
    </row>
    <row r="713">
      <c r="A713" s="20"/>
      <c r="B713" s="20"/>
      <c r="C713" s="21"/>
      <c r="D713" s="22"/>
      <c r="E713" s="23"/>
      <c r="F713" s="25"/>
      <c r="G713" s="26"/>
      <c r="H713" s="29"/>
      <c r="I713" s="29"/>
      <c r="J713" s="30"/>
      <c r="K713" s="42"/>
      <c r="L713" s="230"/>
      <c r="M713" s="54"/>
      <c r="T713" s="229"/>
    </row>
    <row r="714">
      <c r="A714" s="20"/>
      <c r="B714" s="20"/>
      <c r="C714" s="21"/>
      <c r="D714" s="22"/>
      <c r="E714" s="23"/>
      <c r="F714" s="25"/>
      <c r="G714" s="26"/>
      <c r="H714" s="29"/>
      <c r="I714" s="29"/>
      <c r="J714" s="30"/>
      <c r="K714" s="42"/>
      <c r="L714" s="230"/>
      <c r="M714" s="54"/>
      <c r="T714" s="229"/>
    </row>
    <row r="715">
      <c r="A715" s="20"/>
      <c r="B715" s="20"/>
      <c r="C715" s="21"/>
      <c r="D715" s="22"/>
      <c r="E715" s="23"/>
      <c r="F715" s="25"/>
      <c r="G715" s="26"/>
      <c r="H715" s="29"/>
      <c r="I715" s="29"/>
      <c r="J715" s="30"/>
      <c r="K715" s="42"/>
      <c r="L715" s="28"/>
      <c r="M715" s="54"/>
      <c r="T715" s="229"/>
    </row>
    <row r="716">
      <c r="A716" s="20"/>
      <c r="B716" s="20"/>
      <c r="C716" s="21"/>
      <c r="D716" s="22"/>
      <c r="E716" s="23"/>
      <c r="F716" s="25"/>
      <c r="G716" s="26"/>
      <c r="H716" s="29"/>
      <c r="I716" s="29"/>
      <c r="J716" s="30"/>
      <c r="K716" s="42"/>
      <c r="L716" s="230"/>
      <c r="M716" s="54"/>
      <c r="T716" s="229"/>
    </row>
    <row r="717">
      <c r="A717" s="20"/>
      <c r="B717" s="20"/>
      <c r="C717" s="21"/>
      <c r="D717" s="22"/>
      <c r="E717" s="23"/>
      <c r="F717" s="25"/>
      <c r="G717" s="26"/>
      <c r="H717" s="29"/>
      <c r="I717" s="29"/>
      <c r="J717" s="30"/>
      <c r="K717" s="42"/>
      <c r="L717" s="230"/>
      <c r="M717" s="54"/>
      <c r="T717" s="229"/>
    </row>
    <row r="718">
      <c r="A718" s="20"/>
      <c r="B718" s="20"/>
      <c r="C718" s="21"/>
      <c r="D718" s="22"/>
      <c r="E718" s="23"/>
      <c r="F718" s="25"/>
      <c r="G718" s="26"/>
      <c r="H718" s="29"/>
      <c r="I718" s="29"/>
      <c r="J718" s="30"/>
      <c r="K718" s="42"/>
      <c r="L718" s="230"/>
      <c r="M718" s="54"/>
      <c r="T718" s="229"/>
    </row>
    <row r="719">
      <c r="A719" s="20"/>
      <c r="B719" s="20"/>
      <c r="C719" s="21"/>
      <c r="D719" s="22"/>
      <c r="E719" s="23"/>
      <c r="F719" s="25"/>
      <c r="G719" s="26"/>
      <c r="H719" s="29"/>
      <c r="I719" s="29"/>
      <c r="J719" s="30"/>
      <c r="K719" s="42"/>
      <c r="L719" s="230"/>
      <c r="M719" s="54"/>
      <c r="N719" s="231"/>
      <c r="T719" s="229"/>
    </row>
    <row r="720">
      <c r="A720" s="20"/>
      <c r="B720" s="20"/>
      <c r="C720" s="21"/>
      <c r="D720" s="22"/>
      <c r="E720" s="23"/>
      <c r="F720" s="25"/>
      <c r="G720" s="26"/>
      <c r="H720" s="29"/>
      <c r="I720" s="29"/>
      <c r="J720" s="30"/>
      <c r="K720" s="42"/>
      <c r="L720" s="230"/>
      <c r="M720" s="54"/>
      <c r="N720" s="231"/>
      <c r="T720" s="229"/>
    </row>
    <row r="721">
      <c r="A721" s="20"/>
      <c r="B721" s="20"/>
      <c r="C721" s="21"/>
      <c r="D721" s="22"/>
      <c r="E721" s="23"/>
      <c r="F721" s="25"/>
      <c r="G721" s="26"/>
      <c r="H721" s="29"/>
      <c r="I721" s="29"/>
      <c r="J721" s="30"/>
      <c r="K721" s="42"/>
      <c r="L721" s="230"/>
      <c r="M721" s="54"/>
      <c r="N721" s="231"/>
      <c r="T721" s="229"/>
    </row>
    <row r="722">
      <c r="A722" s="20"/>
      <c r="B722" s="20"/>
      <c r="C722" s="21"/>
      <c r="D722" s="22"/>
      <c r="E722" s="23"/>
      <c r="F722" s="25"/>
      <c r="G722" s="26"/>
      <c r="H722" s="62"/>
      <c r="I722" s="62"/>
      <c r="J722" s="81"/>
      <c r="K722" s="64"/>
      <c r="L722" s="230"/>
      <c r="M722" s="66"/>
      <c r="N722" s="231"/>
      <c r="T722" s="229"/>
    </row>
    <row r="723">
      <c r="A723" s="20"/>
      <c r="B723" s="20"/>
      <c r="C723" s="21"/>
      <c r="D723" s="22"/>
      <c r="E723" s="23"/>
      <c r="F723" s="25"/>
      <c r="G723" s="26"/>
      <c r="H723" s="29"/>
      <c r="I723" s="29"/>
      <c r="J723" s="30"/>
      <c r="K723" s="42"/>
      <c r="L723" s="230"/>
      <c r="M723" s="54"/>
      <c r="T723" s="229"/>
    </row>
    <row r="724">
      <c r="A724" s="20"/>
      <c r="B724" s="20"/>
      <c r="C724" s="21"/>
      <c r="D724" s="22"/>
      <c r="E724" s="23"/>
      <c r="F724" s="25"/>
      <c r="G724" s="26"/>
      <c r="H724" s="29"/>
      <c r="I724" s="29"/>
      <c r="J724" s="30"/>
      <c r="K724" s="42"/>
      <c r="L724" s="230"/>
      <c r="M724" s="54"/>
      <c r="N724" s="231"/>
      <c r="T724" s="229"/>
    </row>
    <row r="725">
      <c r="A725" s="20"/>
      <c r="B725" s="20"/>
      <c r="C725" s="21"/>
      <c r="D725" s="22"/>
      <c r="E725" s="23"/>
      <c r="F725" s="25"/>
      <c r="G725" s="26"/>
      <c r="H725" s="29"/>
      <c r="I725" s="29"/>
      <c r="J725" s="30"/>
      <c r="K725" s="42"/>
      <c r="L725" s="230"/>
      <c r="M725" s="54"/>
      <c r="T725" s="229"/>
    </row>
    <row r="726">
      <c r="A726" s="122"/>
      <c r="B726" s="122"/>
      <c r="C726" s="242"/>
      <c r="D726" s="253"/>
      <c r="E726" s="236"/>
      <c r="F726" s="123"/>
      <c r="G726" s="135"/>
      <c r="H726" s="122"/>
      <c r="I726" s="122"/>
      <c r="J726" s="242"/>
      <c r="K726" s="254"/>
      <c r="L726" s="255"/>
      <c r="M726" s="73"/>
      <c r="T726" s="229"/>
    </row>
    <row r="727">
      <c r="A727" s="20"/>
      <c r="B727" s="20"/>
      <c r="C727" s="21"/>
      <c r="D727" s="22"/>
      <c r="E727" s="23"/>
      <c r="F727" s="25"/>
      <c r="G727" s="26"/>
      <c r="H727" s="29"/>
      <c r="I727" s="29"/>
      <c r="J727" s="30"/>
      <c r="K727" s="42"/>
      <c r="L727" s="230"/>
      <c r="M727" s="54"/>
      <c r="T727" s="229"/>
    </row>
    <row r="728">
      <c r="A728" s="20"/>
      <c r="B728" s="20"/>
      <c r="C728" s="21"/>
      <c r="D728" s="22"/>
      <c r="E728" s="23"/>
      <c r="F728" s="25"/>
      <c r="G728" s="26"/>
      <c r="H728" s="29"/>
      <c r="I728" s="29"/>
      <c r="J728" s="30"/>
      <c r="K728" s="42"/>
      <c r="L728" s="30"/>
      <c r="M728" s="79"/>
      <c r="T728" s="229"/>
    </row>
    <row r="729">
      <c r="A729" s="20"/>
      <c r="B729" s="20"/>
      <c r="C729" s="21"/>
      <c r="D729" s="22"/>
      <c r="E729" s="23"/>
      <c r="F729" s="25"/>
      <c r="G729" s="26"/>
      <c r="H729" s="29"/>
      <c r="I729" s="29"/>
      <c r="J729" s="30"/>
      <c r="K729" s="42"/>
      <c r="L729" s="230"/>
      <c r="M729" s="54"/>
      <c r="T729" s="229"/>
    </row>
    <row r="730">
      <c r="A730" s="20"/>
      <c r="B730" s="20"/>
      <c r="C730" s="21"/>
      <c r="D730" s="22"/>
      <c r="E730" s="23"/>
      <c r="F730" s="25"/>
      <c r="G730" s="26"/>
      <c r="H730" s="29"/>
      <c r="I730" s="29"/>
      <c r="J730" s="30"/>
      <c r="K730" s="42"/>
      <c r="L730" s="230"/>
      <c r="M730" s="54"/>
      <c r="T730" s="229"/>
    </row>
    <row r="731">
      <c r="A731" s="20"/>
      <c r="B731" s="20"/>
      <c r="C731" s="21"/>
      <c r="D731" s="22"/>
      <c r="E731" s="23"/>
      <c r="F731" s="25"/>
      <c r="G731" s="26"/>
      <c r="H731" s="29"/>
      <c r="I731" s="29"/>
      <c r="J731" s="30"/>
      <c r="K731" s="42"/>
      <c r="L731" s="230"/>
      <c r="M731" s="54"/>
      <c r="T731" s="229"/>
    </row>
    <row r="732">
      <c r="A732" s="20"/>
      <c r="B732" s="20"/>
      <c r="C732" s="21"/>
      <c r="D732" s="22"/>
      <c r="E732" s="23"/>
      <c r="F732" s="25"/>
      <c r="G732" s="26"/>
      <c r="H732" s="29"/>
      <c r="I732" s="29"/>
      <c r="J732" s="30"/>
      <c r="K732" s="42"/>
      <c r="L732" s="230"/>
      <c r="M732" s="54"/>
      <c r="T732" s="229"/>
    </row>
    <row r="733">
      <c r="A733" s="87"/>
      <c r="B733" s="87"/>
      <c r="C733" s="75"/>
      <c r="D733" s="149"/>
      <c r="E733" s="23"/>
      <c r="F733" s="155"/>
      <c r="G733" s="26"/>
      <c r="H733" s="62"/>
      <c r="I733" s="62"/>
      <c r="J733" s="81"/>
      <c r="K733" s="64"/>
      <c r="L733" s="256"/>
      <c r="M733" s="54"/>
      <c r="N733" s="238"/>
      <c r="T733" s="229"/>
    </row>
    <row r="734">
      <c r="A734" s="20"/>
      <c r="B734" s="20"/>
      <c r="C734" s="21"/>
      <c r="D734" s="22"/>
      <c r="E734" s="23"/>
      <c r="F734" s="25"/>
      <c r="G734" s="26"/>
      <c r="H734" s="29"/>
      <c r="I734" s="29"/>
      <c r="J734" s="30"/>
      <c r="K734" s="42"/>
      <c r="L734" s="239"/>
      <c r="M734" s="54"/>
      <c r="N734" s="240"/>
      <c r="T734" s="229"/>
    </row>
    <row r="735">
      <c r="A735" s="20"/>
      <c r="B735" s="20"/>
      <c r="C735" s="21"/>
      <c r="D735" s="22"/>
      <c r="E735" s="23"/>
      <c r="F735" s="25"/>
      <c r="G735" s="26"/>
      <c r="H735" s="29"/>
      <c r="I735" s="29"/>
      <c r="J735" s="30"/>
      <c r="K735" s="42"/>
      <c r="L735" s="239"/>
      <c r="M735" s="54"/>
      <c r="T735" s="229"/>
    </row>
    <row r="736">
      <c r="A736" s="20"/>
      <c r="B736" s="20"/>
      <c r="C736" s="21"/>
      <c r="D736" s="22"/>
      <c r="E736" s="23"/>
      <c r="F736" s="25"/>
      <c r="G736" s="26"/>
      <c r="H736" s="29"/>
      <c r="I736" s="29"/>
      <c r="J736" s="30"/>
      <c r="K736" s="42"/>
      <c r="L736" s="230"/>
      <c r="M736" s="54"/>
      <c r="T736" s="229"/>
    </row>
    <row r="737">
      <c r="A737" s="20"/>
      <c r="B737" s="20"/>
      <c r="C737" s="21"/>
      <c r="D737" s="22"/>
      <c r="E737" s="23"/>
      <c r="F737" s="25"/>
      <c r="G737" s="26"/>
      <c r="H737" s="29"/>
      <c r="I737" s="29"/>
      <c r="J737" s="30"/>
      <c r="K737" s="42"/>
      <c r="L737" s="230"/>
      <c r="M737" s="54"/>
      <c r="T737" s="229"/>
    </row>
    <row r="738">
      <c r="A738" s="20"/>
      <c r="B738" s="20"/>
      <c r="C738" s="21"/>
      <c r="D738" s="22"/>
      <c r="E738" s="23"/>
      <c r="F738" s="25"/>
      <c r="G738" s="26"/>
      <c r="H738" s="29"/>
      <c r="I738" s="29"/>
      <c r="J738" s="30"/>
      <c r="K738" s="42"/>
      <c r="L738" s="230"/>
      <c r="M738" s="54"/>
      <c r="T738" s="229"/>
    </row>
    <row r="739">
      <c r="A739" s="84"/>
      <c r="B739" s="84"/>
      <c r="C739" s="21"/>
      <c r="D739" s="22"/>
      <c r="E739" s="23"/>
      <c r="F739" s="25"/>
      <c r="G739" s="26"/>
      <c r="H739" s="28"/>
      <c r="I739" s="29"/>
      <c r="J739" s="30"/>
      <c r="K739" s="31"/>
      <c r="L739" s="121"/>
      <c r="M739" s="32"/>
      <c r="T739" s="229"/>
    </row>
    <row r="740">
      <c r="A740" s="84"/>
      <c r="B740" s="84"/>
      <c r="C740" s="21"/>
      <c r="D740" s="22"/>
      <c r="E740" s="23"/>
      <c r="F740" s="25"/>
      <c r="G740" s="26"/>
      <c r="H740" s="28"/>
      <c r="I740" s="29"/>
      <c r="J740" s="30"/>
      <c r="K740" s="31"/>
      <c r="L740" s="121"/>
      <c r="M740" s="32"/>
      <c r="T740" s="229"/>
    </row>
    <row r="741">
      <c r="A741" s="84"/>
      <c r="B741" s="84"/>
      <c r="C741" s="21"/>
      <c r="D741" s="22"/>
      <c r="E741" s="23"/>
      <c r="F741" s="25"/>
      <c r="G741" s="26"/>
      <c r="H741" s="241"/>
      <c r="I741" s="29"/>
      <c r="J741" s="29"/>
      <c r="K741" s="94"/>
      <c r="L741" s="92"/>
      <c r="M741" s="91"/>
      <c r="T741" s="229"/>
    </row>
    <row r="742">
      <c r="A742" s="84"/>
      <c r="B742" s="84"/>
      <c r="C742" s="21"/>
      <c r="D742" s="22"/>
      <c r="E742" s="23"/>
      <c r="F742" s="25"/>
      <c r="G742" s="26"/>
      <c r="H742" s="28"/>
      <c r="I742" s="29"/>
      <c r="J742" s="30"/>
      <c r="K742" s="31"/>
      <c r="L742" s="92"/>
      <c r="M742" s="32"/>
      <c r="T742" s="229"/>
    </row>
    <row r="743">
      <c r="A743" s="84"/>
      <c r="B743" s="84"/>
      <c r="C743" s="21"/>
      <c r="D743" s="22"/>
      <c r="E743" s="23"/>
      <c r="F743" s="25"/>
      <c r="G743" s="26"/>
      <c r="H743" s="28"/>
      <c r="I743" s="29"/>
      <c r="J743" s="30"/>
      <c r="K743" s="31"/>
      <c r="L743" s="121"/>
      <c r="M743" s="32"/>
      <c r="T743" s="229"/>
    </row>
    <row r="744">
      <c r="A744" s="84"/>
      <c r="B744" s="84"/>
      <c r="C744" s="21"/>
      <c r="D744" s="22"/>
      <c r="E744" s="23"/>
      <c r="F744" s="25"/>
      <c r="G744" s="26"/>
      <c r="H744" s="28"/>
      <c r="I744" s="29"/>
      <c r="J744" s="30"/>
      <c r="K744" s="31"/>
      <c r="L744" s="28"/>
      <c r="M744" s="32"/>
      <c r="T744" s="229"/>
    </row>
    <row r="745">
      <c r="A745" s="84"/>
      <c r="B745" s="84"/>
      <c r="C745" s="21"/>
      <c r="D745" s="22"/>
      <c r="E745" s="23"/>
      <c r="F745" s="25"/>
      <c r="G745" s="26"/>
      <c r="H745" s="262"/>
      <c r="I745" s="62"/>
      <c r="J745" s="81"/>
      <c r="K745" s="263"/>
      <c r="L745" s="121"/>
      <c r="M745" s="264"/>
      <c r="T745" s="229"/>
    </row>
    <row r="746">
      <c r="A746" s="84"/>
      <c r="B746" s="84"/>
      <c r="C746" s="21"/>
      <c r="D746" s="22"/>
      <c r="E746" s="23"/>
      <c r="F746" s="25"/>
      <c r="G746" s="26"/>
      <c r="H746" s="28"/>
      <c r="I746" s="29"/>
      <c r="J746" s="30"/>
      <c r="K746" s="31"/>
      <c r="L746" s="32"/>
      <c r="M746" s="32"/>
      <c r="N746" s="232"/>
      <c r="T746" s="229"/>
    </row>
    <row r="747">
      <c r="A747" s="84"/>
      <c r="B747" s="84"/>
      <c r="C747" s="21"/>
      <c r="D747" s="22"/>
      <c r="E747" s="23"/>
      <c r="F747" s="25"/>
      <c r="G747" s="26"/>
      <c r="H747" s="28"/>
      <c r="I747" s="29"/>
      <c r="J747" s="30"/>
      <c r="K747" s="31"/>
      <c r="L747" s="260"/>
      <c r="M747" s="32"/>
      <c r="N747" s="232"/>
      <c r="T747" s="229"/>
    </row>
    <row r="748">
      <c r="A748" s="84"/>
      <c r="B748" s="84"/>
      <c r="C748" s="21"/>
      <c r="D748" s="22"/>
      <c r="E748" s="23"/>
      <c r="F748" s="25"/>
      <c r="G748" s="26"/>
      <c r="H748" s="28"/>
      <c r="I748" s="29"/>
      <c r="J748" s="30"/>
      <c r="K748" s="31"/>
      <c r="L748" s="260"/>
      <c r="M748" s="32"/>
      <c r="N748" s="232"/>
      <c r="T748" s="229"/>
    </row>
    <row r="749">
      <c r="A749" s="84"/>
      <c r="B749" s="84"/>
      <c r="C749" s="21"/>
      <c r="D749" s="22"/>
      <c r="E749" s="23"/>
      <c r="F749" s="25"/>
      <c r="G749" s="26"/>
      <c r="H749" s="28"/>
      <c r="I749" s="29"/>
      <c r="J749" s="30"/>
      <c r="K749" s="31"/>
      <c r="L749" s="260"/>
      <c r="M749" s="32"/>
      <c r="N749" s="232"/>
      <c r="T749" s="229"/>
    </row>
    <row r="750">
      <c r="A750" s="84"/>
      <c r="B750" s="84"/>
      <c r="C750" s="21"/>
      <c r="D750" s="22"/>
      <c r="E750" s="23"/>
      <c r="F750" s="25"/>
      <c r="G750" s="26"/>
      <c r="H750" s="28"/>
      <c r="I750" s="29"/>
      <c r="J750" s="30"/>
      <c r="K750" s="31"/>
      <c r="L750" s="260"/>
      <c r="M750" s="32"/>
      <c r="N750" s="232"/>
      <c r="T750" s="229"/>
    </row>
    <row r="751">
      <c r="A751" s="84"/>
      <c r="B751" s="84"/>
      <c r="C751" s="21"/>
      <c r="D751" s="22"/>
      <c r="E751" s="23"/>
      <c r="F751" s="25"/>
      <c r="G751" s="26"/>
      <c r="H751" s="28"/>
      <c r="I751" s="29"/>
      <c r="J751" s="30"/>
      <c r="K751" s="31"/>
      <c r="L751" s="57"/>
      <c r="M751" s="57"/>
      <c r="N751" s="232"/>
      <c r="T751" s="229"/>
    </row>
    <row r="752">
      <c r="A752" s="84"/>
      <c r="B752" s="84"/>
      <c r="C752" s="21"/>
      <c r="D752" s="22"/>
      <c r="E752" s="23"/>
      <c r="F752" s="25"/>
      <c r="G752" s="26"/>
      <c r="H752" s="29"/>
      <c r="I752" s="29"/>
      <c r="J752" s="30"/>
      <c r="K752" s="42"/>
      <c r="L752" s="57"/>
      <c r="M752" s="54"/>
      <c r="N752" s="232"/>
      <c r="T752" s="229"/>
    </row>
    <row r="753">
      <c r="A753" s="20"/>
      <c r="B753" s="20"/>
      <c r="C753" s="21"/>
      <c r="D753" s="22"/>
      <c r="E753" s="23"/>
      <c r="F753" s="25"/>
      <c r="G753" s="26"/>
      <c r="H753" s="28"/>
      <c r="I753" s="29"/>
      <c r="J753" s="30"/>
      <c r="K753" s="31"/>
      <c r="L753" s="275"/>
      <c r="M753" s="32"/>
      <c r="N753" s="232"/>
      <c r="T753" s="229"/>
    </row>
    <row r="754">
      <c r="A754" s="20"/>
      <c r="B754" s="20"/>
      <c r="C754" s="21"/>
      <c r="D754" s="22"/>
      <c r="E754" s="23"/>
      <c r="F754" s="25"/>
      <c r="G754" s="26"/>
      <c r="H754" s="28"/>
      <c r="I754" s="29"/>
      <c r="J754" s="30"/>
      <c r="K754" s="31"/>
      <c r="L754" s="28"/>
      <c r="M754" s="32"/>
      <c r="N754" s="232"/>
      <c r="T754" s="229"/>
    </row>
    <row r="755">
      <c r="A755" s="20"/>
      <c r="B755" s="20"/>
      <c r="C755" s="21"/>
      <c r="D755" s="22"/>
      <c r="E755" s="23"/>
      <c r="F755" s="25"/>
      <c r="G755" s="26"/>
      <c r="H755" s="28"/>
      <c r="I755" s="29"/>
      <c r="J755" s="30"/>
      <c r="K755" s="31"/>
      <c r="L755" s="230"/>
      <c r="M755" s="32"/>
      <c r="N755" s="232"/>
      <c r="T755" s="229"/>
    </row>
    <row r="756">
      <c r="A756" s="20"/>
      <c r="B756" s="20"/>
      <c r="C756" s="21"/>
      <c r="D756" s="22"/>
      <c r="E756" s="23"/>
      <c r="F756" s="25"/>
      <c r="G756" s="26"/>
      <c r="H756" s="28"/>
      <c r="I756" s="29"/>
      <c r="J756" s="30"/>
      <c r="K756" s="31"/>
      <c r="L756" s="230"/>
      <c r="M756" s="32"/>
      <c r="T756" s="229"/>
    </row>
    <row r="757">
      <c r="A757" s="20"/>
      <c r="B757" s="20"/>
      <c r="C757" s="21"/>
      <c r="D757" s="22"/>
      <c r="E757" s="23"/>
      <c r="F757" s="25"/>
      <c r="G757" s="26"/>
      <c r="H757" s="28"/>
      <c r="I757" s="29"/>
      <c r="J757" s="30"/>
      <c r="K757" s="31"/>
      <c r="L757" s="230"/>
      <c r="M757" s="32"/>
      <c r="N757" s="232"/>
      <c r="T757" s="229"/>
    </row>
    <row r="758">
      <c r="A758" s="20"/>
      <c r="B758" s="20"/>
      <c r="C758" s="21"/>
      <c r="D758" s="22"/>
      <c r="E758" s="23"/>
      <c r="F758" s="25"/>
      <c r="G758" s="26"/>
      <c r="H758" s="28"/>
      <c r="I758" s="29"/>
      <c r="J758" s="30"/>
      <c r="K758" s="31"/>
      <c r="L758" s="230"/>
      <c r="M758" s="32"/>
      <c r="N758" s="232"/>
      <c r="T758" s="229"/>
    </row>
    <row r="759">
      <c r="A759" s="20"/>
      <c r="B759" s="20"/>
      <c r="C759" s="21"/>
      <c r="D759" s="22"/>
      <c r="E759" s="23"/>
      <c r="F759" s="25"/>
      <c r="G759" s="26"/>
      <c r="H759" s="262"/>
      <c r="I759" s="62"/>
      <c r="J759" s="81"/>
      <c r="K759" s="263"/>
      <c r="L759" s="230"/>
      <c r="M759" s="264"/>
      <c r="N759" s="232"/>
      <c r="T759" s="229"/>
    </row>
    <row r="760">
      <c r="A760" s="20"/>
      <c r="B760" s="20"/>
      <c r="C760" s="21"/>
      <c r="D760" s="22"/>
      <c r="E760" s="23"/>
      <c r="F760" s="25"/>
      <c r="G760" s="26"/>
      <c r="H760" s="28"/>
      <c r="I760" s="29"/>
      <c r="J760" s="30"/>
      <c r="K760" s="31"/>
      <c r="L760" s="230"/>
      <c r="M760" s="32"/>
      <c r="N760" s="232"/>
      <c r="T760" s="229"/>
    </row>
    <row r="761">
      <c r="A761" s="20"/>
      <c r="B761" s="20"/>
      <c r="C761" s="21"/>
      <c r="D761" s="22"/>
      <c r="E761" s="23"/>
      <c r="F761" s="25"/>
      <c r="G761" s="26"/>
      <c r="H761" s="28"/>
      <c r="I761" s="29"/>
      <c r="J761" s="30"/>
      <c r="K761" s="31"/>
      <c r="L761" s="239"/>
      <c r="M761" s="32"/>
      <c r="N761" s="232"/>
      <c r="T761" s="229"/>
    </row>
    <row r="762">
      <c r="A762" s="20"/>
      <c r="B762" s="20"/>
      <c r="C762" s="21"/>
      <c r="D762" s="22"/>
      <c r="E762" s="23"/>
      <c r="F762" s="25"/>
      <c r="G762" s="26"/>
      <c r="H762" s="28"/>
      <c r="I762" s="29"/>
      <c r="J762" s="30"/>
      <c r="K762" s="31"/>
      <c r="L762" s="230"/>
      <c r="M762" s="32"/>
      <c r="N762" s="232"/>
      <c r="T762" s="229"/>
    </row>
    <row r="763">
      <c r="A763" s="20"/>
      <c r="B763" s="20"/>
      <c r="C763" s="21"/>
      <c r="D763" s="22"/>
      <c r="E763" s="23"/>
      <c r="F763" s="25"/>
      <c r="G763" s="26"/>
      <c r="H763" s="28"/>
      <c r="I763" s="29"/>
      <c r="J763" s="30"/>
      <c r="K763" s="31"/>
      <c r="L763" s="230"/>
      <c r="M763" s="32"/>
      <c r="N763" s="232"/>
      <c r="T763" s="229"/>
    </row>
    <row r="764">
      <c r="A764" s="20"/>
      <c r="B764" s="20"/>
      <c r="C764" s="21"/>
      <c r="D764" s="22"/>
      <c r="E764" s="23"/>
      <c r="F764" s="25"/>
      <c r="G764" s="26"/>
      <c r="H764" s="28"/>
      <c r="I764" s="29"/>
      <c r="J764" s="30"/>
      <c r="K764" s="31"/>
      <c r="L764" s="230"/>
      <c r="M764" s="32"/>
      <c r="N764" s="232"/>
      <c r="T764" s="229"/>
    </row>
    <row r="765">
      <c r="A765" s="20"/>
      <c r="B765" s="20"/>
      <c r="C765" s="21"/>
      <c r="D765" s="22"/>
      <c r="E765" s="23"/>
      <c r="F765" s="25"/>
      <c r="G765" s="26"/>
      <c r="H765" s="28"/>
      <c r="I765" s="29"/>
      <c r="J765" s="30"/>
      <c r="K765" s="31"/>
      <c r="L765" s="230"/>
      <c r="M765" s="32"/>
      <c r="N765" s="232"/>
      <c r="T765" s="229"/>
    </row>
    <row r="766">
      <c r="A766" s="20"/>
      <c r="B766" s="20"/>
      <c r="C766" s="21"/>
      <c r="D766" s="22"/>
      <c r="E766" s="23"/>
      <c r="F766" s="25"/>
      <c r="G766" s="26"/>
      <c r="H766" s="28"/>
      <c r="I766" s="29"/>
      <c r="J766" s="30"/>
      <c r="K766" s="31"/>
      <c r="L766" s="230"/>
      <c r="M766" s="32"/>
      <c r="N766" s="232"/>
      <c r="T766" s="229"/>
    </row>
    <row r="767">
      <c r="A767" s="20"/>
      <c r="B767" s="20"/>
      <c r="C767" s="21"/>
      <c r="D767" s="22"/>
      <c r="E767" s="23"/>
      <c r="F767" s="25"/>
      <c r="G767" s="26"/>
      <c r="H767" s="28"/>
      <c r="I767" s="29"/>
      <c r="J767" s="30"/>
      <c r="K767" s="31"/>
      <c r="L767" s="230"/>
      <c r="M767" s="32"/>
      <c r="N767" s="232"/>
      <c r="T767" s="229"/>
    </row>
    <row r="768">
      <c r="A768" s="20"/>
      <c r="B768" s="20"/>
      <c r="C768" s="21"/>
      <c r="D768" s="22"/>
      <c r="E768" s="23"/>
      <c r="F768" s="25"/>
      <c r="G768" s="26"/>
      <c r="H768" s="28"/>
      <c r="I768" s="29"/>
      <c r="J768" s="30"/>
      <c r="K768" s="31"/>
      <c r="L768" s="230"/>
      <c r="M768" s="32"/>
      <c r="N768" s="232"/>
      <c r="T768" s="229"/>
    </row>
    <row r="769">
      <c r="A769" s="20"/>
      <c r="B769" s="20"/>
      <c r="C769" s="21"/>
      <c r="D769" s="22"/>
      <c r="E769" s="23"/>
      <c r="F769" s="25"/>
      <c r="G769" s="26"/>
      <c r="H769" s="28"/>
      <c r="I769" s="29"/>
      <c r="J769" s="30"/>
      <c r="K769" s="31"/>
      <c r="L769" s="265"/>
      <c r="M769" s="32"/>
      <c r="N769" s="232"/>
      <c r="T769" s="229"/>
    </row>
    <row r="770">
      <c r="A770" s="20"/>
      <c r="B770" s="20"/>
      <c r="C770" s="21"/>
      <c r="D770" s="22"/>
      <c r="E770" s="242"/>
      <c r="F770" s="25"/>
      <c r="G770" s="26"/>
      <c r="H770" s="28"/>
      <c r="I770" s="29"/>
      <c r="J770" s="30"/>
      <c r="K770" s="31"/>
      <c r="L770" s="246"/>
      <c r="M770" s="32"/>
      <c r="N770" s="232"/>
      <c r="T770" s="229"/>
    </row>
    <row r="771">
      <c r="A771" s="20"/>
      <c r="B771" s="20"/>
      <c r="C771" s="21"/>
      <c r="D771" s="22"/>
      <c r="E771" s="23"/>
      <c r="F771" s="25"/>
      <c r="G771" s="26"/>
      <c r="H771" s="28"/>
      <c r="I771" s="29"/>
      <c r="J771" s="30"/>
      <c r="K771" s="31"/>
      <c r="L771" s="28"/>
      <c r="M771" s="32"/>
      <c r="N771" s="232"/>
      <c r="T771" s="229"/>
    </row>
    <row r="772">
      <c r="A772" s="20"/>
      <c r="B772" s="20"/>
      <c r="C772" s="21"/>
      <c r="D772" s="22"/>
      <c r="E772" s="23"/>
      <c r="F772" s="25"/>
      <c r="G772" s="26"/>
      <c r="H772" s="28"/>
      <c r="I772" s="29"/>
      <c r="J772" s="30"/>
      <c r="K772" s="31"/>
      <c r="L772" s="28"/>
      <c r="M772" s="32"/>
      <c r="N772" s="232"/>
      <c r="T772" s="229"/>
    </row>
    <row r="773">
      <c r="A773" s="20"/>
      <c r="B773" s="20"/>
      <c r="C773" s="21"/>
      <c r="D773" s="22"/>
      <c r="E773" s="23"/>
      <c r="F773" s="25"/>
      <c r="G773" s="26"/>
      <c r="H773" s="28"/>
      <c r="I773" s="29"/>
      <c r="J773" s="30"/>
      <c r="K773" s="31"/>
      <c r="L773" s="28"/>
      <c r="M773" s="32"/>
      <c r="N773" s="232"/>
      <c r="T773" s="229"/>
    </row>
    <row r="774">
      <c r="A774" s="20"/>
      <c r="B774" s="20"/>
      <c r="C774" s="21"/>
      <c r="D774" s="22"/>
      <c r="E774" s="23"/>
      <c r="F774" s="25"/>
      <c r="G774" s="26"/>
      <c r="H774" s="28"/>
      <c r="I774" s="29"/>
      <c r="J774" s="30"/>
      <c r="K774" s="31"/>
      <c r="L774" s="28"/>
      <c r="M774" s="32"/>
      <c r="N774" s="232"/>
      <c r="T774" s="229"/>
    </row>
    <row r="775">
      <c r="A775" s="20"/>
      <c r="B775" s="20"/>
      <c r="C775" s="21"/>
      <c r="D775" s="22"/>
      <c r="E775" s="23"/>
      <c r="F775" s="25"/>
      <c r="G775" s="26"/>
      <c r="H775" s="28"/>
      <c r="I775" s="29"/>
      <c r="J775" s="30"/>
      <c r="K775" s="31"/>
      <c r="L775" s="28"/>
      <c r="M775" s="32"/>
      <c r="N775" s="232"/>
      <c r="T775" s="229"/>
    </row>
    <row r="776">
      <c r="A776" s="20"/>
      <c r="B776" s="20"/>
      <c r="C776" s="21"/>
      <c r="D776" s="22"/>
      <c r="E776" s="23"/>
      <c r="F776" s="25"/>
      <c r="G776" s="26"/>
      <c r="H776" s="28"/>
      <c r="I776" s="29"/>
      <c r="J776" s="30"/>
      <c r="K776" s="31"/>
      <c r="L776" s="28"/>
      <c r="M776" s="32"/>
      <c r="N776" s="232"/>
      <c r="T776" s="229"/>
    </row>
    <row r="777">
      <c r="A777" s="20"/>
      <c r="B777" s="20"/>
      <c r="C777" s="21"/>
      <c r="D777" s="22"/>
      <c r="E777" s="23"/>
      <c r="F777" s="25"/>
      <c r="G777" s="26"/>
      <c r="H777" s="28"/>
      <c r="I777" s="29"/>
      <c r="J777" s="30"/>
      <c r="K777" s="31"/>
      <c r="L777" s="262"/>
      <c r="M777" s="32"/>
      <c r="N777" s="232"/>
      <c r="T777" s="229"/>
    </row>
    <row r="778">
      <c r="A778" s="20"/>
      <c r="B778" s="20"/>
      <c r="C778" s="21"/>
      <c r="D778" s="22"/>
      <c r="E778" s="23"/>
      <c r="F778" s="25"/>
      <c r="G778" s="26"/>
      <c r="H778" s="28"/>
      <c r="I778" s="29"/>
      <c r="J778" s="30"/>
      <c r="K778" s="31"/>
      <c r="L778" s="28"/>
      <c r="M778" s="32"/>
      <c r="N778" s="232"/>
      <c r="T778" s="229"/>
    </row>
    <row r="779">
      <c r="A779" s="20"/>
      <c r="B779" s="20"/>
      <c r="C779" s="21"/>
      <c r="D779" s="22"/>
      <c r="E779" s="23"/>
      <c r="F779" s="25"/>
      <c r="G779" s="26"/>
      <c r="H779" s="28"/>
      <c r="I779" s="29"/>
      <c r="J779" s="30"/>
      <c r="K779" s="31"/>
      <c r="L779" s="28"/>
      <c r="M779" s="32"/>
      <c r="N779" s="232"/>
      <c r="T779" s="229"/>
    </row>
    <row r="780">
      <c r="A780" s="20"/>
      <c r="B780" s="20"/>
      <c r="C780" s="21"/>
      <c r="D780" s="22"/>
      <c r="E780" s="23"/>
      <c r="F780" s="25"/>
      <c r="G780" s="26"/>
      <c r="H780" s="28"/>
      <c r="I780" s="29"/>
      <c r="J780" s="30"/>
      <c r="K780" s="31"/>
      <c r="L780" s="28"/>
      <c r="M780" s="32"/>
      <c r="N780" s="232"/>
      <c r="T780" s="229"/>
    </row>
    <row r="781">
      <c r="A781" s="20"/>
      <c r="B781" s="20"/>
      <c r="C781" s="21"/>
      <c r="D781" s="22"/>
      <c r="E781" s="23"/>
      <c r="F781" s="25"/>
      <c r="G781" s="26"/>
      <c r="H781" s="28"/>
      <c r="I781" s="29"/>
      <c r="J781" s="30"/>
      <c r="K781" s="31"/>
      <c r="L781" s="28"/>
      <c r="M781" s="32"/>
      <c r="N781" s="232"/>
      <c r="T781" s="229"/>
    </row>
    <row r="782">
      <c r="A782" s="20"/>
      <c r="B782" s="20"/>
      <c r="C782" s="21"/>
      <c r="D782" s="22"/>
      <c r="E782" s="23"/>
      <c r="F782" s="25"/>
      <c r="G782" s="26"/>
      <c r="H782" s="28"/>
      <c r="I782" s="29"/>
      <c r="J782" s="30"/>
      <c r="K782" s="31"/>
      <c r="L782" s="57"/>
      <c r="M782" s="32"/>
      <c r="N782" s="232"/>
      <c r="T782" s="229"/>
    </row>
    <row r="783">
      <c r="A783" s="20"/>
      <c r="B783" s="20"/>
      <c r="C783" s="21"/>
      <c r="D783" s="22"/>
      <c r="E783" s="23"/>
      <c r="F783" s="25"/>
      <c r="G783" s="26"/>
      <c r="H783" s="28"/>
      <c r="I783" s="29"/>
      <c r="J783" s="30"/>
      <c r="K783" s="31"/>
      <c r="L783" s="28"/>
      <c r="M783" s="32"/>
      <c r="N783" s="232"/>
      <c r="P783" s="244"/>
      <c r="T783" s="245"/>
    </row>
    <row r="784">
      <c r="A784" s="20"/>
      <c r="B784" s="20"/>
      <c r="C784" s="21"/>
      <c r="D784" s="22"/>
      <c r="E784" s="23"/>
      <c r="F784" s="25"/>
      <c r="G784" s="26"/>
      <c r="H784" s="28"/>
      <c r="I784" s="29"/>
      <c r="J784" s="30"/>
      <c r="K784" s="31"/>
      <c r="L784" s="28"/>
      <c r="M784" s="32"/>
      <c r="N784" s="232"/>
      <c r="T784" s="229"/>
    </row>
    <row r="785">
      <c r="A785" s="20"/>
      <c r="B785" s="20"/>
      <c r="C785" s="21"/>
      <c r="D785" s="22"/>
      <c r="E785" s="23"/>
      <c r="F785" s="25"/>
      <c r="G785" s="26"/>
      <c r="H785" s="28"/>
      <c r="I785" s="29"/>
      <c r="J785" s="30"/>
      <c r="K785" s="31"/>
      <c r="L785" s="28"/>
      <c r="M785" s="32"/>
      <c r="N785" s="232"/>
      <c r="T785" s="229"/>
    </row>
    <row r="786">
      <c r="A786" s="20"/>
      <c r="B786" s="20"/>
      <c r="C786" s="21"/>
      <c r="D786" s="22"/>
      <c r="E786" s="23"/>
      <c r="F786" s="25"/>
      <c r="G786" s="26"/>
      <c r="H786" s="28"/>
      <c r="I786" s="29"/>
      <c r="J786" s="30"/>
      <c r="K786" s="31"/>
      <c r="L786" s="28"/>
      <c r="M786" s="32"/>
      <c r="N786" s="232"/>
      <c r="T786" s="229"/>
    </row>
    <row r="787">
      <c r="A787" s="20"/>
      <c r="B787" s="20"/>
      <c r="C787" s="21"/>
      <c r="D787" s="22"/>
      <c r="E787" s="23"/>
      <c r="F787" s="25"/>
      <c r="G787" s="26"/>
      <c r="H787" s="28"/>
      <c r="I787" s="29"/>
      <c r="J787" s="30"/>
      <c r="K787" s="31"/>
      <c r="L787" s="246"/>
      <c r="M787" s="32"/>
      <c r="N787" s="232"/>
      <c r="T787" s="229"/>
    </row>
    <row r="788">
      <c r="A788" s="84"/>
      <c r="B788" s="20"/>
      <c r="C788" s="21"/>
      <c r="D788" s="22"/>
      <c r="E788" s="23"/>
      <c r="F788" s="25"/>
      <c r="G788" s="26"/>
      <c r="H788" s="28"/>
      <c r="I788" s="29"/>
      <c r="J788" s="30"/>
      <c r="K788" s="42"/>
      <c r="L788" s="28"/>
      <c r="M788" s="32"/>
      <c r="N788" s="232"/>
      <c r="T788" s="229"/>
    </row>
    <row r="789">
      <c r="A789" s="20"/>
      <c r="B789" s="20"/>
      <c r="C789" s="21"/>
      <c r="D789" s="22"/>
      <c r="E789" s="23"/>
      <c r="F789" s="25"/>
      <c r="G789" s="26"/>
      <c r="H789" s="29"/>
      <c r="I789" s="29"/>
      <c r="J789" s="30"/>
      <c r="K789" s="42"/>
      <c r="L789" s="246"/>
      <c r="M789" s="54"/>
      <c r="N789" s="232"/>
      <c r="T789" s="229"/>
    </row>
    <row r="790">
      <c r="A790" s="20"/>
      <c r="B790" s="20"/>
      <c r="C790" s="21"/>
      <c r="D790" s="22"/>
      <c r="E790" s="23"/>
      <c r="F790" s="146"/>
      <c r="G790" s="26"/>
      <c r="H790" s="29"/>
      <c r="I790" s="29"/>
      <c r="J790" s="30"/>
      <c r="K790" s="42"/>
      <c r="L790" s="246"/>
      <c r="M790" s="54"/>
      <c r="N790" s="232"/>
      <c r="T790" s="229"/>
    </row>
    <row r="791">
      <c r="A791" s="20"/>
      <c r="B791" s="20"/>
      <c r="C791" s="21"/>
      <c r="D791" s="22"/>
      <c r="E791" s="23"/>
      <c r="F791" s="25"/>
      <c r="G791" s="26"/>
      <c r="H791" s="29"/>
      <c r="I791" s="29"/>
      <c r="J791" s="30"/>
      <c r="K791" s="42"/>
      <c r="L791" s="246"/>
      <c r="M791" s="54"/>
      <c r="N791" s="232"/>
      <c r="T791" s="229"/>
    </row>
    <row r="792">
      <c r="A792" s="22"/>
      <c r="B792" s="22"/>
      <c r="C792" s="24"/>
      <c r="D792" s="22"/>
      <c r="E792" s="23"/>
      <c r="F792" s="25"/>
      <c r="G792" s="26"/>
      <c r="H792" s="150"/>
      <c r="I792" s="150"/>
      <c r="J792" s="272"/>
      <c r="K792" s="273"/>
      <c r="L792" s="247"/>
      <c r="M792" s="274"/>
      <c r="N792" s="232"/>
      <c r="T792" s="229"/>
    </row>
    <row r="793">
      <c r="A793" s="20"/>
      <c r="B793" s="20"/>
      <c r="C793" s="21"/>
      <c r="D793" s="22"/>
      <c r="E793" s="23"/>
      <c r="F793" s="25"/>
      <c r="G793" s="26"/>
      <c r="H793" s="29"/>
      <c r="I793" s="29"/>
      <c r="J793" s="30"/>
      <c r="K793" s="42"/>
      <c r="L793" s="246"/>
      <c r="M793" s="54"/>
      <c r="T793" s="229"/>
    </row>
    <row r="794">
      <c r="A794" s="20"/>
      <c r="B794" s="20"/>
      <c r="C794" s="21"/>
      <c r="D794" s="22"/>
      <c r="E794" s="23"/>
      <c r="F794" s="25"/>
      <c r="G794" s="26"/>
      <c r="H794" s="29"/>
      <c r="I794" s="29"/>
      <c r="J794" s="30"/>
      <c r="K794" s="42"/>
      <c r="L794" s="246"/>
      <c r="M794" s="54"/>
      <c r="P794" s="244"/>
      <c r="T794" s="229"/>
    </row>
    <row r="795">
      <c r="A795" s="20"/>
      <c r="B795" s="20"/>
      <c r="C795" s="21"/>
      <c r="D795" s="22"/>
      <c r="E795" s="23"/>
      <c r="F795" s="25"/>
      <c r="G795" s="26"/>
      <c r="H795" s="29"/>
      <c r="I795" s="29"/>
      <c r="J795" s="30"/>
      <c r="K795" s="42"/>
      <c r="L795" s="29"/>
      <c r="M795" s="54"/>
      <c r="N795" s="232"/>
      <c r="T795" s="229"/>
    </row>
    <row r="796">
      <c r="A796" s="87"/>
      <c r="B796" s="87"/>
      <c r="C796" s="75"/>
      <c r="D796" s="22"/>
      <c r="E796" s="23"/>
      <c r="F796" s="25"/>
      <c r="G796" s="26"/>
      <c r="H796" s="62"/>
      <c r="I796" s="62"/>
      <c r="J796" s="81"/>
      <c r="K796" s="64"/>
      <c r="L796" s="181"/>
      <c r="M796" s="66"/>
      <c r="T796" s="229"/>
    </row>
    <row r="797">
      <c r="A797" s="87"/>
      <c r="B797" s="87"/>
      <c r="C797" s="75"/>
      <c r="D797" s="22"/>
      <c r="E797" s="23"/>
      <c r="F797" s="25"/>
      <c r="G797" s="26"/>
      <c r="H797" s="62"/>
      <c r="I797" s="62"/>
      <c r="J797" s="81"/>
      <c r="K797" s="64"/>
      <c r="L797" s="181"/>
      <c r="M797" s="66"/>
      <c r="T797" s="229"/>
    </row>
    <row r="798">
      <c r="A798" s="87"/>
      <c r="B798" s="87"/>
      <c r="C798" s="75"/>
      <c r="D798" s="22"/>
      <c r="E798" s="23"/>
      <c r="F798" s="25"/>
      <c r="G798" s="26"/>
      <c r="H798" s="62"/>
      <c r="I798" s="62"/>
      <c r="J798" s="81"/>
      <c r="K798" s="64"/>
      <c r="L798" s="246"/>
      <c r="M798" s="66"/>
      <c r="T798" s="229"/>
    </row>
    <row r="799">
      <c r="A799" s="87"/>
      <c r="B799" s="87"/>
      <c r="C799" s="75"/>
      <c r="D799" s="20"/>
      <c r="E799" s="23"/>
      <c r="F799" s="25"/>
      <c r="G799" s="26"/>
      <c r="H799" s="29"/>
      <c r="I799" s="62"/>
      <c r="J799" s="81"/>
      <c r="K799" s="64"/>
      <c r="L799" s="246"/>
      <c r="M799" s="66"/>
      <c r="T799" s="229"/>
    </row>
    <row r="800">
      <c r="A800" s="87"/>
      <c r="B800" s="87"/>
      <c r="C800" s="75"/>
      <c r="D800" s="22"/>
      <c r="E800" s="23"/>
      <c r="F800" s="25"/>
      <c r="G800" s="26"/>
      <c r="H800" s="62"/>
      <c r="I800" s="62"/>
      <c r="J800" s="81"/>
      <c r="K800" s="64"/>
      <c r="L800" s="181"/>
      <c r="M800" s="66"/>
      <c r="T800" s="229"/>
    </row>
    <row r="801">
      <c r="A801" s="87"/>
      <c r="B801" s="87"/>
      <c r="C801" s="75"/>
      <c r="D801" s="22"/>
      <c r="E801" s="23"/>
      <c r="F801" s="25"/>
      <c r="G801" s="26"/>
      <c r="H801" s="62"/>
      <c r="I801" s="62"/>
      <c r="J801" s="81"/>
      <c r="K801" s="64"/>
      <c r="L801" s="181"/>
      <c r="M801" s="66"/>
      <c r="T801" s="229"/>
    </row>
    <row r="802">
      <c r="A802" s="87"/>
      <c r="B802" s="87"/>
      <c r="C802" s="75"/>
      <c r="D802" s="22"/>
      <c r="E802" s="23"/>
      <c r="F802" s="25"/>
      <c r="G802" s="26"/>
      <c r="H802" s="62"/>
      <c r="I802" s="62"/>
      <c r="J802" s="81"/>
      <c r="K802" s="64"/>
      <c r="L802" s="181"/>
      <c r="M802" s="66"/>
      <c r="T802" s="229"/>
    </row>
    <row r="803">
      <c r="A803" s="87"/>
      <c r="B803" s="87"/>
      <c r="C803" s="75"/>
      <c r="D803" s="22"/>
      <c r="E803" s="23"/>
      <c r="F803" s="25"/>
      <c r="G803" s="26"/>
      <c r="H803" s="62"/>
      <c r="I803" s="62"/>
      <c r="J803" s="81"/>
      <c r="K803" s="64"/>
      <c r="L803" s="181"/>
      <c r="M803" s="66"/>
      <c r="N803" s="231"/>
      <c r="T803" s="229"/>
    </row>
    <row r="804">
      <c r="A804" s="87"/>
      <c r="B804" s="87"/>
      <c r="C804" s="75"/>
      <c r="D804" s="22"/>
      <c r="E804" s="23"/>
      <c r="F804" s="25"/>
      <c r="G804" s="26"/>
      <c r="H804" s="62"/>
      <c r="I804" s="62"/>
      <c r="J804" s="81"/>
      <c r="K804" s="64"/>
      <c r="L804" s="181"/>
      <c r="M804" s="66"/>
      <c r="N804" s="231"/>
      <c r="T804" s="229"/>
    </row>
    <row r="805">
      <c r="A805" s="87"/>
      <c r="B805" s="87"/>
      <c r="C805" s="75"/>
      <c r="D805" s="22"/>
      <c r="E805" s="23"/>
      <c r="F805" s="25"/>
      <c r="G805" s="26"/>
      <c r="H805" s="62"/>
      <c r="I805" s="62"/>
      <c r="J805" s="81"/>
      <c r="K805" s="64"/>
      <c r="L805" s="181"/>
      <c r="M805" s="66"/>
      <c r="N805" s="231"/>
      <c r="T805" s="229"/>
    </row>
    <row r="806">
      <c r="A806" s="87"/>
      <c r="B806" s="87"/>
      <c r="C806" s="75"/>
      <c r="D806" s="149"/>
      <c r="E806" s="23"/>
      <c r="F806" s="44"/>
      <c r="G806" s="26"/>
      <c r="H806" s="62"/>
      <c r="I806" s="62"/>
      <c r="J806" s="81"/>
      <c r="K806" s="64"/>
      <c r="L806" s="248"/>
      <c r="M806" s="66"/>
      <c r="N806" s="231"/>
      <c r="T806" s="229"/>
    </row>
    <row r="807">
      <c r="A807" s="87"/>
      <c r="B807" s="87"/>
      <c r="C807" s="75"/>
      <c r="D807" s="22"/>
      <c r="E807" s="23"/>
      <c r="F807" s="44"/>
      <c r="G807" s="26"/>
      <c r="H807" s="62"/>
      <c r="I807" s="62"/>
      <c r="J807" s="81"/>
      <c r="K807" s="64"/>
      <c r="L807" s="181"/>
      <c r="M807" s="66"/>
      <c r="T807" s="229"/>
    </row>
    <row r="808">
      <c r="A808" s="87"/>
      <c r="B808" s="87"/>
      <c r="C808" s="75"/>
      <c r="D808" s="22"/>
      <c r="E808" s="23"/>
      <c r="F808" s="25"/>
      <c r="G808" s="26"/>
      <c r="H808" s="62"/>
      <c r="I808" s="62"/>
      <c r="J808" s="81"/>
      <c r="K808" s="64"/>
      <c r="L808" s="181"/>
      <c r="M808" s="66"/>
      <c r="T808" s="229"/>
    </row>
    <row r="809">
      <c r="A809" s="87"/>
      <c r="B809" s="87"/>
      <c r="C809" s="75"/>
      <c r="D809" s="22"/>
      <c r="E809" s="23"/>
      <c r="F809" s="25"/>
      <c r="G809" s="26"/>
      <c r="H809" s="29"/>
      <c r="I809" s="62"/>
      <c r="J809" s="81"/>
      <c r="K809" s="64"/>
      <c r="L809" s="181"/>
      <c r="M809" s="66"/>
      <c r="T809" s="229"/>
    </row>
    <row r="810">
      <c r="A810" s="87"/>
      <c r="B810" s="87"/>
      <c r="C810" s="75"/>
      <c r="D810" s="22"/>
      <c r="E810" s="23"/>
      <c r="F810" s="25"/>
      <c r="G810" s="26"/>
      <c r="H810" s="62"/>
      <c r="I810" s="62"/>
      <c r="J810" s="81"/>
      <c r="K810" s="64"/>
      <c r="L810" s="256"/>
      <c r="M810" s="66"/>
      <c r="T810" s="229"/>
    </row>
    <row r="811">
      <c r="A811" s="87"/>
      <c r="B811" s="87"/>
      <c r="C811" s="75"/>
      <c r="D811" s="22"/>
      <c r="E811" s="23"/>
      <c r="F811" s="25"/>
      <c r="G811" s="26"/>
      <c r="H811" s="62"/>
      <c r="I811" s="62"/>
      <c r="J811" s="81"/>
      <c r="K811" s="64"/>
      <c r="L811" s="181"/>
      <c r="M811" s="66"/>
      <c r="T811" s="229"/>
    </row>
    <row r="812">
      <c r="A812" s="20"/>
      <c r="B812" s="87"/>
      <c r="C812" s="75"/>
      <c r="D812" s="22"/>
      <c r="E812" s="23"/>
      <c r="F812" s="25"/>
      <c r="G812" s="26"/>
      <c r="H812" s="62"/>
      <c r="I812" s="62"/>
      <c r="J812" s="81"/>
      <c r="K812" s="64"/>
      <c r="L812" s="181"/>
      <c r="M812" s="66"/>
      <c r="T812" s="229"/>
    </row>
    <row r="813">
      <c r="A813" s="87"/>
      <c r="B813" s="87"/>
      <c r="C813" s="75"/>
      <c r="D813" s="22"/>
      <c r="E813" s="23"/>
      <c r="F813" s="25"/>
      <c r="G813" s="26"/>
      <c r="H813" s="62"/>
      <c r="I813" s="62"/>
      <c r="J813" s="81"/>
      <c r="K813" s="64"/>
      <c r="L813" s="181"/>
      <c r="M813" s="66"/>
      <c r="T813" s="229"/>
    </row>
    <row r="814">
      <c r="A814" s="87"/>
      <c r="B814" s="87"/>
      <c r="C814" s="75"/>
      <c r="D814" s="22"/>
      <c r="E814" s="23"/>
      <c r="F814" s="25"/>
      <c r="G814" s="26"/>
      <c r="H814" s="62"/>
      <c r="I814" s="62"/>
      <c r="J814" s="81"/>
      <c r="K814" s="64"/>
      <c r="L814" s="181"/>
      <c r="M814" s="66"/>
      <c r="T814" s="229"/>
    </row>
    <row r="815">
      <c r="A815" s="87"/>
      <c r="B815" s="87"/>
      <c r="C815" s="75"/>
      <c r="D815" s="22"/>
      <c r="E815" s="23"/>
      <c r="F815" s="25"/>
      <c r="G815" s="26"/>
      <c r="H815" s="62"/>
      <c r="I815" s="29"/>
      <c r="J815" s="81"/>
      <c r="K815" s="42"/>
      <c r="L815" s="181"/>
      <c r="M815" s="66"/>
      <c r="T815" s="229"/>
    </row>
    <row r="816">
      <c r="A816" s="87"/>
      <c r="B816" s="87"/>
      <c r="C816" s="75"/>
      <c r="D816" s="22"/>
      <c r="E816" s="23"/>
      <c r="F816" s="25"/>
      <c r="G816" s="26"/>
      <c r="H816" s="62"/>
      <c r="I816" s="62"/>
      <c r="J816" s="81"/>
      <c r="K816" s="64"/>
      <c r="L816" s="248"/>
      <c r="M816" s="66"/>
      <c r="T816" s="229"/>
    </row>
    <row r="817">
      <c r="A817" s="87"/>
      <c r="B817" s="87"/>
      <c r="C817" s="75"/>
      <c r="D817" s="22"/>
      <c r="E817" s="23"/>
      <c r="F817" s="25"/>
      <c r="G817" s="26"/>
      <c r="H817" s="62"/>
      <c r="I817" s="62"/>
      <c r="J817" s="81"/>
      <c r="K817" s="64"/>
      <c r="L817" s="246"/>
      <c r="M817" s="66"/>
      <c r="T817" s="229"/>
    </row>
    <row r="818">
      <c r="A818" s="87"/>
      <c r="B818" s="87"/>
      <c r="C818" s="75"/>
      <c r="D818" s="22"/>
      <c r="E818" s="23"/>
      <c r="F818" s="25"/>
      <c r="G818" s="26"/>
      <c r="H818" s="29"/>
      <c r="I818" s="62"/>
      <c r="J818" s="81"/>
      <c r="K818" s="42"/>
      <c r="L818" s="181"/>
      <c r="M818" s="66"/>
      <c r="T818" s="229"/>
    </row>
    <row r="819">
      <c r="A819" s="87"/>
      <c r="B819" s="87"/>
      <c r="C819" s="75"/>
      <c r="D819" s="22"/>
      <c r="E819" s="23"/>
      <c r="F819" s="25"/>
      <c r="G819" s="26"/>
      <c r="H819" s="62"/>
      <c r="I819" s="62"/>
      <c r="J819" s="81"/>
      <c r="K819" s="64"/>
      <c r="L819" s="181"/>
      <c r="M819" s="66"/>
      <c r="T819" s="229"/>
    </row>
    <row r="820">
      <c r="A820" s="87"/>
      <c r="B820" s="87"/>
      <c r="C820" s="75"/>
      <c r="D820" s="22"/>
      <c r="E820" s="23"/>
      <c r="F820" s="25"/>
      <c r="G820" s="26"/>
      <c r="H820" s="29"/>
      <c r="I820" s="29"/>
      <c r="J820" s="30"/>
      <c r="K820" s="42"/>
      <c r="L820" s="249"/>
      <c r="M820" s="66"/>
      <c r="T820" s="229"/>
    </row>
    <row r="821">
      <c r="A821" s="87"/>
      <c r="B821" s="87"/>
      <c r="C821" s="75"/>
      <c r="D821" s="22"/>
      <c r="E821" s="23"/>
      <c r="F821" s="25"/>
      <c r="G821" s="26"/>
      <c r="H821" s="62"/>
      <c r="I821" s="62"/>
      <c r="J821" s="81"/>
      <c r="K821" s="64"/>
      <c r="L821" s="246"/>
      <c r="M821" s="54"/>
      <c r="T821" s="229"/>
    </row>
    <row r="822">
      <c r="A822" s="87"/>
      <c r="B822" s="87"/>
      <c r="C822" s="75"/>
      <c r="D822" s="22"/>
      <c r="E822" s="23"/>
      <c r="F822" s="25"/>
      <c r="G822" s="26"/>
      <c r="H822" s="62"/>
      <c r="I822" s="62"/>
      <c r="J822" s="81"/>
      <c r="K822" s="64"/>
      <c r="L822" s="181"/>
      <c r="M822" s="66"/>
      <c r="T822" s="229"/>
    </row>
    <row r="823">
      <c r="A823" s="87"/>
      <c r="B823" s="87"/>
      <c r="C823" s="138"/>
      <c r="D823" s="22"/>
      <c r="E823" s="23"/>
      <c r="F823" s="25"/>
      <c r="G823" s="26"/>
      <c r="H823" s="62"/>
      <c r="I823" s="160"/>
      <c r="J823" s="251"/>
      <c r="K823" s="64"/>
      <c r="L823" s="181"/>
      <c r="M823" s="66"/>
      <c r="N823" s="226"/>
      <c r="O823" s="226"/>
      <c r="P823" s="244"/>
      <c r="T823" s="229"/>
    </row>
    <row r="824">
      <c r="A824" s="87"/>
      <c r="B824" s="87"/>
      <c r="C824" s="75"/>
      <c r="D824" s="20"/>
      <c r="E824" s="23"/>
      <c r="F824" s="25"/>
      <c r="G824" s="26"/>
      <c r="H824" s="62"/>
      <c r="I824" s="62"/>
      <c r="J824" s="81"/>
      <c r="K824" s="64"/>
      <c r="L824" s="133"/>
      <c r="M824" s="66"/>
      <c r="T824" s="229"/>
    </row>
    <row r="825">
      <c r="A825" s="87"/>
      <c r="B825" s="20"/>
      <c r="C825" s="75"/>
      <c r="D825" s="22"/>
      <c r="E825" s="23"/>
      <c r="F825" s="25"/>
      <c r="G825" s="26"/>
      <c r="H825" s="62"/>
      <c r="I825" s="62"/>
      <c r="J825" s="81"/>
      <c r="K825" s="64"/>
      <c r="L825" s="181"/>
      <c r="M825" s="66"/>
      <c r="T825" s="229"/>
    </row>
    <row r="826">
      <c r="A826" s="87"/>
      <c r="B826" s="87"/>
      <c r="C826" s="75"/>
      <c r="D826" s="22"/>
      <c r="E826" s="23"/>
      <c r="F826" s="25"/>
      <c r="G826" s="26"/>
      <c r="H826" s="62"/>
      <c r="I826" s="62"/>
      <c r="J826" s="81"/>
      <c r="K826" s="64"/>
      <c r="L826" s="181"/>
      <c r="M826" s="66"/>
      <c r="T826" s="229"/>
    </row>
    <row r="827">
      <c r="A827" s="87"/>
      <c r="B827" s="87"/>
      <c r="C827" s="75"/>
      <c r="D827" s="22"/>
      <c r="E827" s="23"/>
      <c r="F827" s="25"/>
      <c r="G827" s="26"/>
      <c r="H827" s="62"/>
      <c r="I827" s="62"/>
      <c r="J827" s="81"/>
      <c r="K827" s="64"/>
      <c r="L827" s="246"/>
      <c r="M827" s="66"/>
      <c r="N827" s="231"/>
      <c r="T827" s="229"/>
    </row>
    <row r="828">
      <c r="A828" s="87"/>
      <c r="B828" s="87"/>
      <c r="C828" s="75"/>
      <c r="D828" s="22"/>
      <c r="E828" s="23"/>
      <c r="F828" s="25"/>
      <c r="G828" s="26"/>
      <c r="H828" s="62"/>
      <c r="I828" s="62"/>
      <c r="J828" s="81"/>
      <c r="K828" s="64"/>
      <c r="L828" s="181"/>
      <c r="M828" s="66"/>
      <c r="T828" s="229"/>
    </row>
    <row r="829">
      <c r="A829" s="87"/>
      <c r="B829" s="87"/>
      <c r="C829" s="75"/>
      <c r="D829" s="22"/>
      <c r="E829" s="23"/>
      <c r="F829" s="25"/>
      <c r="G829" s="26"/>
      <c r="H829" s="62"/>
      <c r="I829" s="62"/>
      <c r="J829" s="81"/>
      <c r="K829" s="64"/>
      <c r="L829" s="181"/>
      <c r="M829" s="66"/>
      <c r="T829" s="229"/>
    </row>
    <row r="830">
      <c r="A830" s="87"/>
      <c r="B830" s="87"/>
      <c r="C830" s="75"/>
      <c r="D830" s="22"/>
      <c r="E830" s="23"/>
      <c r="F830" s="25"/>
      <c r="G830" s="26"/>
      <c r="H830" s="62"/>
      <c r="I830" s="62"/>
      <c r="J830" s="81"/>
      <c r="K830" s="64"/>
      <c r="L830" s="181"/>
      <c r="M830" s="66"/>
      <c r="T830" s="229"/>
    </row>
    <row r="831">
      <c r="A831" s="67"/>
      <c r="B831" s="67"/>
      <c r="C831" s="75"/>
      <c r="D831" s="149"/>
      <c r="E831" s="23"/>
      <c r="F831" s="25"/>
      <c r="G831" s="26"/>
      <c r="H831" s="62"/>
      <c r="I831" s="62"/>
      <c r="J831" s="81"/>
      <c r="K831" s="64"/>
      <c r="L831" s="181"/>
      <c r="M831" s="66"/>
      <c r="T831" s="229"/>
    </row>
    <row r="832">
      <c r="A832" s="87"/>
      <c r="B832" s="87"/>
      <c r="C832" s="75"/>
      <c r="D832" s="22"/>
      <c r="E832" s="23"/>
      <c r="F832" s="25"/>
      <c r="G832" s="26"/>
      <c r="H832" s="62"/>
      <c r="I832" s="62"/>
      <c r="J832" s="81"/>
      <c r="K832" s="64"/>
      <c r="L832" s="181"/>
      <c r="M832" s="66"/>
      <c r="T832" s="229"/>
    </row>
    <row r="833">
      <c r="A833" s="87"/>
      <c r="B833" s="87"/>
      <c r="C833" s="75"/>
      <c r="D833" s="22"/>
      <c r="E833" s="23"/>
      <c r="F833" s="25"/>
      <c r="G833" s="26"/>
      <c r="H833" s="29"/>
      <c r="I833" s="62"/>
      <c r="J833" s="81"/>
      <c r="K833" s="64"/>
      <c r="L833" s="181"/>
      <c r="M833" s="66"/>
      <c r="T833" s="229"/>
    </row>
    <row r="834">
      <c r="A834" s="87"/>
      <c r="B834" s="87"/>
      <c r="C834" s="75"/>
      <c r="D834" s="20"/>
      <c r="E834" s="23"/>
      <c r="F834" s="25"/>
      <c r="G834" s="26"/>
      <c r="H834" s="62"/>
      <c r="I834" s="62"/>
      <c r="J834" s="81"/>
      <c r="K834" s="64"/>
      <c r="L834" s="181"/>
      <c r="M834" s="66"/>
      <c r="T834" s="229"/>
    </row>
    <row r="835">
      <c r="A835" s="87"/>
      <c r="B835" s="87"/>
      <c r="C835" s="75"/>
      <c r="D835" s="22"/>
      <c r="E835" s="23"/>
      <c r="F835" s="25"/>
      <c r="G835" s="26"/>
      <c r="H835" s="62"/>
      <c r="I835" s="62"/>
      <c r="J835" s="81"/>
      <c r="K835" s="64"/>
      <c r="L835" s="181"/>
      <c r="M835" s="66"/>
      <c r="T835" s="229"/>
    </row>
    <row r="836">
      <c r="A836" s="87"/>
      <c r="B836" s="87"/>
      <c r="C836" s="75"/>
      <c r="D836" s="22"/>
      <c r="E836" s="23"/>
      <c r="F836" s="25"/>
      <c r="G836" s="26"/>
      <c r="H836" s="62"/>
      <c r="I836" s="62"/>
      <c r="J836" s="81"/>
      <c r="K836" s="64"/>
      <c r="L836" s="181"/>
      <c r="M836" s="66"/>
      <c r="P836" s="244"/>
      <c r="T836" s="229"/>
    </row>
    <row r="837">
      <c r="A837" s="87"/>
      <c r="B837" s="87"/>
      <c r="C837" s="75"/>
      <c r="D837" s="22"/>
      <c r="E837" s="23"/>
      <c r="F837" s="25"/>
      <c r="G837" s="26"/>
      <c r="H837" s="62"/>
      <c r="I837" s="62"/>
      <c r="J837" s="81"/>
      <c r="K837" s="64"/>
      <c r="L837" s="181"/>
      <c r="M837" s="66"/>
      <c r="N837" s="231"/>
      <c r="T837" s="229"/>
    </row>
    <row r="838">
      <c r="A838" s="20"/>
      <c r="B838" s="20"/>
      <c r="C838" s="21"/>
      <c r="D838" s="22"/>
      <c r="E838" s="23"/>
      <c r="F838" s="25"/>
      <c r="G838" s="26"/>
      <c r="H838" s="29"/>
      <c r="I838" s="29"/>
      <c r="J838" s="30"/>
      <c r="K838" s="42"/>
      <c r="L838" s="246"/>
      <c r="M838" s="54"/>
      <c r="T838" s="229"/>
    </row>
    <row r="839">
      <c r="A839" s="87"/>
      <c r="B839" s="87"/>
      <c r="C839" s="75"/>
      <c r="D839" s="22"/>
      <c r="E839" s="23"/>
      <c r="F839" s="25"/>
      <c r="G839" s="26"/>
      <c r="H839" s="62"/>
      <c r="I839" s="62"/>
      <c r="J839" s="81"/>
      <c r="K839" s="64"/>
      <c r="L839" s="181"/>
      <c r="M839" s="66"/>
      <c r="T839" s="229"/>
    </row>
    <row r="840">
      <c r="A840" s="87"/>
      <c r="B840" s="87"/>
      <c r="C840" s="75"/>
      <c r="D840" s="20"/>
      <c r="E840" s="23"/>
      <c r="F840" s="25"/>
      <c r="G840" s="26"/>
      <c r="H840" s="62"/>
      <c r="I840" s="62"/>
      <c r="J840" s="81"/>
      <c r="K840" s="64"/>
      <c r="L840" s="256"/>
      <c r="M840" s="66"/>
      <c r="T840" s="229"/>
    </row>
    <row r="841">
      <c r="A841" s="87"/>
      <c r="B841" s="87"/>
      <c r="C841" s="75"/>
      <c r="D841" s="149"/>
      <c r="E841" s="23"/>
      <c r="F841" s="25"/>
      <c r="G841" s="26"/>
      <c r="H841" s="62"/>
      <c r="I841" s="62"/>
      <c r="J841" s="81"/>
      <c r="K841" s="64"/>
      <c r="L841" s="181"/>
      <c r="M841" s="66"/>
      <c r="T841" s="229"/>
    </row>
    <row r="842">
      <c r="A842" s="87"/>
      <c r="B842" s="87"/>
      <c r="C842" s="75"/>
      <c r="D842" s="22"/>
      <c r="E842" s="23"/>
      <c r="F842" s="25"/>
      <c r="G842" s="26"/>
      <c r="H842" s="62"/>
      <c r="I842" s="62"/>
      <c r="J842" s="81"/>
      <c r="K842" s="64"/>
      <c r="L842" s="181"/>
      <c r="M842" s="66"/>
      <c r="T842" s="229"/>
    </row>
    <row r="843">
      <c r="A843" s="87"/>
      <c r="B843" s="87"/>
      <c r="C843" s="75"/>
      <c r="D843" s="22"/>
      <c r="E843" s="23"/>
      <c r="F843" s="25"/>
      <c r="G843" s="26"/>
      <c r="H843" s="62"/>
      <c r="I843" s="62"/>
      <c r="J843" s="81"/>
      <c r="K843" s="64"/>
      <c r="L843" s="181"/>
      <c r="M843" s="66"/>
      <c r="T843" s="229"/>
    </row>
    <row r="844">
      <c r="A844" s="87"/>
      <c r="B844" s="87"/>
      <c r="C844" s="75"/>
      <c r="D844" s="22"/>
      <c r="E844" s="23"/>
      <c r="F844" s="25"/>
      <c r="G844" s="26"/>
      <c r="H844" s="62"/>
      <c r="I844" s="62"/>
      <c r="J844" s="81"/>
      <c r="K844" s="64"/>
      <c r="L844" s="181"/>
      <c r="M844" s="66"/>
      <c r="T844" s="229"/>
    </row>
    <row r="845">
      <c r="A845" s="87"/>
      <c r="B845" s="87"/>
      <c r="C845" s="75"/>
      <c r="D845" s="22"/>
      <c r="E845" s="23"/>
      <c r="F845" s="25"/>
      <c r="G845" s="26"/>
      <c r="H845" s="29"/>
      <c r="I845" s="29"/>
      <c r="J845" s="81"/>
      <c r="K845" s="42"/>
      <c r="L845" s="181"/>
      <c r="M845" s="66"/>
      <c r="T845" s="229"/>
    </row>
    <row r="846">
      <c r="A846" s="87"/>
      <c r="B846" s="87"/>
      <c r="C846" s="75"/>
      <c r="D846" s="22"/>
      <c r="E846" s="23"/>
      <c r="F846" s="25"/>
      <c r="G846" s="26"/>
      <c r="H846" s="62"/>
      <c r="I846" s="62"/>
      <c r="J846" s="81"/>
      <c r="K846" s="64"/>
      <c r="L846" s="181"/>
      <c r="M846" s="66"/>
      <c r="T846" s="229"/>
    </row>
    <row r="847">
      <c r="A847" s="87"/>
      <c r="B847" s="87"/>
      <c r="C847" s="21"/>
      <c r="D847" s="22"/>
      <c r="E847" s="23"/>
      <c r="F847" s="25"/>
      <c r="G847" s="26"/>
      <c r="H847" s="62"/>
      <c r="I847" s="62"/>
      <c r="J847" s="81"/>
      <c r="K847" s="64"/>
      <c r="L847" s="246"/>
      <c r="M847" s="66"/>
      <c r="T847" s="229"/>
    </row>
    <row r="848">
      <c r="A848" s="87"/>
      <c r="B848" s="87"/>
      <c r="C848" s="75"/>
      <c r="D848" s="22"/>
      <c r="E848" s="23"/>
      <c r="F848" s="25"/>
      <c r="G848" s="26"/>
      <c r="H848" s="62"/>
      <c r="I848" s="62"/>
      <c r="J848" s="81"/>
      <c r="K848" s="64"/>
      <c r="L848" s="256"/>
      <c r="M848" s="66"/>
      <c r="T848" s="229"/>
    </row>
    <row r="849">
      <c r="A849" s="87"/>
      <c r="B849" s="87"/>
      <c r="C849" s="75"/>
      <c r="D849" s="22"/>
      <c r="E849" s="23"/>
      <c r="F849" s="25"/>
      <c r="G849" s="26"/>
      <c r="H849" s="62"/>
      <c r="I849" s="62"/>
      <c r="J849" s="81"/>
      <c r="K849" s="64"/>
      <c r="L849" s="181"/>
      <c r="M849" s="66"/>
      <c r="T849" s="229"/>
    </row>
    <row r="850">
      <c r="A850" s="87"/>
      <c r="B850" s="87"/>
      <c r="C850" s="75"/>
      <c r="D850" s="22"/>
      <c r="E850" s="23"/>
      <c r="F850" s="44"/>
      <c r="G850" s="26"/>
      <c r="H850" s="62"/>
      <c r="I850" s="62"/>
      <c r="J850" s="81"/>
      <c r="K850" s="64"/>
      <c r="L850" s="181"/>
      <c r="M850" s="66"/>
      <c r="T850" s="229"/>
    </row>
    <row r="851">
      <c r="A851" s="87"/>
      <c r="B851" s="87"/>
      <c r="C851" s="75"/>
      <c r="D851" s="22"/>
      <c r="E851" s="23"/>
      <c r="F851" s="25"/>
      <c r="G851" s="26"/>
      <c r="H851" s="29"/>
      <c r="I851" s="62"/>
      <c r="J851" s="81"/>
      <c r="K851" s="64"/>
      <c r="L851" s="181"/>
      <c r="M851" s="66"/>
      <c r="T851" s="229"/>
    </row>
    <row r="852">
      <c r="A852" s="87"/>
      <c r="B852" s="87"/>
      <c r="C852" s="75"/>
      <c r="D852" s="22"/>
      <c r="E852" s="23"/>
      <c r="F852" s="25"/>
      <c r="G852" s="26"/>
      <c r="H852" s="62"/>
      <c r="I852" s="62"/>
      <c r="J852" s="81"/>
      <c r="K852" s="64"/>
      <c r="L852" s="181"/>
      <c r="M852" s="66"/>
      <c r="T852" s="229"/>
    </row>
    <row r="853">
      <c r="F853" s="276"/>
      <c r="G853" s="277"/>
      <c r="K853" s="278"/>
      <c r="M853" s="279"/>
      <c r="T853" s="229"/>
    </row>
    <row r="854">
      <c r="F854" s="276"/>
      <c r="G854" s="277"/>
      <c r="K854" s="278"/>
      <c r="M854" s="279"/>
      <c r="P854" s="244"/>
      <c r="T854" s="229"/>
    </row>
    <row r="855">
      <c r="F855" s="276"/>
      <c r="G855" s="277"/>
      <c r="K855" s="278"/>
      <c r="M855" s="279"/>
      <c r="T855" s="229"/>
    </row>
    <row r="856">
      <c r="F856" s="276"/>
      <c r="G856" s="277"/>
      <c r="K856" s="278"/>
      <c r="M856" s="279"/>
      <c r="P856" s="244"/>
      <c r="T856" s="229"/>
    </row>
    <row r="857">
      <c r="F857" s="276"/>
      <c r="G857" s="277"/>
      <c r="K857" s="278"/>
      <c r="M857" s="279"/>
      <c r="T857" s="245"/>
    </row>
    <row r="858">
      <c r="F858" s="276"/>
      <c r="G858" s="277"/>
      <c r="K858" s="278"/>
      <c r="M858" s="279"/>
      <c r="T858" s="229"/>
    </row>
    <row r="859">
      <c r="F859" s="276"/>
      <c r="G859" s="277"/>
      <c r="K859" s="278"/>
      <c r="M859" s="279"/>
      <c r="T859" s="229"/>
    </row>
    <row r="860">
      <c r="F860" s="276"/>
      <c r="G860" s="277"/>
      <c r="K860" s="280"/>
      <c r="M860" s="281"/>
      <c r="T860" s="229"/>
    </row>
  </sheetData>
  <conditionalFormatting sqref="B211:B214 B851:B852">
    <cfRule type="expression" dxfId="0" priority="1">
      <formula>isblank(L:L)</formula>
    </cfRule>
  </conditionalFormatting>
  <conditionalFormatting sqref="A211:A214 A851:A852">
    <cfRule type="expression" dxfId="0" priority="2">
      <formula>isblank(L:L)</formula>
    </cfRule>
  </conditionalFormatting>
  <conditionalFormatting sqref="E213:E214 E851:E852">
    <cfRule type="containsText" dxfId="1" priority="3" operator="containsText" text="Lapsed">
      <formula>NOT(ISERROR(SEARCH(("Lapsed"),(E213))))</formula>
    </cfRule>
  </conditionalFormatting>
  <conditionalFormatting sqref="E213:E214 E851:E852">
    <cfRule type="containsText" dxfId="2" priority="4" operator="containsText" text="Active">
      <formula>NOT(ISERROR(SEARCH(("Active"),(E213))))</formula>
    </cfRule>
  </conditionalFormatting>
  <conditionalFormatting sqref="D213:D214 D851:D852">
    <cfRule type="containsText" dxfId="3" priority="5" operator="containsText" text="Youth">
      <formula>NOT(ISERROR(SEARCH(("Youth"),(D213))))</formula>
    </cfRule>
  </conditionalFormatting>
  <conditionalFormatting sqref="J213:J214 L213:L214 L851:L852">
    <cfRule type="containsBlanks" dxfId="8" priority="6">
      <formula>LEN(TRIM(J213))=0</formula>
    </cfRule>
  </conditionalFormatting>
  <conditionalFormatting sqref="J213:J214 L213:L214 L851:L852">
    <cfRule type="containsBlanks" dxfId="10" priority="7">
      <formula>LEN(TRIM(J213))=0</formula>
    </cfRule>
  </conditionalFormatting>
  <conditionalFormatting sqref="E213:E214 E850">
    <cfRule type="containsText" dxfId="1" priority="8" operator="containsText" text="Lapsed">
      <formula>NOT(ISERROR(SEARCH(("Lapsed"),(E213))))</formula>
    </cfRule>
  </conditionalFormatting>
  <conditionalFormatting sqref="E213:E214 E850">
    <cfRule type="containsText" dxfId="2" priority="9" operator="containsText" text="Active">
      <formula>NOT(ISERROR(SEARCH(("Active"),(E213))))</formula>
    </cfRule>
  </conditionalFormatting>
  <conditionalFormatting sqref="D213:D214 D850">
    <cfRule type="containsText" dxfId="3" priority="10" operator="containsText" text="Youth">
      <formula>NOT(ISERROR(SEARCH(("Youth"),(D213))))</formula>
    </cfRule>
  </conditionalFormatting>
  <conditionalFormatting sqref="J213:J214 L850">
    <cfRule type="containsBlanks" dxfId="8" priority="11">
      <formula>LEN(TRIM(J213))=0</formula>
    </cfRule>
  </conditionalFormatting>
  <conditionalFormatting sqref="J213:J214 L850">
    <cfRule type="containsBlanks" dxfId="10" priority="12">
      <formula>LEN(TRIM(J213))=0</formula>
    </cfRule>
  </conditionalFormatting>
  <conditionalFormatting sqref="E213:E214 E848:E849">
    <cfRule type="containsText" dxfId="1" priority="13" operator="containsText" text="Lapsed">
      <formula>NOT(ISERROR(SEARCH(("Lapsed"),(E213))))</formula>
    </cfRule>
  </conditionalFormatting>
  <conditionalFormatting sqref="E213:E214 E848:E849">
    <cfRule type="containsText" dxfId="2" priority="14" operator="containsText" text="Active">
      <formula>NOT(ISERROR(SEARCH(("Active"),(E213))))</formula>
    </cfRule>
  </conditionalFormatting>
  <conditionalFormatting sqref="D213:D214 D848:D849">
    <cfRule type="containsText" dxfId="3" priority="15" operator="containsText" text="Youth">
      <formula>NOT(ISERROR(SEARCH(("Youth"),(D213))))</formula>
    </cfRule>
  </conditionalFormatting>
  <conditionalFormatting sqref="J213:J214 L848:L849">
    <cfRule type="containsBlanks" dxfId="8" priority="16">
      <formula>LEN(TRIM(J213))=0</formula>
    </cfRule>
  </conditionalFormatting>
  <conditionalFormatting sqref="J213:J214 L848:L849">
    <cfRule type="containsBlanks" dxfId="10" priority="17">
      <formula>LEN(TRIM(J213))=0</formula>
    </cfRule>
  </conditionalFormatting>
  <conditionalFormatting sqref="E213:E214 E847">
    <cfRule type="containsText" dxfId="1" priority="18" operator="containsText" text="Lapsed">
      <formula>NOT(ISERROR(SEARCH(("Lapsed"),(E213))))</formula>
    </cfRule>
  </conditionalFormatting>
  <conditionalFormatting sqref="E213:E214 E847">
    <cfRule type="containsText" dxfId="2" priority="19" operator="containsText" text="Active">
      <formula>NOT(ISERROR(SEARCH(("Active"),(E213))))</formula>
    </cfRule>
  </conditionalFormatting>
  <conditionalFormatting sqref="D213:D214 D847">
    <cfRule type="containsText" dxfId="3" priority="20" operator="containsText" text="Youth">
      <formula>NOT(ISERROR(SEARCH(("Youth"),(D213))))</formula>
    </cfRule>
  </conditionalFormatting>
  <conditionalFormatting sqref="J213:J214 L847">
    <cfRule type="containsBlanks" dxfId="8" priority="21">
      <formula>LEN(TRIM(J213))=0</formula>
    </cfRule>
  </conditionalFormatting>
  <conditionalFormatting sqref="J213:J214 L847">
    <cfRule type="containsBlanks" dxfId="10" priority="22">
      <formula>LEN(TRIM(J213))=0</formula>
    </cfRule>
  </conditionalFormatting>
  <conditionalFormatting sqref="E213:E214 E846">
    <cfRule type="containsText" dxfId="1" priority="23" operator="containsText" text="Lapsed">
      <formula>NOT(ISERROR(SEARCH(("Lapsed"),(E213))))</formula>
    </cfRule>
  </conditionalFormatting>
  <conditionalFormatting sqref="E213:E214 E846">
    <cfRule type="containsText" dxfId="2" priority="24" operator="containsText" text="Active">
      <formula>NOT(ISERROR(SEARCH(("Active"),(E213))))</formula>
    </cfRule>
  </conditionalFormatting>
  <conditionalFormatting sqref="D213:D214 D846">
    <cfRule type="containsText" dxfId="3" priority="25" operator="containsText" text="Youth">
      <formula>NOT(ISERROR(SEARCH(("Youth"),(D213))))</formula>
    </cfRule>
  </conditionalFormatting>
  <conditionalFormatting sqref="J213:J214 L846">
    <cfRule type="containsBlanks" dxfId="8" priority="26">
      <formula>LEN(TRIM(J213))=0</formula>
    </cfRule>
  </conditionalFormatting>
  <conditionalFormatting sqref="J213:J214 L846">
    <cfRule type="containsBlanks" dxfId="10" priority="27">
      <formula>LEN(TRIM(J213))=0</formula>
    </cfRule>
  </conditionalFormatting>
  <conditionalFormatting sqref="E213:E214 E845">
    <cfRule type="containsText" dxfId="1" priority="28" operator="containsText" text="Lapsed">
      <formula>NOT(ISERROR(SEARCH(("Lapsed"),(E213))))</formula>
    </cfRule>
  </conditionalFormatting>
  <conditionalFormatting sqref="E213:E214 E845">
    <cfRule type="containsText" dxfId="2" priority="29" operator="containsText" text="Active">
      <formula>NOT(ISERROR(SEARCH(("Active"),(E213))))</formula>
    </cfRule>
  </conditionalFormatting>
  <conditionalFormatting sqref="D213:D214 D845">
    <cfRule type="containsText" dxfId="3" priority="30" operator="containsText" text="Youth">
      <formula>NOT(ISERROR(SEARCH(("Youth"),(D213))))</formula>
    </cfRule>
  </conditionalFormatting>
  <conditionalFormatting sqref="J213:J214 L845">
    <cfRule type="containsBlanks" dxfId="8" priority="31">
      <formula>LEN(TRIM(J213))=0</formula>
    </cfRule>
  </conditionalFormatting>
  <conditionalFormatting sqref="J213:J214 L845">
    <cfRule type="containsBlanks" dxfId="10" priority="32">
      <formula>LEN(TRIM(J213))=0</formula>
    </cfRule>
  </conditionalFormatting>
  <conditionalFormatting sqref="E213:E214 E844">
    <cfRule type="containsText" dxfId="1" priority="33" operator="containsText" text="Lapsed">
      <formula>NOT(ISERROR(SEARCH(("Lapsed"),(E213))))</formula>
    </cfRule>
  </conditionalFormatting>
  <conditionalFormatting sqref="E213:E214 E844">
    <cfRule type="containsText" dxfId="2" priority="34" operator="containsText" text="Active">
      <formula>NOT(ISERROR(SEARCH(("Active"),(E213))))</formula>
    </cfRule>
  </conditionalFormatting>
  <conditionalFormatting sqref="D213:D214 D844">
    <cfRule type="containsText" dxfId="3" priority="35" operator="containsText" text="Youth">
      <formula>NOT(ISERROR(SEARCH(("Youth"),(D213))))</formula>
    </cfRule>
  </conditionalFormatting>
  <conditionalFormatting sqref="J213:J214 L844">
    <cfRule type="containsBlanks" dxfId="8" priority="36">
      <formula>LEN(TRIM(J213))=0</formula>
    </cfRule>
  </conditionalFormatting>
  <conditionalFormatting sqref="J213:J214 L844">
    <cfRule type="containsBlanks" dxfId="10" priority="37">
      <formula>LEN(TRIM(J213))=0</formula>
    </cfRule>
  </conditionalFormatting>
  <conditionalFormatting sqref="E213:E214 E843">
    <cfRule type="containsText" dxfId="1" priority="38" operator="containsText" text="Lapsed">
      <formula>NOT(ISERROR(SEARCH(("Lapsed"),(E213))))</formula>
    </cfRule>
  </conditionalFormatting>
  <conditionalFormatting sqref="E213:E214 E843">
    <cfRule type="containsText" dxfId="2" priority="39" operator="containsText" text="Active">
      <formula>NOT(ISERROR(SEARCH(("Active"),(E213))))</formula>
    </cfRule>
  </conditionalFormatting>
  <conditionalFormatting sqref="D213:D214 D843">
    <cfRule type="containsText" dxfId="3" priority="40" operator="containsText" text="Youth">
      <formula>NOT(ISERROR(SEARCH(("Youth"),(D213))))</formula>
    </cfRule>
  </conditionalFormatting>
  <conditionalFormatting sqref="J213:J214 L843">
    <cfRule type="containsBlanks" dxfId="8" priority="41">
      <formula>LEN(TRIM(J213))=0</formula>
    </cfRule>
  </conditionalFormatting>
  <conditionalFormatting sqref="J213:J214 L843">
    <cfRule type="containsBlanks" dxfId="10" priority="42">
      <formula>LEN(TRIM(J213))=0</formula>
    </cfRule>
  </conditionalFormatting>
  <conditionalFormatting sqref="E213:E214 E842">
    <cfRule type="containsText" dxfId="1" priority="43" operator="containsText" text="Lapsed">
      <formula>NOT(ISERROR(SEARCH(("Lapsed"),(E213))))</formula>
    </cfRule>
  </conditionalFormatting>
  <conditionalFormatting sqref="E213:E214 E842">
    <cfRule type="containsText" dxfId="2" priority="44" operator="containsText" text="Active">
      <formula>NOT(ISERROR(SEARCH(("Active"),(E213))))</formula>
    </cfRule>
  </conditionalFormatting>
  <conditionalFormatting sqref="D213:D214 D842">
    <cfRule type="containsText" dxfId="3" priority="45" operator="containsText" text="Youth">
      <formula>NOT(ISERROR(SEARCH(("Youth"),(D213))))</formula>
    </cfRule>
  </conditionalFormatting>
  <conditionalFormatting sqref="J213:J214 L842">
    <cfRule type="containsBlanks" dxfId="8" priority="46">
      <formula>LEN(TRIM(J213))=0</formula>
    </cfRule>
  </conditionalFormatting>
  <conditionalFormatting sqref="J213:J214 L842">
    <cfRule type="containsBlanks" dxfId="10" priority="47">
      <formula>LEN(TRIM(J213))=0</formula>
    </cfRule>
  </conditionalFormatting>
  <conditionalFormatting sqref="E213:E214 E841">
    <cfRule type="containsText" dxfId="1" priority="48" operator="containsText" text="Lapsed">
      <formula>NOT(ISERROR(SEARCH(("Lapsed"),(E213))))</formula>
    </cfRule>
  </conditionalFormatting>
  <conditionalFormatting sqref="E213:E214 E841">
    <cfRule type="containsText" dxfId="2" priority="49" operator="containsText" text="Active">
      <formula>NOT(ISERROR(SEARCH(("Active"),(E213))))</formula>
    </cfRule>
  </conditionalFormatting>
  <conditionalFormatting sqref="D213:D214 D841">
    <cfRule type="containsText" dxfId="3" priority="50" operator="containsText" text="Youth">
      <formula>NOT(ISERROR(SEARCH(("Youth"),(D213))))</formula>
    </cfRule>
  </conditionalFormatting>
  <conditionalFormatting sqref="J213:J214 L841">
    <cfRule type="containsBlanks" dxfId="8" priority="51">
      <formula>LEN(TRIM(J213))=0</formula>
    </cfRule>
  </conditionalFormatting>
  <conditionalFormatting sqref="J213:J214 L841">
    <cfRule type="containsBlanks" dxfId="10" priority="52">
      <formula>LEN(TRIM(J213))=0</formula>
    </cfRule>
  </conditionalFormatting>
  <conditionalFormatting sqref="E213:E214 E840">
    <cfRule type="containsText" dxfId="1" priority="53" operator="containsText" text="Lapsed">
      <formula>NOT(ISERROR(SEARCH(("Lapsed"),(E213))))</formula>
    </cfRule>
  </conditionalFormatting>
  <conditionalFormatting sqref="E213:E214 E840">
    <cfRule type="containsText" dxfId="2" priority="54" operator="containsText" text="Active">
      <formula>NOT(ISERROR(SEARCH(("Active"),(E213))))</formula>
    </cfRule>
  </conditionalFormatting>
  <conditionalFormatting sqref="D213:D214 D840">
    <cfRule type="containsText" dxfId="3" priority="55" operator="containsText" text="Youth">
      <formula>NOT(ISERROR(SEARCH(("Youth"),(D213))))</formula>
    </cfRule>
  </conditionalFormatting>
  <conditionalFormatting sqref="J213:J214 L840">
    <cfRule type="containsBlanks" dxfId="8" priority="56">
      <formula>LEN(TRIM(J213))=0</formula>
    </cfRule>
  </conditionalFormatting>
  <conditionalFormatting sqref="J213:J214 L840">
    <cfRule type="containsBlanks" dxfId="10" priority="57">
      <formula>LEN(TRIM(J213))=0</formula>
    </cfRule>
  </conditionalFormatting>
  <conditionalFormatting sqref="E213:E214 E839">
    <cfRule type="containsText" dxfId="1" priority="58" operator="containsText" text="Lapsed">
      <formula>NOT(ISERROR(SEARCH(("Lapsed"),(E213))))</formula>
    </cfRule>
  </conditionalFormatting>
  <conditionalFormatting sqref="E213:E214 E839">
    <cfRule type="containsText" dxfId="2" priority="59" operator="containsText" text="Active">
      <formula>NOT(ISERROR(SEARCH(("Active"),(E213))))</formula>
    </cfRule>
  </conditionalFormatting>
  <conditionalFormatting sqref="D213:D214 D839">
    <cfRule type="containsText" dxfId="3" priority="60" operator="containsText" text="Youth">
      <formula>NOT(ISERROR(SEARCH(("Youth"),(D213))))</formula>
    </cfRule>
  </conditionalFormatting>
  <conditionalFormatting sqref="J213:J214 L839">
    <cfRule type="containsBlanks" dxfId="8" priority="61">
      <formula>LEN(TRIM(J213))=0</formula>
    </cfRule>
  </conditionalFormatting>
  <conditionalFormatting sqref="J213:J214 L839">
    <cfRule type="containsBlanks" dxfId="10" priority="62">
      <formula>LEN(TRIM(J213))=0</formula>
    </cfRule>
  </conditionalFormatting>
  <conditionalFormatting sqref="E213:E214 E838">
    <cfRule type="containsText" dxfId="1" priority="63" operator="containsText" text="Lapsed">
      <formula>NOT(ISERROR(SEARCH(("Lapsed"),(E213))))</formula>
    </cfRule>
  </conditionalFormatting>
  <conditionalFormatting sqref="E213:E214 E838">
    <cfRule type="containsText" dxfId="2" priority="64" operator="containsText" text="Active">
      <formula>NOT(ISERROR(SEARCH(("Active"),(E213))))</formula>
    </cfRule>
  </conditionalFormatting>
  <conditionalFormatting sqref="D213:D214 D838">
    <cfRule type="containsText" dxfId="3" priority="65" operator="containsText" text="Youth">
      <formula>NOT(ISERROR(SEARCH(("Youth"),(D213))))</formula>
    </cfRule>
  </conditionalFormatting>
  <conditionalFormatting sqref="J213:J214 L838">
    <cfRule type="containsBlanks" dxfId="8" priority="66">
      <formula>LEN(TRIM(J213))=0</formula>
    </cfRule>
  </conditionalFormatting>
  <conditionalFormatting sqref="J213:J214 L838">
    <cfRule type="containsBlanks" dxfId="10" priority="67">
      <formula>LEN(TRIM(J213))=0</formula>
    </cfRule>
  </conditionalFormatting>
  <conditionalFormatting sqref="E213:E214 E836:E837">
    <cfRule type="containsText" dxfId="1" priority="68" operator="containsText" text="Lapsed">
      <formula>NOT(ISERROR(SEARCH(("Lapsed"),(E213))))</formula>
    </cfRule>
  </conditionalFormatting>
  <conditionalFormatting sqref="E213:E214 E836:E837">
    <cfRule type="containsText" dxfId="2" priority="69" operator="containsText" text="Active">
      <formula>NOT(ISERROR(SEARCH(("Active"),(E213))))</formula>
    </cfRule>
  </conditionalFormatting>
  <conditionalFormatting sqref="D213:D214 D836:D837">
    <cfRule type="containsText" dxfId="3" priority="70" operator="containsText" text="Youth">
      <formula>NOT(ISERROR(SEARCH(("Youth"),(D213))))</formula>
    </cfRule>
  </conditionalFormatting>
  <conditionalFormatting sqref="J213:J214 L836:L837">
    <cfRule type="containsBlanks" dxfId="8" priority="71">
      <formula>LEN(TRIM(J213))=0</formula>
    </cfRule>
  </conditionalFormatting>
  <conditionalFormatting sqref="J213:J214 L836:L837">
    <cfRule type="containsBlanks" dxfId="10" priority="72">
      <formula>LEN(TRIM(J213))=0</formula>
    </cfRule>
  </conditionalFormatting>
  <conditionalFormatting sqref="E213:E214 E835">
    <cfRule type="containsText" dxfId="1" priority="73" operator="containsText" text="Lapsed">
      <formula>NOT(ISERROR(SEARCH(("Lapsed"),(E213))))</formula>
    </cfRule>
  </conditionalFormatting>
  <conditionalFormatting sqref="E213:E214 E835">
    <cfRule type="containsText" dxfId="2" priority="74" operator="containsText" text="Active">
      <formula>NOT(ISERROR(SEARCH(("Active"),(E213))))</formula>
    </cfRule>
  </conditionalFormatting>
  <conditionalFormatting sqref="D213:D214 D835">
    <cfRule type="containsText" dxfId="3" priority="75" operator="containsText" text="Youth">
      <formula>NOT(ISERROR(SEARCH(("Youth"),(D213))))</formula>
    </cfRule>
  </conditionalFormatting>
  <conditionalFormatting sqref="J213:J214 L835">
    <cfRule type="containsBlanks" dxfId="8" priority="76">
      <formula>LEN(TRIM(J213))=0</formula>
    </cfRule>
  </conditionalFormatting>
  <conditionalFormatting sqref="J213:J214 L835">
    <cfRule type="containsBlanks" dxfId="10" priority="77">
      <formula>LEN(TRIM(J213))=0</formula>
    </cfRule>
  </conditionalFormatting>
  <conditionalFormatting sqref="E213:E214 E833:E834">
    <cfRule type="containsText" dxfId="1" priority="78" operator="containsText" text="Lapsed">
      <formula>NOT(ISERROR(SEARCH(("Lapsed"),(E213))))</formula>
    </cfRule>
  </conditionalFormatting>
  <conditionalFormatting sqref="E213:E214 E833:E834">
    <cfRule type="containsText" dxfId="2" priority="79" operator="containsText" text="Active">
      <formula>NOT(ISERROR(SEARCH(("Active"),(E213))))</formula>
    </cfRule>
  </conditionalFormatting>
  <conditionalFormatting sqref="D213:D214 D833:D834">
    <cfRule type="containsText" dxfId="3" priority="80" operator="containsText" text="Youth">
      <formula>NOT(ISERROR(SEARCH(("Youth"),(D213))))</formula>
    </cfRule>
  </conditionalFormatting>
  <conditionalFormatting sqref="J213:J214 L833:L834">
    <cfRule type="containsBlanks" dxfId="8" priority="81">
      <formula>LEN(TRIM(J213))=0</formula>
    </cfRule>
  </conditionalFormatting>
  <conditionalFormatting sqref="J213:J214 L833:L834">
    <cfRule type="containsBlanks" dxfId="10" priority="82">
      <formula>LEN(TRIM(J213))=0</formula>
    </cfRule>
  </conditionalFormatting>
  <conditionalFormatting sqref="E213:E214 E832">
    <cfRule type="containsText" dxfId="1" priority="83" operator="containsText" text="Lapsed">
      <formula>NOT(ISERROR(SEARCH(("Lapsed"),(E213))))</formula>
    </cfRule>
  </conditionalFormatting>
  <conditionalFormatting sqref="E213:E214 E832">
    <cfRule type="containsText" dxfId="2" priority="84" operator="containsText" text="Active">
      <formula>NOT(ISERROR(SEARCH(("Active"),(E213))))</formula>
    </cfRule>
  </conditionalFormatting>
  <conditionalFormatting sqref="D213:D214 D832">
    <cfRule type="containsText" dxfId="3" priority="85" operator="containsText" text="Youth">
      <formula>NOT(ISERROR(SEARCH(("Youth"),(D213))))</formula>
    </cfRule>
  </conditionalFormatting>
  <conditionalFormatting sqref="J213:J214 L832">
    <cfRule type="containsBlanks" dxfId="8" priority="86">
      <formula>LEN(TRIM(J213))=0</formula>
    </cfRule>
  </conditionalFormatting>
  <conditionalFormatting sqref="J213:J214 L832">
    <cfRule type="containsBlanks" dxfId="10" priority="87">
      <formula>LEN(TRIM(J213))=0</formula>
    </cfRule>
  </conditionalFormatting>
  <conditionalFormatting sqref="E213:E214 E830:E831">
    <cfRule type="containsText" dxfId="1" priority="88" operator="containsText" text="Lapsed">
      <formula>NOT(ISERROR(SEARCH(("Lapsed"),(E213))))</formula>
    </cfRule>
  </conditionalFormatting>
  <conditionalFormatting sqref="E213:E214 E830:E831">
    <cfRule type="containsText" dxfId="2" priority="89" operator="containsText" text="Active">
      <formula>NOT(ISERROR(SEARCH(("Active"),(E213))))</formula>
    </cfRule>
  </conditionalFormatting>
  <conditionalFormatting sqref="D213:D214 D830:D831">
    <cfRule type="containsText" dxfId="3" priority="90" operator="containsText" text="Youth">
      <formula>NOT(ISERROR(SEARCH(("Youth"),(D213))))</formula>
    </cfRule>
  </conditionalFormatting>
  <conditionalFormatting sqref="J213:J214 L830:L831">
    <cfRule type="containsBlanks" dxfId="8" priority="91">
      <formula>LEN(TRIM(J213))=0</formula>
    </cfRule>
  </conditionalFormatting>
  <conditionalFormatting sqref="J213:J214 L830:L831">
    <cfRule type="containsBlanks" dxfId="10" priority="92">
      <formula>LEN(TRIM(J213))=0</formula>
    </cfRule>
  </conditionalFormatting>
  <conditionalFormatting sqref="E213:E214 E829">
    <cfRule type="containsText" dxfId="1" priority="93" operator="containsText" text="Lapsed">
      <formula>NOT(ISERROR(SEARCH(("Lapsed"),(E213))))</formula>
    </cfRule>
  </conditionalFormatting>
  <conditionalFormatting sqref="E213:E214 E829">
    <cfRule type="containsText" dxfId="2" priority="94" operator="containsText" text="Active">
      <formula>NOT(ISERROR(SEARCH(("Active"),(E213))))</formula>
    </cfRule>
  </conditionalFormatting>
  <conditionalFormatting sqref="D213:D214 D829">
    <cfRule type="containsText" dxfId="3" priority="95" operator="containsText" text="Youth">
      <formula>NOT(ISERROR(SEARCH(("Youth"),(D213))))</formula>
    </cfRule>
  </conditionalFormatting>
  <conditionalFormatting sqref="J213:J214 L829">
    <cfRule type="containsBlanks" dxfId="8" priority="96">
      <formula>LEN(TRIM(J213))=0</formula>
    </cfRule>
  </conditionalFormatting>
  <conditionalFormatting sqref="J213:J214 L829">
    <cfRule type="containsBlanks" dxfId="10" priority="97">
      <formula>LEN(TRIM(J213))=0</formula>
    </cfRule>
  </conditionalFormatting>
  <conditionalFormatting sqref="E213:E214 E828">
    <cfRule type="containsText" dxfId="1" priority="98" operator="containsText" text="Lapsed">
      <formula>NOT(ISERROR(SEARCH(("Lapsed"),(E213))))</formula>
    </cfRule>
  </conditionalFormatting>
  <conditionalFormatting sqref="E213:E214 E828">
    <cfRule type="containsText" dxfId="2" priority="99" operator="containsText" text="Active">
      <formula>NOT(ISERROR(SEARCH(("Active"),(E213))))</formula>
    </cfRule>
  </conditionalFormatting>
  <conditionalFormatting sqref="D213:D214 D828">
    <cfRule type="containsText" dxfId="3" priority="100" operator="containsText" text="Youth">
      <formula>NOT(ISERROR(SEARCH(("Youth"),(D213))))</formula>
    </cfRule>
  </conditionalFormatting>
  <conditionalFormatting sqref="J213:J214 L828">
    <cfRule type="containsBlanks" dxfId="8" priority="101">
      <formula>LEN(TRIM(J213))=0</formula>
    </cfRule>
  </conditionalFormatting>
  <conditionalFormatting sqref="J213:J214 L828">
    <cfRule type="containsBlanks" dxfId="10" priority="102">
      <formula>LEN(TRIM(J213))=0</formula>
    </cfRule>
  </conditionalFormatting>
  <conditionalFormatting sqref="E213:E214 E826:E827">
    <cfRule type="containsText" dxfId="1" priority="103" operator="containsText" text="Lapsed">
      <formula>NOT(ISERROR(SEARCH(("Lapsed"),(E213))))</formula>
    </cfRule>
  </conditionalFormatting>
  <conditionalFormatting sqref="E213:E214 E826:E827">
    <cfRule type="containsText" dxfId="2" priority="104" operator="containsText" text="Active">
      <formula>NOT(ISERROR(SEARCH(("Active"),(E213))))</formula>
    </cfRule>
  </conditionalFormatting>
  <conditionalFormatting sqref="D213:D214 D826:D827">
    <cfRule type="containsText" dxfId="3" priority="105" operator="containsText" text="Youth">
      <formula>NOT(ISERROR(SEARCH(("Youth"),(D213))))</formula>
    </cfRule>
  </conditionalFormatting>
  <conditionalFormatting sqref="J213:J214 L826:L827">
    <cfRule type="containsBlanks" dxfId="8" priority="106">
      <formula>LEN(TRIM(J213))=0</formula>
    </cfRule>
  </conditionalFormatting>
  <conditionalFormatting sqref="J213:J214 L826:L827">
    <cfRule type="containsBlanks" dxfId="10" priority="107">
      <formula>LEN(TRIM(J213))=0</formula>
    </cfRule>
  </conditionalFormatting>
  <conditionalFormatting sqref="E213:E214 E825">
    <cfRule type="containsText" dxfId="1" priority="108" operator="containsText" text="Lapsed">
      <formula>NOT(ISERROR(SEARCH(("Lapsed"),(E213))))</formula>
    </cfRule>
  </conditionalFormatting>
  <conditionalFormatting sqref="E213:E214 E825">
    <cfRule type="containsText" dxfId="2" priority="109" operator="containsText" text="Active">
      <formula>NOT(ISERROR(SEARCH(("Active"),(E213))))</formula>
    </cfRule>
  </conditionalFormatting>
  <conditionalFormatting sqref="D213:D214 D825">
    <cfRule type="containsText" dxfId="3" priority="110" operator="containsText" text="Youth">
      <formula>NOT(ISERROR(SEARCH(("Youth"),(D213))))</formula>
    </cfRule>
  </conditionalFormatting>
  <conditionalFormatting sqref="J213:J214 L825">
    <cfRule type="containsBlanks" dxfId="8" priority="111">
      <formula>LEN(TRIM(J213))=0</formula>
    </cfRule>
  </conditionalFormatting>
  <conditionalFormatting sqref="J213:J214 L825">
    <cfRule type="containsBlanks" dxfId="10" priority="112">
      <formula>LEN(TRIM(J213))=0</formula>
    </cfRule>
  </conditionalFormatting>
  <conditionalFormatting sqref="E213:E214 E824">
    <cfRule type="containsText" dxfId="1" priority="113" operator="containsText" text="Lapsed">
      <formula>NOT(ISERROR(SEARCH(("Lapsed"),(E213))))</formula>
    </cfRule>
  </conditionalFormatting>
  <conditionalFormatting sqref="E213:E214 E824">
    <cfRule type="containsText" dxfId="2" priority="114" operator="containsText" text="Active">
      <formula>NOT(ISERROR(SEARCH(("Active"),(E213))))</formula>
    </cfRule>
  </conditionalFormatting>
  <conditionalFormatting sqref="D213:D214 D824">
    <cfRule type="containsText" dxfId="3" priority="115" operator="containsText" text="Youth">
      <formula>NOT(ISERROR(SEARCH(("Youth"),(D213))))</formula>
    </cfRule>
  </conditionalFormatting>
  <conditionalFormatting sqref="J213:J214 L824">
    <cfRule type="containsBlanks" dxfId="8" priority="116">
      <formula>LEN(TRIM(J213))=0</formula>
    </cfRule>
  </conditionalFormatting>
  <conditionalFormatting sqref="J213:J214 L824">
    <cfRule type="containsBlanks" dxfId="10" priority="117">
      <formula>LEN(TRIM(J213))=0</formula>
    </cfRule>
  </conditionalFormatting>
  <conditionalFormatting sqref="E213:E214 E823">
    <cfRule type="containsText" dxfId="1" priority="118" operator="containsText" text="Lapsed">
      <formula>NOT(ISERROR(SEARCH(("Lapsed"),(E213))))</formula>
    </cfRule>
  </conditionalFormatting>
  <conditionalFormatting sqref="E213:E214 E823">
    <cfRule type="containsText" dxfId="2" priority="119" operator="containsText" text="Active">
      <formula>NOT(ISERROR(SEARCH(("Active"),(E213))))</formula>
    </cfRule>
  </conditionalFormatting>
  <conditionalFormatting sqref="D213:D214 D823">
    <cfRule type="containsText" dxfId="3" priority="120" operator="containsText" text="Youth">
      <formula>NOT(ISERROR(SEARCH(("Youth"),(D213))))</formula>
    </cfRule>
  </conditionalFormatting>
  <conditionalFormatting sqref="J213:J214 L823">
    <cfRule type="containsBlanks" dxfId="8" priority="121">
      <formula>LEN(TRIM(J213))=0</formula>
    </cfRule>
  </conditionalFormatting>
  <conditionalFormatting sqref="J213:J214 L823">
    <cfRule type="containsBlanks" dxfId="10" priority="122">
      <formula>LEN(TRIM(J213))=0</formula>
    </cfRule>
  </conditionalFormatting>
  <conditionalFormatting sqref="E213:E214 E821:E822">
    <cfRule type="containsText" dxfId="1" priority="123" operator="containsText" text="Lapsed">
      <formula>NOT(ISERROR(SEARCH(("Lapsed"),(E213))))</formula>
    </cfRule>
  </conditionalFormatting>
  <conditionalFormatting sqref="E213:E214 E821:E822">
    <cfRule type="containsText" dxfId="2" priority="124" operator="containsText" text="Active">
      <formula>NOT(ISERROR(SEARCH(("Active"),(E213))))</formula>
    </cfRule>
  </conditionalFormatting>
  <conditionalFormatting sqref="D213:D214 D821:D822">
    <cfRule type="containsText" dxfId="3" priority="125" operator="containsText" text="Youth">
      <formula>NOT(ISERROR(SEARCH(("Youth"),(D213))))</formula>
    </cfRule>
  </conditionalFormatting>
  <conditionalFormatting sqref="J213:J214 L821:L822">
    <cfRule type="containsBlanks" dxfId="8" priority="126">
      <formula>LEN(TRIM(J213))=0</formula>
    </cfRule>
  </conditionalFormatting>
  <conditionalFormatting sqref="J213:J214 L821:L822">
    <cfRule type="containsBlanks" dxfId="10" priority="127">
      <formula>LEN(TRIM(J213))=0</formula>
    </cfRule>
  </conditionalFormatting>
  <conditionalFormatting sqref="E213:E214 E819:E820">
    <cfRule type="containsText" dxfId="1" priority="128" operator="containsText" text="Lapsed">
      <formula>NOT(ISERROR(SEARCH(("Lapsed"),(E213))))</formula>
    </cfRule>
  </conditionalFormatting>
  <conditionalFormatting sqref="E213:E214 E819:E820">
    <cfRule type="containsText" dxfId="2" priority="129" operator="containsText" text="Active">
      <formula>NOT(ISERROR(SEARCH(("Active"),(E213))))</formula>
    </cfRule>
  </conditionalFormatting>
  <conditionalFormatting sqref="D213:D214 D819:D820">
    <cfRule type="containsText" dxfId="3" priority="130" operator="containsText" text="Youth">
      <formula>NOT(ISERROR(SEARCH(("Youth"),(D213))))</formula>
    </cfRule>
  </conditionalFormatting>
  <conditionalFormatting sqref="J213:J214 L819:L820">
    <cfRule type="containsBlanks" dxfId="8" priority="131">
      <formula>LEN(TRIM(J213))=0</formula>
    </cfRule>
  </conditionalFormatting>
  <conditionalFormatting sqref="J213:J214 L819:L820">
    <cfRule type="containsBlanks" dxfId="10" priority="132">
      <formula>LEN(TRIM(J213))=0</formula>
    </cfRule>
  </conditionalFormatting>
  <conditionalFormatting sqref="E213:E214 E818">
    <cfRule type="containsText" dxfId="1" priority="133" operator="containsText" text="Lapsed">
      <formula>NOT(ISERROR(SEARCH(("Lapsed"),(E213))))</formula>
    </cfRule>
  </conditionalFormatting>
  <conditionalFormatting sqref="E213:E214 E818">
    <cfRule type="containsText" dxfId="2" priority="134" operator="containsText" text="Active">
      <formula>NOT(ISERROR(SEARCH(("Active"),(E213))))</formula>
    </cfRule>
  </conditionalFormatting>
  <conditionalFormatting sqref="D213:D214 D818">
    <cfRule type="containsText" dxfId="3" priority="135" operator="containsText" text="Youth">
      <formula>NOT(ISERROR(SEARCH(("Youth"),(D213))))</formula>
    </cfRule>
  </conditionalFormatting>
  <conditionalFormatting sqref="J213:J214 L818">
    <cfRule type="containsBlanks" dxfId="8" priority="136">
      <formula>LEN(TRIM(J213))=0</formula>
    </cfRule>
  </conditionalFormatting>
  <conditionalFormatting sqref="J213:J214 L818">
    <cfRule type="containsBlanks" dxfId="10" priority="137">
      <formula>LEN(TRIM(J213))=0</formula>
    </cfRule>
  </conditionalFormatting>
  <conditionalFormatting sqref="E213:E214 E817">
    <cfRule type="containsText" dxfId="1" priority="138" operator="containsText" text="Lapsed">
      <formula>NOT(ISERROR(SEARCH(("Lapsed"),(E213))))</formula>
    </cfRule>
  </conditionalFormatting>
  <conditionalFormatting sqref="E213:E214 E817">
    <cfRule type="containsText" dxfId="2" priority="139" operator="containsText" text="Active">
      <formula>NOT(ISERROR(SEARCH(("Active"),(E213))))</formula>
    </cfRule>
  </conditionalFormatting>
  <conditionalFormatting sqref="D213:D214 D817">
    <cfRule type="containsText" dxfId="3" priority="140" operator="containsText" text="Youth">
      <formula>NOT(ISERROR(SEARCH(("Youth"),(D213))))</formula>
    </cfRule>
  </conditionalFormatting>
  <conditionalFormatting sqref="J213:J214 L817">
    <cfRule type="containsBlanks" dxfId="8" priority="141">
      <formula>LEN(TRIM(J213))=0</formula>
    </cfRule>
  </conditionalFormatting>
  <conditionalFormatting sqref="J213:J214 L817">
    <cfRule type="containsBlanks" dxfId="10" priority="142">
      <formula>LEN(TRIM(J213))=0</formula>
    </cfRule>
  </conditionalFormatting>
  <conditionalFormatting sqref="E213:E214 E816">
    <cfRule type="containsText" dxfId="1" priority="143" operator="containsText" text="Lapsed">
      <formula>NOT(ISERROR(SEARCH(("Lapsed"),(E213))))</formula>
    </cfRule>
  </conditionalFormatting>
  <conditionalFormatting sqref="E213:E214 E816">
    <cfRule type="containsText" dxfId="2" priority="144" operator="containsText" text="Active">
      <formula>NOT(ISERROR(SEARCH(("Active"),(E213))))</formula>
    </cfRule>
  </conditionalFormatting>
  <conditionalFormatting sqref="D213:D214 D816">
    <cfRule type="containsText" dxfId="3" priority="145" operator="containsText" text="Youth">
      <formula>NOT(ISERROR(SEARCH(("Youth"),(D213))))</formula>
    </cfRule>
  </conditionalFormatting>
  <conditionalFormatting sqref="J213:J214 L816">
    <cfRule type="containsBlanks" dxfId="8" priority="146">
      <formula>LEN(TRIM(J213))=0</formula>
    </cfRule>
  </conditionalFormatting>
  <conditionalFormatting sqref="J213:J214 L816">
    <cfRule type="containsBlanks" dxfId="10" priority="147">
      <formula>LEN(TRIM(J213))=0</formula>
    </cfRule>
  </conditionalFormatting>
  <conditionalFormatting sqref="E213:E214 E814:E815">
    <cfRule type="containsText" dxfId="1" priority="148" operator="containsText" text="Lapsed">
      <formula>NOT(ISERROR(SEARCH(("Lapsed"),(E213))))</formula>
    </cfRule>
  </conditionalFormatting>
  <conditionalFormatting sqref="E213:E214 E814:E815">
    <cfRule type="containsText" dxfId="2" priority="149" operator="containsText" text="Active">
      <formula>NOT(ISERROR(SEARCH(("Active"),(E213))))</formula>
    </cfRule>
  </conditionalFormatting>
  <conditionalFormatting sqref="D213:D214 D814:D815">
    <cfRule type="containsText" dxfId="3" priority="150" operator="containsText" text="Youth">
      <formula>NOT(ISERROR(SEARCH(("Youth"),(D213))))</formula>
    </cfRule>
  </conditionalFormatting>
  <conditionalFormatting sqref="J213:J214 L814:L815">
    <cfRule type="containsBlanks" dxfId="8" priority="151">
      <formula>LEN(TRIM(J213))=0</formula>
    </cfRule>
  </conditionalFormatting>
  <conditionalFormatting sqref="J213:J214 L814:L815">
    <cfRule type="containsBlanks" dxfId="10" priority="152">
      <formula>LEN(TRIM(J213))=0</formula>
    </cfRule>
  </conditionalFormatting>
  <conditionalFormatting sqref="E213:E214 E813">
    <cfRule type="containsText" dxfId="1" priority="153" operator="containsText" text="Lapsed">
      <formula>NOT(ISERROR(SEARCH(("Lapsed"),(E213))))</formula>
    </cfRule>
  </conditionalFormatting>
  <conditionalFormatting sqref="E213:E214 E813">
    <cfRule type="containsText" dxfId="2" priority="154" operator="containsText" text="Active">
      <formula>NOT(ISERROR(SEARCH(("Active"),(E213))))</formula>
    </cfRule>
  </conditionalFormatting>
  <conditionalFormatting sqref="D213:D214 D813">
    <cfRule type="containsText" dxfId="3" priority="155" operator="containsText" text="Youth">
      <formula>NOT(ISERROR(SEARCH(("Youth"),(D213))))</formula>
    </cfRule>
  </conditionalFormatting>
  <conditionalFormatting sqref="J213:J214 L813">
    <cfRule type="containsBlanks" dxfId="8" priority="156">
      <formula>LEN(TRIM(J213))=0</formula>
    </cfRule>
  </conditionalFormatting>
  <conditionalFormatting sqref="J213:J214 L813">
    <cfRule type="containsBlanks" dxfId="10" priority="157">
      <formula>LEN(TRIM(J213))=0</formula>
    </cfRule>
  </conditionalFormatting>
  <conditionalFormatting sqref="E213:E214 E812">
    <cfRule type="containsText" dxfId="1" priority="158" operator="containsText" text="Lapsed">
      <formula>NOT(ISERROR(SEARCH(("Lapsed"),(E213))))</formula>
    </cfRule>
  </conditionalFormatting>
  <conditionalFormatting sqref="E213:E214 E812">
    <cfRule type="containsText" dxfId="2" priority="159" operator="containsText" text="Active">
      <formula>NOT(ISERROR(SEARCH(("Active"),(E213))))</formula>
    </cfRule>
  </conditionalFormatting>
  <conditionalFormatting sqref="D213:D214 D812">
    <cfRule type="containsText" dxfId="3" priority="160" operator="containsText" text="Youth">
      <formula>NOT(ISERROR(SEARCH(("Youth"),(D213))))</formula>
    </cfRule>
  </conditionalFormatting>
  <conditionalFormatting sqref="J213:J214 L812">
    <cfRule type="containsBlanks" dxfId="8" priority="161">
      <formula>LEN(TRIM(J213))=0</formula>
    </cfRule>
  </conditionalFormatting>
  <conditionalFormatting sqref="J213:J214 L812">
    <cfRule type="containsBlanks" dxfId="10" priority="162">
      <formula>LEN(TRIM(J213))=0</formula>
    </cfRule>
  </conditionalFormatting>
  <conditionalFormatting sqref="E213:E214 E811">
    <cfRule type="containsText" dxfId="1" priority="163" operator="containsText" text="Lapsed">
      <formula>NOT(ISERROR(SEARCH(("Lapsed"),(E213))))</formula>
    </cfRule>
  </conditionalFormatting>
  <conditionalFormatting sqref="E213:E214 E811">
    <cfRule type="containsText" dxfId="2" priority="164" operator="containsText" text="Active">
      <formula>NOT(ISERROR(SEARCH(("Active"),(E213))))</formula>
    </cfRule>
  </conditionalFormatting>
  <conditionalFormatting sqref="D213:D214 D811">
    <cfRule type="containsText" dxfId="3" priority="165" operator="containsText" text="Youth">
      <formula>NOT(ISERROR(SEARCH(("Youth"),(D213))))</formula>
    </cfRule>
  </conditionalFormatting>
  <conditionalFormatting sqref="J213:J214 L811">
    <cfRule type="containsBlanks" dxfId="8" priority="166">
      <formula>LEN(TRIM(J213))=0</formula>
    </cfRule>
  </conditionalFormatting>
  <conditionalFormatting sqref="J213:J214 L811">
    <cfRule type="containsBlanks" dxfId="10" priority="167">
      <formula>LEN(TRIM(J213))=0</formula>
    </cfRule>
  </conditionalFormatting>
  <conditionalFormatting sqref="E213:E214 E810">
    <cfRule type="containsText" dxfId="1" priority="168" operator="containsText" text="Lapsed">
      <formula>NOT(ISERROR(SEARCH(("Lapsed"),(E213))))</formula>
    </cfRule>
  </conditionalFormatting>
  <conditionalFormatting sqref="E213:E214 E810">
    <cfRule type="containsText" dxfId="2" priority="169" operator="containsText" text="Active">
      <formula>NOT(ISERROR(SEARCH(("Active"),(E213))))</formula>
    </cfRule>
  </conditionalFormatting>
  <conditionalFormatting sqref="D213:D214 D810">
    <cfRule type="containsText" dxfId="3" priority="170" operator="containsText" text="Youth">
      <formula>NOT(ISERROR(SEARCH(("Youth"),(D213))))</formula>
    </cfRule>
  </conditionalFormatting>
  <conditionalFormatting sqref="J213:J214 L810">
    <cfRule type="containsBlanks" dxfId="8" priority="171">
      <formula>LEN(TRIM(J213))=0</formula>
    </cfRule>
  </conditionalFormatting>
  <conditionalFormatting sqref="J213:J214 L810">
    <cfRule type="containsBlanks" dxfId="10" priority="172">
      <formula>LEN(TRIM(J213))=0</formula>
    </cfRule>
  </conditionalFormatting>
  <conditionalFormatting sqref="E213:E214 E809">
    <cfRule type="containsText" dxfId="1" priority="173" operator="containsText" text="Lapsed">
      <formula>NOT(ISERROR(SEARCH(("Lapsed"),(E213))))</formula>
    </cfRule>
  </conditionalFormatting>
  <conditionalFormatting sqref="E213:E214 E809">
    <cfRule type="containsText" dxfId="2" priority="174" operator="containsText" text="Active">
      <formula>NOT(ISERROR(SEARCH(("Active"),(E213))))</formula>
    </cfRule>
  </conditionalFormatting>
  <conditionalFormatting sqref="D213:D214 D809">
    <cfRule type="containsText" dxfId="3" priority="175" operator="containsText" text="Youth">
      <formula>NOT(ISERROR(SEARCH(("Youth"),(D213))))</formula>
    </cfRule>
  </conditionalFormatting>
  <conditionalFormatting sqref="J213:J214 L809">
    <cfRule type="containsBlanks" dxfId="8" priority="176">
      <formula>LEN(TRIM(J213))=0</formula>
    </cfRule>
  </conditionalFormatting>
  <conditionalFormatting sqref="J213:J214 L809">
    <cfRule type="containsBlanks" dxfId="10" priority="177">
      <formula>LEN(TRIM(J213))=0</formula>
    </cfRule>
  </conditionalFormatting>
  <conditionalFormatting sqref="E213:E214 E808">
    <cfRule type="containsText" dxfId="1" priority="178" operator="containsText" text="Lapsed">
      <formula>NOT(ISERROR(SEARCH(("Lapsed"),(E213))))</formula>
    </cfRule>
  </conditionalFormatting>
  <conditionalFormatting sqref="E213:E214 E808">
    <cfRule type="containsText" dxfId="2" priority="179" operator="containsText" text="Active">
      <formula>NOT(ISERROR(SEARCH(("Active"),(E213))))</formula>
    </cfRule>
  </conditionalFormatting>
  <conditionalFormatting sqref="D213:D214 D808">
    <cfRule type="containsText" dxfId="3" priority="180" operator="containsText" text="Youth">
      <formula>NOT(ISERROR(SEARCH(("Youth"),(D213))))</formula>
    </cfRule>
  </conditionalFormatting>
  <conditionalFormatting sqref="J213:J214 L808">
    <cfRule type="containsBlanks" dxfId="8" priority="181">
      <formula>LEN(TRIM(J213))=0</formula>
    </cfRule>
  </conditionalFormatting>
  <conditionalFormatting sqref="J213:J214 L808">
    <cfRule type="containsBlanks" dxfId="10" priority="182">
      <formula>LEN(TRIM(J213))=0</formula>
    </cfRule>
  </conditionalFormatting>
  <conditionalFormatting sqref="E213:E214 E807">
    <cfRule type="containsText" dxfId="1" priority="183" operator="containsText" text="Lapsed">
      <formula>NOT(ISERROR(SEARCH(("Lapsed"),(E213))))</formula>
    </cfRule>
  </conditionalFormatting>
  <conditionalFormatting sqref="E213:E214 E807">
    <cfRule type="containsText" dxfId="2" priority="184" operator="containsText" text="Active">
      <formula>NOT(ISERROR(SEARCH(("Active"),(E213))))</formula>
    </cfRule>
  </conditionalFormatting>
  <conditionalFormatting sqref="D213:D214 D807">
    <cfRule type="containsText" dxfId="3" priority="185" operator="containsText" text="Youth">
      <formula>NOT(ISERROR(SEARCH(("Youth"),(D213))))</formula>
    </cfRule>
  </conditionalFormatting>
  <conditionalFormatting sqref="J213:J214 L807">
    <cfRule type="containsBlanks" dxfId="8" priority="186">
      <formula>LEN(TRIM(J213))=0</formula>
    </cfRule>
  </conditionalFormatting>
  <conditionalFormatting sqref="J213:J214 L807">
    <cfRule type="containsBlanks" dxfId="10" priority="187">
      <formula>LEN(TRIM(J213))=0</formula>
    </cfRule>
  </conditionalFormatting>
  <conditionalFormatting sqref="E213:E214 E805:E806">
    <cfRule type="containsText" dxfId="1" priority="188" operator="containsText" text="Lapsed">
      <formula>NOT(ISERROR(SEARCH(("Lapsed"),(E213))))</formula>
    </cfRule>
  </conditionalFormatting>
  <conditionalFormatting sqref="E213:E214 E805:E806">
    <cfRule type="containsText" dxfId="2" priority="189" operator="containsText" text="Active">
      <formula>NOT(ISERROR(SEARCH(("Active"),(E213))))</formula>
    </cfRule>
  </conditionalFormatting>
  <conditionalFormatting sqref="D213:D214 D805:D806">
    <cfRule type="containsText" dxfId="3" priority="190" operator="containsText" text="Youth">
      <formula>NOT(ISERROR(SEARCH(("Youth"),(D213))))</formula>
    </cfRule>
  </conditionalFormatting>
  <conditionalFormatting sqref="J213:J214 L805:L806">
    <cfRule type="containsBlanks" dxfId="8" priority="191">
      <formula>LEN(TRIM(J213))=0</formula>
    </cfRule>
  </conditionalFormatting>
  <conditionalFormatting sqref="J213:J214 L805:L806">
    <cfRule type="containsBlanks" dxfId="10" priority="192">
      <formula>LEN(TRIM(J213))=0</formula>
    </cfRule>
  </conditionalFormatting>
  <conditionalFormatting sqref="E213:E214 E804">
    <cfRule type="containsText" dxfId="1" priority="193" operator="containsText" text="Lapsed">
      <formula>NOT(ISERROR(SEARCH(("Lapsed"),(E213))))</formula>
    </cfRule>
  </conditionalFormatting>
  <conditionalFormatting sqref="E213:E214 E804">
    <cfRule type="containsText" dxfId="2" priority="194" operator="containsText" text="Active">
      <formula>NOT(ISERROR(SEARCH(("Active"),(E213))))</formula>
    </cfRule>
  </conditionalFormatting>
  <conditionalFormatting sqref="D213:D214 D804">
    <cfRule type="containsText" dxfId="3" priority="195" operator="containsText" text="Youth">
      <formula>NOT(ISERROR(SEARCH(("Youth"),(D213))))</formula>
    </cfRule>
  </conditionalFormatting>
  <conditionalFormatting sqref="J213:J214 L804">
    <cfRule type="containsBlanks" dxfId="8" priority="196">
      <formula>LEN(TRIM(J213))=0</formula>
    </cfRule>
  </conditionalFormatting>
  <conditionalFormatting sqref="J213:J214 L804">
    <cfRule type="containsBlanks" dxfId="10" priority="197">
      <formula>LEN(TRIM(J213))=0</formula>
    </cfRule>
  </conditionalFormatting>
  <conditionalFormatting sqref="E213:E214 E803">
    <cfRule type="containsText" dxfId="1" priority="198" operator="containsText" text="Lapsed">
      <formula>NOT(ISERROR(SEARCH(("Lapsed"),(E213))))</formula>
    </cfRule>
  </conditionalFormatting>
  <conditionalFormatting sqref="E213:E214 E803">
    <cfRule type="containsText" dxfId="2" priority="199" operator="containsText" text="Active">
      <formula>NOT(ISERROR(SEARCH(("Active"),(E213))))</formula>
    </cfRule>
  </conditionalFormatting>
  <conditionalFormatting sqref="D213:D214 D803">
    <cfRule type="containsText" dxfId="3" priority="200" operator="containsText" text="Youth">
      <formula>NOT(ISERROR(SEARCH(("Youth"),(D213))))</formula>
    </cfRule>
  </conditionalFormatting>
  <conditionalFormatting sqref="J213:J214 L803">
    <cfRule type="containsBlanks" dxfId="8" priority="201">
      <formula>LEN(TRIM(J213))=0</formula>
    </cfRule>
  </conditionalFormatting>
  <conditionalFormatting sqref="J213:J214 L803">
    <cfRule type="containsBlanks" dxfId="10" priority="202">
      <formula>LEN(TRIM(J213))=0</formula>
    </cfRule>
  </conditionalFormatting>
  <conditionalFormatting sqref="E213:E214 E802">
    <cfRule type="containsText" dxfId="1" priority="203" operator="containsText" text="Lapsed">
      <formula>NOT(ISERROR(SEARCH(("Lapsed"),(E213))))</formula>
    </cfRule>
  </conditionalFormatting>
  <conditionalFormatting sqref="E213:E214 E802">
    <cfRule type="containsText" dxfId="2" priority="204" operator="containsText" text="Active">
      <formula>NOT(ISERROR(SEARCH(("Active"),(E213))))</formula>
    </cfRule>
  </conditionalFormatting>
  <conditionalFormatting sqref="D213:D214 D802">
    <cfRule type="containsText" dxfId="3" priority="205" operator="containsText" text="Youth">
      <formula>NOT(ISERROR(SEARCH(("Youth"),(D213))))</formula>
    </cfRule>
  </conditionalFormatting>
  <conditionalFormatting sqref="J213:J214 L802">
    <cfRule type="containsBlanks" dxfId="8" priority="206">
      <formula>LEN(TRIM(J213))=0</formula>
    </cfRule>
  </conditionalFormatting>
  <conditionalFormatting sqref="J213:J214 L802">
    <cfRule type="containsBlanks" dxfId="10" priority="207">
      <formula>LEN(TRIM(J213))=0</formula>
    </cfRule>
  </conditionalFormatting>
  <conditionalFormatting sqref="E213:E214 E801">
    <cfRule type="containsText" dxfId="1" priority="208" operator="containsText" text="Lapsed">
      <formula>NOT(ISERROR(SEARCH(("Lapsed"),(E213))))</formula>
    </cfRule>
  </conditionalFormatting>
  <conditionalFormatting sqref="E213:E214 E801">
    <cfRule type="containsText" dxfId="2" priority="209" operator="containsText" text="Active">
      <formula>NOT(ISERROR(SEARCH(("Active"),(E213))))</formula>
    </cfRule>
  </conditionalFormatting>
  <conditionalFormatting sqref="D213:D214 D801">
    <cfRule type="containsText" dxfId="3" priority="210" operator="containsText" text="Youth">
      <formula>NOT(ISERROR(SEARCH(("Youth"),(D213))))</formula>
    </cfRule>
  </conditionalFormatting>
  <conditionalFormatting sqref="J213:J214 L801">
    <cfRule type="containsBlanks" dxfId="8" priority="211">
      <formula>LEN(TRIM(J213))=0</formula>
    </cfRule>
  </conditionalFormatting>
  <conditionalFormatting sqref="J213:J214 L801">
    <cfRule type="containsBlanks" dxfId="10" priority="212">
      <formula>LEN(TRIM(J213))=0</formula>
    </cfRule>
  </conditionalFormatting>
  <conditionalFormatting sqref="E213:E214 E800">
    <cfRule type="containsText" dxfId="1" priority="213" operator="containsText" text="Lapsed">
      <formula>NOT(ISERROR(SEARCH(("Lapsed"),(E213))))</formula>
    </cfRule>
  </conditionalFormatting>
  <conditionalFormatting sqref="E213:E214 E800">
    <cfRule type="containsText" dxfId="2" priority="214" operator="containsText" text="Active">
      <formula>NOT(ISERROR(SEARCH(("Active"),(E213))))</formula>
    </cfRule>
  </conditionalFormatting>
  <conditionalFormatting sqref="D213:D214 D800">
    <cfRule type="containsText" dxfId="3" priority="215" operator="containsText" text="Youth">
      <formula>NOT(ISERROR(SEARCH(("Youth"),(D213))))</formula>
    </cfRule>
  </conditionalFormatting>
  <conditionalFormatting sqref="J213:J214 L800">
    <cfRule type="containsBlanks" dxfId="8" priority="216">
      <formula>LEN(TRIM(J213))=0</formula>
    </cfRule>
  </conditionalFormatting>
  <conditionalFormatting sqref="J213:J214 L800">
    <cfRule type="containsBlanks" dxfId="10" priority="217">
      <formula>LEN(TRIM(J213))=0</formula>
    </cfRule>
  </conditionalFormatting>
  <conditionalFormatting sqref="E213:E214 E799">
    <cfRule type="containsText" dxfId="1" priority="218" operator="containsText" text="Lapsed">
      <formula>NOT(ISERROR(SEARCH(("Lapsed"),(E213))))</formula>
    </cfRule>
  </conditionalFormatting>
  <conditionalFormatting sqref="E213:E214 E799">
    <cfRule type="containsText" dxfId="2" priority="219" operator="containsText" text="Active">
      <formula>NOT(ISERROR(SEARCH(("Active"),(E213))))</formula>
    </cfRule>
  </conditionalFormatting>
  <conditionalFormatting sqref="D213:D214 D799">
    <cfRule type="containsText" dxfId="3" priority="220" operator="containsText" text="Youth">
      <formula>NOT(ISERROR(SEARCH(("Youth"),(D213))))</formula>
    </cfRule>
  </conditionalFormatting>
  <conditionalFormatting sqref="J213:J214 L799">
    <cfRule type="containsBlanks" dxfId="8" priority="221">
      <formula>LEN(TRIM(J213))=0</formula>
    </cfRule>
  </conditionalFormatting>
  <conditionalFormatting sqref="J213:J214 L799">
    <cfRule type="containsBlanks" dxfId="10" priority="222">
      <formula>LEN(TRIM(J213))=0</formula>
    </cfRule>
  </conditionalFormatting>
  <conditionalFormatting sqref="E213:E214 E798">
    <cfRule type="containsText" dxfId="1" priority="223" operator="containsText" text="Lapsed">
      <formula>NOT(ISERROR(SEARCH(("Lapsed"),(E213))))</formula>
    </cfRule>
  </conditionalFormatting>
  <conditionalFormatting sqref="E213:E214 E798">
    <cfRule type="containsText" dxfId="2" priority="224" operator="containsText" text="Active">
      <formula>NOT(ISERROR(SEARCH(("Active"),(E213))))</formula>
    </cfRule>
  </conditionalFormatting>
  <conditionalFormatting sqref="D213:D214 D798">
    <cfRule type="containsText" dxfId="3" priority="225" operator="containsText" text="Youth">
      <formula>NOT(ISERROR(SEARCH(("Youth"),(D213))))</formula>
    </cfRule>
  </conditionalFormatting>
  <conditionalFormatting sqref="J213:J214 L798">
    <cfRule type="containsBlanks" dxfId="8" priority="226">
      <formula>LEN(TRIM(J213))=0</formula>
    </cfRule>
  </conditionalFormatting>
  <conditionalFormatting sqref="J213:J214 L798">
    <cfRule type="containsBlanks" dxfId="10" priority="227">
      <formula>LEN(TRIM(J213))=0</formula>
    </cfRule>
  </conditionalFormatting>
  <conditionalFormatting sqref="E213:E214 E797">
    <cfRule type="containsText" dxfId="1" priority="228" operator="containsText" text="Lapsed">
      <formula>NOT(ISERROR(SEARCH(("Lapsed"),(E213))))</formula>
    </cfRule>
  </conditionalFormatting>
  <conditionalFormatting sqref="E213:E214 E797">
    <cfRule type="containsText" dxfId="2" priority="229" operator="containsText" text="Active">
      <formula>NOT(ISERROR(SEARCH(("Active"),(E213))))</formula>
    </cfRule>
  </conditionalFormatting>
  <conditionalFormatting sqref="D213:D214 D797">
    <cfRule type="containsText" dxfId="3" priority="230" operator="containsText" text="Youth">
      <formula>NOT(ISERROR(SEARCH(("Youth"),(D213))))</formula>
    </cfRule>
  </conditionalFormatting>
  <conditionalFormatting sqref="J213:J214 L797">
    <cfRule type="containsBlanks" dxfId="8" priority="231">
      <formula>LEN(TRIM(J213))=0</formula>
    </cfRule>
  </conditionalFormatting>
  <conditionalFormatting sqref="J213:J214 L797">
    <cfRule type="containsBlanks" dxfId="10" priority="232">
      <formula>LEN(TRIM(J213))=0</formula>
    </cfRule>
  </conditionalFormatting>
  <conditionalFormatting sqref="E213:E214 E796">
    <cfRule type="containsText" dxfId="1" priority="233" operator="containsText" text="Lapsed">
      <formula>NOT(ISERROR(SEARCH(("Lapsed"),(E213))))</formula>
    </cfRule>
  </conditionalFormatting>
  <conditionalFormatting sqref="E213:E214 E796">
    <cfRule type="containsText" dxfId="2" priority="234" operator="containsText" text="Active">
      <formula>NOT(ISERROR(SEARCH(("Active"),(E213))))</formula>
    </cfRule>
  </conditionalFormatting>
  <conditionalFormatting sqref="D213:D214 D796">
    <cfRule type="containsText" dxfId="3" priority="235" operator="containsText" text="Youth">
      <formula>NOT(ISERROR(SEARCH(("Youth"),(D213))))</formula>
    </cfRule>
  </conditionalFormatting>
  <conditionalFormatting sqref="J213:J214 L796">
    <cfRule type="containsBlanks" dxfId="8" priority="236">
      <formula>LEN(TRIM(J213))=0</formula>
    </cfRule>
  </conditionalFormatting>
  <conditionalFormatting sqref="J213:J214 L796">
    <cfRule type="containsBlanks" dxfId="10" priority="237">
      <formula>LEN(TRIM(J213))=0</formula>
    </cfRule>
  </conditionalFormatting>
  <conditionalFormatting sqref="E213:E214 E795">
    <cfRule type="containsText" dxfId="1" priority="238" operator="containsText" text="Lapsed">
      <formula>NOT(ISERROR(SEARCH(("Lapsed"),(E213))))</formula>
    </cfRule>
  </conditionalFormatting>
  <conditionalFormatting sqref="E213:E214 E795">
    <cfRule type="containsText" dxfId="2" priority="239" operator="containsText" text="Active">
      <formula>NOT(ISERROR(SEARCH(("Active"),(E213))))</formula>
    </cfRule>
  </conditionalFormatting>
  <conditionalFormatting sqref="D213:D214 D795">
    <cfRule type="containsText" dxfId="3" priority="240" operator="containsText" text="Youth">
      <formula>NOT(ISERROR(SEARCH(("Youth"),(D213))))</formula>
    </cfRule>
  </conditionalFormatting>
  <conditionalFormatting sqref="J213:J214 L795">
    <cfRule type="containsBlanks" dxfId="8" priority="241">
      <formula>LEN(TRIM(J213))=0</formula>
    </cfRule>
  </conditionalFormatting>
  <conditionalFormatting sqref="J213:J214 L795">
    <cfRule type="containsBlanks" dxfId="10" priority="242">
      <formula>LEN(TRIM(J213))=0</formula>
    </cfRule>
  </conditionalFormatting>
  <conditionalFormatting sqref="E213:E214 E793:E794">
    <cfRule type="containsText" dxfId="1" priority="243" operator="containsText" text="Lapsed">
      <formula>NOT(ISERROR(SEARCH(("Lapsed"),(E213))))</formula>
    </cfRule>
  </conditionalFormatting>
  <conditionalFormatting sqref="E213:E214 E793:E794">
    <cfRule type="containsText" dxfId="2" priority="244" operator="containsText" text="Active">
      <formula>NOT(ISERROR(SEARCH(("Active"),(E213))))</formula>
    </cfRule>
  </conditionalFormatting>
  <conditionalFormatting sqref="D213:D214 D793:D794">
    <cfRule type="containsText" dxfId="3" priority="245" operator="containsText" text="Youth">
      <formula>NOT(ISERROR(SEARCH(("Youth"),(D213))))</formula>
    </cfRule>
  </conditionalFormatting>
  <conditionalFormatting sqref="J213:J214 L793:L794">
    <cfRule type="containsBlanks" dxfId="8" priority="246">
      <formula>LEN(TRIM(J213))=0</formula>
    </cfRule>
  </conditionalFormatting>
  <conditionalFormatting sqref="J213:J214 L793:L794">
    <cfRule type="containsBlanks" dxfId="10" priority="247">
      <formula>LEN(TRIM(J213))=0</formula>
    </cfRule>
  </conditionalFormatting>
  <conditionalFormatting sqref="E213:E214 E792">
    <cfRule type="containsText" dxfId="1" priority="248" operator="containsText" text="Lapsed">
      <formula>NOT(ISERROR(SEARCH(("Lapsed"),(E213))))</formula>
    </cfRule>
  </conditionalFormatting>
  <conditionalFormatting sqref="E213:E214 E792">
    <cfRule type="containsText" dxfId="2" priority="249" operator="containsText" text="Active">
      <formula>NOT(ISERROR(SEARCH(("Active"),(E213))))</formula>
    </cfRule>
  </conditionalFormatting>
  <conditionalFormatting sqref="D213:D214 D792">
    <cfRule type="containsText" dxfId="3" priority="250" operator="containsText" text="Youth">
      <formula>NOT(ISERROR(SEARCH(("Youth"),(D213))))</formula>
    </cfRule>
  </conditionalFormatting>
  <conditionalFormatting sqref="J213:J214 L792">
    <cfRule type="containsBlanks" dxfId="8" priority="251">
      <formula>LEN(TRIM(J213))=0</formula>
    </cfRule>
  </conditionalFormatting>
  <conditionalFormatting sqref="J213:J214 L792">
    <cfRule type="containsBlanks" dxfId="10" priority="252">
      <formula>LEN(TRIM(J213))=0</formula>
    </cfRule>
  </conditionalFormatting>
  <conditionalFormatting sqref="E213:E214 E791">
    <cfRule type="containsText" dxfId="1" priority="253" operator="containsText" text="Lapsed">
      <formula>NOT(ISERROR(SEARCH(("Lapsed"),(E213))))</formula>
    </cfRule>
  </conditionalFormatting>
  <conditionalFormatting sqref="E213:E214 E791">
    <cfRule type="containsText" dxfId="2" priority="254" operator="containsText" text="Active">
      <formula>NOT(ISERROR(SEARCH(("Active"),(E213))))</formula>
    </cfRule>
  </conditionalFormatting>
  <conditionalFormatting sqref="D213:D214 D791">
    <cfRule type="containsText" dxfId="3" priority="255" operator="containsText" text="Youth">
      <formula>NOT(ISERROR(SEARCH(("Youth"),(D213))))</formula>
    </cfRule>
  </conditionalFormatting>
  <conditionalFormatting sqref="J213:J214 L791">
    <cfRule type="containsBlanks" dxfId="8" priority="256">
      <formula>LEN(TRIM(J213))=0</formula>
    </cfRule>
  </conditionalFormatting>
  <conditionalFormatting sqref="J213:J214 L791">
    <cfRule type="containsBlanks" dxfId="10" priority="257">
      <formula>LEN(TRIM(J213))=0</formula>
    </cfRule>
  </conditionalFormatting>
  <conditionalFormatting sqref="E213:E214 E790">
    <cfRule type="containsText" dxfId="1" priority="258" operator="containsText" text="Lapsed">
      <formula>NOT(ISERROR(SEARCH(("Lapsed"),(E213))))</formula>
    </cfRule>
  </conditionalFormatting>
  <conditionalFormatting sqref="E213:E214 E790">
    <cfRule type="containsText" dxfId="2" priority="259" operator="containsText" text="Active">
      <formula>NOT(ISERROR(SEARCH(("Active"),(E213))))</formula>
    </cfRule>
  </conditionalFormatting>
  <conditionalFormatting sqref="D213:D214 D790">
    <cfRule type="containsText" dxfId="3" priority="260" operator="containsText" text="Youth">
      <formula>NOT(ISERROR(SEARCH(("Youth"),(D213))))</formula>
    </cfRule>
  </conditionalFormatting>
  <conditionalFormatting sqref="J213:J214 L790">
    <cfRule type="containsBlanks" dxfId="8" priority="261">
      <formula>LEN(TRIM(J213))=0</formula>
    </cfRule>
  </conditionalFormatting>
  <conditionalFormatting sqref="J213:J214 L790">
    <cfRule type="containsBlanks" dxfId="10" priority="262">
      <formula>LEN(TRIM(J213))=0</formula>
    </cfRule>
  </conditionalFormatting>
  <conditionalFormatting sqref="E213:E214 E789">
    <cfRule type="containsText" dxfId="1" priority="263" operator="containsText" text="Lapsed">
      <formula>NOT(ISERROR(SEARCH(("Lapsed"),(E213))))</formula>
    </cfRule>
  </conditionalFormatting>
  <conditionalFormatting sqref="E213:E214 E789">
    <cfRule type="containsText" dxfId="2" priority="264" operator="containsText" text="Active">
      <formula>NOT(ISERROR(SEARCH(("Active"),(E213))))</formula>
    </cfRule>
  </conditionalFormatting>
  <conditionalFormatting sqref="D213:D214 D789">
    <cfRule type="containsText" dxfId="3" priority="265" operator="containsText" text="Youth">
      <formula>NOT(ISERROR(SEARCH(("Youth"),(D213))))</formula>
    </cfRule>
  </conditionalFormatting>
  <conditionalFormatting sqref="J213:J214 L789">
    <cfRule type="containsBlanks" dxfId="8" priority="266">
      <formula>LEN(TRIM(J213))=0</formula>
    </cfRule>
  </conditionalFormatting>
  <conditionalFormatting sqref="J213:J214 L789">
    <cfRule type="containsBlanks" dxfId="10" priority="267">
      <formula>LEN(TRIM(J213))=0</formula>
    </cfRule>
  </conditionalFormatting>
  <conditionalFormatting sqref="E213:E214 E788">
    <cfRule type="containsText" dxfId="1" priority="268" operator="containsText" text="Lapsed">
      <formula>NOT(ISERROR(SEARCH(("Lapsed"),(E213))))</formula>
    </cfRule>
  </conditionalFormatting>
  <conditionalFormatting sqref="E213:E214 E788">
    <cfRule type="containsText" dxfId="2" priority="269" operator="containsText" text="Active">
      <formula>NOT(ISERROR(SEARCH(("Active"),(E213))))</formula>
    </cfRule>
  </conditionalFormatting>
  <conditionalFormatting sqref="D213:D214 D788">
    <cfRule type="containsText" dxfId="3" priority="270" operator="containsText" text="Youth">
      <formula>NOT(ISERROR(SEARCH(("Youth"),(D213))))</formula>
    </cfRule>
  </conditionalFormatting>
  <conditionalFormatting sqref="J213:J214 L788">
    <cfRule type="containsBlanks" dxfId="8" priority="271">
      <formula>LEN(TRIM(J213))=0</formula>
    </cfRule>
  </conditionalFormatting>
  <conditionalFormatting sqref="J213:J214 L788">
    <cfRule type="containsBlanks" dxfId="10" priority="272">
      <formula>LEN(TRIM(J213))=0</formula>
    </cfRule>
  </conditionalFormatting>
  <conditionalFormatting sqref="E213:E214 E787">
    <cfRule type="containsText" dxfId="1" priority="273" operator="containsText" text="Lapsed">
      <formula>NOT(ISERROR(SEARCH(("Lapsed"),(E213))))</formula>
    </cfRule>
  </conditionalFormatting>
  <conditionalFormatting sqref="E213:E214 E787">
    <cfRule type="containsText" dxfId="2" priority="274" operator="containsText" text="Active">
      <formula>NOT(ISERROR(SEARCH(("Active"),(E213))))</formula>
    </cfRule>
  </conditionalFormatting>
  <conditionalFormatting sqref="D213:D214 D787">
    <cfRule type="containsText" dxfId="3" priority="275" operator="containsText" text="Youth">
      <formula>NOT(ISERROR(SEARCH(("Youth"),(D213))))</formula>
    </cfRule>
  </conditionalFormatting>
  <conditionalFormatting sqref="J213:J214 L787">
    <cfRule type="containsBlanks" dxfId="8" priority="276">
      <formula>LEN(TRIM(J213))=0</formula>
    </cfRule>
  </conditionalFormatting>
  <conditionalFormatting sqref="J213:J214 L787">
    <cfRule type="containsBlanks" dxfId="10" priority="277">
      <formula>LEN(TRIM(J213))=0</formula>
    </cfRule>
  </conditionalFormatting>
  <conditionalFormatting sqref="E213:E214 E786">
    <cfRule type="containsText" dxfId="1" priority="278" operator="containsText" text="Lapsed">
      <formula>NOT(ISERROR(SEARCH(("Lapsed"),(E213))))</formula>
    </cfRule>
  </conditionalFormatting>
  <conditionalFormatting sqref="E213:E214 E786">
    <cfRule type="containsText" dxfId="2" priority="279" operator="containsText" text="Active">
      <formula>NOT(ISERROR(SEARCH(("Active"),(E213))))</formula>
    </cfRule>
  </conditionalFormatting>
  <conditionalFormatting sqref="D213:D214 D786">
    <cfRule type="containsText" dxfId="3" priority="280" operator="containsText" text="Youth">
      <formula>NOT(ISERROR(SEARCH(("Youth"),(D213))))</formula>
    </cfRule>
  </conditionalFormatting>
  <conditionalFormatting sqref="J213:J214 L786">
    <cfRule type="containsBlanks" dxfId="8" priority="281">
      <formula>LEN(TRIM(J213))=0</formula>
    </cfRule>
  </conditionalFormatting>
  <conditionalFormatting sqref="J213:J214 L786">
    <cfRule type="containsBlanks" dxfId="10" priority="282">
      <formula>LEN(TRIM(J213))=0</formula>
    </cfRule>
  </conditionalFormatting>
  <conditionalFormatting sqref="E213:E214 E783:E785">
    <cfRule type="containsText" dxfId="1" priority="283" operator="containsText" text="Lapsed">
      <formula>NOT(ISERROR(SEARCH(("Lapsed"),(E213))))</formula>
    </cfRule>
  </conditionalFormatting>
  <conditionalFormatting sqref="E213:E214 E783:E785">
    <cfRule type="containsText" dxfId="2" priority="284" operator="containsText" text="Active">
      <formula>NOT(ISERROR(SEARCH(("Active"),(E213))))</formula>
    </cfRule>
  </conditionalFormatting>
  <conditionalFormatting sqref="D213:D214 D783:D785">
    <cfRule type="containsText" dxfId="3" priority="285" operator="containsText" text="Youth">
      <formula>NOT(ISERROR(SEARCH(("Youth"),(D213))))</formula>
    </cfRule>
  </conditionalFormatting>
  <conditionalFormatting sqref="J213:J214 L783:L785">
    <cfRule type="containsBlanks" dxfId="8" priority="286">
      <formula>LEN(TRIM(J213))=0</formula>
    </cfRule>
  </conditionalFormatting>
  <conditionalFormatting sqref="J213:J214 L783:L785">
    <cfRule type="containsBlanks" dxfId="10" priority="287">
      <formula>LEN(TRIM(J213))=0</formula>
    </cfRule>
  </conditionalFormatting>
  <conditionalFormatting sqref="E213:E214 E782">
    <cfRule type="containsText" dxfId="1" priority="288" operator="containsText" text="Lapsed">
      <formula>NOT(ISERROR(SEARCH(("Lapsed"),(E213))))</formula>
    </cfRule>
  </conditionalFormatting>
  <conditionalFormatting sqref="E213:E214 E782">
    <cfRule type="containsText" dxfId="2" priority="289" operator="containsText" text="Active">
      <formula>NOT(ISERROR(SEARCH(("Active"),(E213))))</formula>
    </cfRule>
  </conditionalFormatting>
  <conditionalFormatting sqref="D213:D214 D782">
    <cfRule type="containsText" dxfId="3" priority="290" operator="containsText" text="Youth">
      <formula>NOT(ISERROR(SEARCH(("Youth"),(D213))))</formula>
    </cfRule>
  </conditionalFormatting>
  <conditionalFormatting sqref="J213:J214 L782">
    <cfRule type="containsBlanks" dxfId="8" priority="291">
      <formula>LEN(TRIM(J213))=0</formula>
    </cfRule>
  </conditionalFormatting>
  <conditionalFormatting sqref="J213:J214 L782">
    <cfRule type="containsBlanks" dxfId="10" priority="292">
      <formula>LEN(TRIM(J213))=0</formula>
    </cfRule>
  </conditionalFormatting>
  <conditionalFormatting sqref="E213:E214 E781">
    <cfRule type="containsText" dxfId="1" priority="293" operator="containsText" text="Lapsed">
      <formula>NOT(ISERROR(SEARCH(("Lapsed"),(E213))))</formula>
    </cfRule>
  </conditionalFormatting>
  <conditionalFormatting sqref="E213:E214 E781">
    <cfRule type="containsText" dxfId="2" priority="294" operator="containsText" text="Active">
      <formula>NOT(ISERROR(SEARCH(("Active"),(E213))))</formula>
    </cfRule>
  </conditionalFormatting>
  <conditionalFormatting sqref="D213:D214 D781">
    <cfRule type="containsText" dxfId="3" priority="295" operator="containsText" text="Youth">
      <formula>NOT(ISERROR(SEARCH(("Youth"),(D213))))</formula>
    </cfRule>
  </conditionalFormatting>
  <conditionalFormatting sqref="J213:J214 L781">
    <cfRule type="containsBlanks" dxfId="8" priority="296">
      <formula>LEN(TRIM(J213))=0</formula>
    </cfRule>
  </conditionalFormatting>
  <conditionalFormatting sqref="J213:J214 L781">
    <cfRule type="containsBlanks" dxfId="10" priority="297">
      <formula>LEN(TRIM(J213))=0</formula>
    </cfRule>
  </conditionalFormatting>
  <conditionalFormatting sqref="E213:E214 E780">
    <cfRule type="containsText" dxfId="1" priority="298" operator="containsText" text="Lapsed">
      <formula>NOT(ISERROR(SEARCH(("Lapsed"),(E213))))</formula>
    </cfRule>
  </conditionalFormatting>
  <conditionalFormatting sqref="E213:E214 E780">
    <cfRule type="containsText" dxfId="2" priority="299" operator="containsText" text="Active">
      <formula>NOT(ISERROR(SEARCH(("Active"),(E213))))</formula>
    </cfRule>
  </conditionalFormatting>
  <conditionalFormatting sqref="D213:D214 D780">
    <cfRule type="containsText" dxfId="3" priority="300" operator="containsText" text="Youth">
      <formula>NOT(ISERROR(SEARCH(("Youth"),(D213))))</formula>
    </cfRule>
  </conditionalFormatting>
  <conditionalFormatting sqref="J213:J214 L780">
    <cfRule type="containsBlanks" dxfId="8" priority="301">
      <formula>LEN(TRIM(J213))=0</formula>
    </cfRule>
  </conditionalFormatting>
  <conditionalFormatting sqref="J213:J214 L780">
    <cfRule type="containsBlanks" dxfId="10" priority="302">
      <formula>LEN(TRIM(J213))=0</formula>
    </cfRule>
  </conditionalFormatting>
  <conditionalFormatting sqref="E213:E214 E779">
    <cfRule type="containsText" dxfId="1" priority="303" operator="containsText" text="Lapsed">
      <formula>NOT(ISERROR(SEARCH(("Lapsed"),(E213))))</formula>
    </cfRule>
  </conditionalFormatting>
  <conditionalFormatting sqref="E213:E214 E779">
    <cfRule type="containsText" dxfId="2" priority="304" operator="containsText" text="Active">
      <formula>NOT(ISERROR(SEARCH(("Active"),(E213))))</formula>
    </cfRule>
  </conditionalFormatting>
  <conditionalFormatting sqref="D213:D214 D779">
    <cfRule type="containsText" dxfId="3" priority="305" operator="containsText" text="Youth">
      <formula>NOT(ISERROR(SEARCH(("Youth"),(D213))))</formula>
    </cfRule>
  </conditionalFormatting>
  <conditionalFormatting sqref="J213:J214 L779">
    <cfRule type="containsBlanks" dxfId="8" priority="306">
      <formula>LEN(TRIM(J213))=0</formula>
    </cfRule>
  </conditionalFormatting>
  <conditionalFormatting sqref="J213:J214 L779">
    <cfRule type="containsBlanks" dxfId="10" priority="307">
      <formula>LEN(TRIM(J213))=0</formula>
    </cfRule>
  </conditionalFormatting>
  <conditionalFormatting sqref="E213:E214 E777:E778">
    <cfRule type="containsText" dxfId="1" priority="308" operator="containsText" text="Lapsed">
      <formula>NOT(ISERROR(SEARCH(("Lapsed"),(E213))))</formula>
    </cfRule>
  </conditionalFormatting>
  <conditionalFormatting sqref="E213:E214 E777:E778">
    <cfRule type="containsText" dxfId="2" priority="309" operator="containsText" text="Active">
      <formula>NOT(ISERROR(SEARCH(("Active"),(E213))))</formula>
    </cfRule>
  </conditionalFormatting>
  <conditionalFormatting sqref="D213:D214 D777:D778">
    <cfRule type="containsText" dxfId="3" priority="310" operator="containsText" text="Youth">
      <formula>NOT(ISERROR(SEARCH(("Youth"),(D213))))</formula>
    </cfRule>
  </conditionalFormatting>
  <conditionalFormatting sqref="J213:J214 L777:L778">
    <cfRule type="containsBlanks" dxfId="8" priority="311">
      <formula>LEN(TRIM(J213))=0</formula>
    </cfRule>
  </conditionalFormatting>
  <conditionalFormatting sqref="J213:J214 L777:L778">
    <cfRule type="containsBlanks" dxfId="10" priority="312">
      <formula>LEN(TRIM(J213))=0</formula>
    </cfRule>
  </conditionalFormatting>
  <conditionalFormatting sqref="E213:E214 E776">
    <cfRule type="containsText" dxfId="1" priority="313" operator="containsText" text="Lapsed">
      <formula>NOT(ISERROR(SEARCH(("Lapsed"),(E213))))</formula>
    </cfRule>
  </conditionalFormatting>
  <conditionalFormatting sqref="E213:E214 E776">
    <cfRule type="containsText" dxfId="2" priority="314" operator="containsText" text="Active">
      <formula>NOT(ISERROR(SEARCH(("Active"),(E213))))</formula>
    </cfRule>
  </conditionalFormatting>
  <conditionalFormatting sqref="D213:D214 D776">
    <cfRule type="containsText" dxfId="3" priority="315" operator="containsText" text="Youth">
      <formula>NOT(ISERROR(SEARCH(("Youth"),(D213))))</formula>
    </cfRule>
  </conditionalFormatting>
  <conditionalFormatting sqref="J213:J214 L776">
    <cfRule type="containsBlanks" dxfId="8" priority="316">
      <formula>LEN(TRIM(J213))=0</formula>
    </cfRule>
  </conditionalFormatting>
  <conditionalFormatting sqref="J213:J214 L776">
    <cfRule type="containsBlanks" dxfId="10" priority="317">
      <formula>LEN(TRIM(J213))=0</formula>
    </cfRule>
  </conditionalFormatting>
  <conditionalFormatting sqref="E213:E214 E775">
    <cfRule type="containsText" dxfId="1" priority="318" operator="containsText" text="Lapsed">
      <formula>NOT(ISERROR(SEARCH(("Lapsed"),(E213))))</formula>
    </cfRule>
  </conditionalFormatting>
  <conditionalFormatting sqref="E213:E214 E775">
    <cfRule type="containsText" dxfId="2" priority="319" operator="containsText" text="Active">
      <formula>NOT(ISERROR(SEARCH(("Active"),(E213))))</formula>
    </cfRule>
  </conditionalFormatting>
  <conditionalFormatting sqref="D213:D214 D775">
    <cfRule type="containsText" dxfId="3" priority="320" operator="containsText" text="Youth">
      <formula>NOT(ISERROR(SEARCH(("Youth"),(D213))))</formula>
    </cfRule>
  </conditionalFormatting>
  <conditionalFormatting sqref="J213:J214 L775">
    <cfRule type="containsBlanks" dxfId="8" priority="321">
      <formula>LEN(TRIM(J213))=0</formula>
    </cfRule>
  </conditionalFormatting>
  <conditionalFormatting sqref="J213:J214 L775">
    <cfRule type="containsBlanks" dxfId="10" priority="322">
      <formula>LEN(TRIM(J213))=0</formula>
    </cfRule>
  </conditionalFormatting>
  <conditionalFormatting sqref="E213:E214 E774">
    <cfRule type="containsText" dxfId="1" priority="323" operator="containsText" text="Lapsed">
      <formula>NOT(ISERROR(SEARCH(("Lapsed"),(E213))))</formula>
    </cfRule>
  </conditionalFormatting>
  <conditionalFormatting sqref="E213:E214 E774">
    <cfRule type="containsText" dxfId="2" priority="324" operator="containsText" text="Active">
      <formula>NOT(ISERROR(SEARCH(("Active"),(E213))))</formula>
    </cfRule>
  </conditionalFormatting>
  <conditionalFormatting sqref="D213:D214 D774">
    <cfRule type="containsText" dxfId="3" priority="325" operator="containsText" text="Youth">
      <formula>NOT(ISERROR(SEARCH(("Youth"),(D213))))</formula>
    </cfRule>
  </conditionalFormatting>
  <conditionalFormatting sqref="J213:J214 L774">
    <cfRule type="containsBlanks" dxfId="8" priority="326">
      <formula>LEN(TRIM(J213))=0</formula>
    </cfRule>
  </conditionalFormatting>
  <conditionalFormatting sqref="J213:J214 L774">
    <cfRule type="containsBlanks" dxfId="10" priority="327">
      <formula>LEN(TRIM(J213))=0</formula>
    </cfRule>
  </conditionalFormatting>
  <conditionalFormatting sqref="E213:E214 E773">
    <cfRule type="containsText" dxfId="1" priority="328" operator="containsText" text="Lapsed">
      <formula>NOT(ISERROR(SEARCH(("Lapsed"),(E213))))</formula>
    </cfRule>
  </conditionalFormatting>
  <conditionalFormatting sqref="E213:E214 E773">
    <cfRule type="containsText" dxfId="2" priority="329" operator="containsText" text="Active">
      <formula>NOT(ISERROR(SEARCH(("Active"),(E213))))</formula>
    </cfRule>
  </conditionalFormatting>
  <conditionalFormatting sqref="D213:D214 D773">
    <cfRule type="containsText" dxfId="3" priority="330" operator="containsText" text="Youth">
      <formula>NOT(ISERROR(SEARCH(("Youth"),(D213))))</formula>
    </cfRule>
  </conditionalFormatting>
  <conditionalFormatting sqref="J213:J214 L773">
    <cfRule type="containsBlanks" dxfId="8" priority="331">
      <formula>LEN(TRIM(J213))=0</formula>
    </cfRule>
  </conditionalFormatting>
  <conditionalFormatting sqref="J213:J214 L773">
    <cfRule type="containsBlanks" dxfId="10" priority="332">
      <formula>LEN(TRIM(J213))=0</formula>
    </cfRule>
  </conditionalFormatting>
  <conditionalFormatting sqref="E213:E214 E772">
    <cfRule type="containsText" dxfId="1" priority="333" operator="containsText" text="Lapsed">
      <formula>NOT(ISERROR(SEARCH(("Lapsed"),(E213))))</formula>
    </cfRule>
  </conditionalFormatting>
  <conditionalFormatting sqref="E213:E214 E772">
    <cfRule type="containsText" dxfId="2" priority="334" operator="containsText" text="Active">
      <formula>NOT(ISERROR(SEARCH(("Active"),(E213))))</formula>
    </cfRule>
  </conditionalFormatting>
  <conditionalFormatting sqref="D213:D214 D772">
    <cfRule type="containsText" dxfId="3" priority="335" operator="containsText" text="Youth">
      <formula>NOT(ISERROR(SEARCH(("Youth"),(D213))))</formula>
    </cfRule>
  </conditionalFormatting>
  <conditionalFormatting sqref="J213:J214 L772">
    <cfRule type="containsBlanks" dxfId="8" priority="336">
      <formula>LEN(TRIM(J213))=0</formula>
    </cfRule>
  </conditionalFormatting>
  <conditionalFormatting sqref="J213:J214 L772">
    <cfRule type="containsBlanks" dxfId="10" priority="337">
      <formula>LEN(TRIM(J213))=0</formula>
    </cfRule>
  </conditionalFormatting>
  <conditionalFormatting sqref="E213:E214 E769:E771">
    <cfRule type="containsText" dxfId="1" priority="338" operator="containsText" text="Lapsed">
      <formula>NOT(ISERROR(SEARCH(("Lapsed"),(E213))))</formula>
    </cfRule>
  </conditionalFormatting>
  <conditionalFormatting sqref="E213:E214 E769:E771">
    <cfRule type="containsText" dxfId="2" priority="339" operator="containsText" text="Active">
      <formula>NOT(ISERROR(SEARCH(("Active"),(E213))))</formula>
    </cfRule>
  </conditionalFormatting>
  <conditionalFormatting sqref="D213:D214 D769:D771">
    <cfRule type="containsText" dxfId="3" priority="340" operator="containsText" text="Youth">
      <formula>NOT(ISERROR(SEARCH(("Youth"),(D213))))</formula>
    </cfRule>
  </conditionalFormatting>
  <conditionalFormatting sqref="J213:J214 L769:L771">
    <cfRule type="containsBlanks" dxfId="8" priority="341">
      <formula>LEN(TRIM(J213))=0</formula>
    </cfRule>
  </conditionalFormatting>
  <conditionalFormatting sqref="J213:J214 L769:L771">
    <cfRule type="containsBlanks" dxfId="10" priority="342">
      <formula>LEN(TRIM(J213))=0</formula>
    </cfRule>
  </conditionalFormatting>
  <conditionalFormatting sqref="E213:E214 E765:E768">
    <cfRule type="containsText" dxfId="1" priority="343" operator="containsText" text="Lapsed">
      <formula>NOT(ISERROR(SEARCH(("Lapsed"),(E213))))</formula>
    </cfRule>
  </conditionalFormatting>
  <conditionalFormatting sqref="E213:E214 E765:E768">
    <cfRule type="containsText" dxfId="2" priority="344" operator="containsText" text="Active">
      <formula>NOT(ISERROR(SEARCH(("Active"),(E213))))</formula>
    </cfRule>
  </conditionalFormatting>
  <conditionalFormatting sqref="D213:D214 D765:D768">
    <cfRule type="containsText" dxfId="3" priority="345" operator="containsText" text="Youth">
      <formula>NOT(ISERROR(SEARCH(("Youth"),(D213))))</formula>
    </cfRule>
  </conditionalFormatting>
  <conditionalFormatting sqref="J213:J214 L765:L768">
    <cfRule type="containsBlanks" dxfId="8" priority="346">
      <formula>LEN(TRIM(J213))=0</formula>
    </cfRule>
  </conditionalFormatting>
  <conditionalFormatting sqref="J213:J214 L765:L768">
    <cfRule type="containsBlanks" dxfId="10" priority="347">
      <formula>LEN(TRIM(J213))=0</formula>
    </cfRule>
  </conditionalFormatting>
  <conditionalFormatting sqref="E213:E214 E763:E764">
    <cfRule type="containsText" dxfId="1" priority="348" operator="containsText" text="Lapsed">
      <formula>NOT(ISERROR(SEARCH(("Lapsed"),(E213))))</formula>
    </cfRule>
  </conditionalFormatting>
  <conditionalFormatting sqref="E213:E214 E763:E764">
    <cfRule type="containsText" dxfId="2" priority="349" operator="containsText" text="Active">
      <formula>NOT(ISERROR(SEARCH(("Active"),(E213))))</formula>
    </cfRule>
  </conditionalFormatting>
  <conditionalFormatting sqref="D213:D214 D763:D764">
    <cfRule type="containsText" dxfId="3" priority="350" operator="containsText" text="Youth">
      <formula>NOT(ISERROR(SEARCH(("Youth"),(D213))))</formula>
    </cfRule>
  </conditionalFormatting>
  <conditionalFormatting sqref="J213:J214 L763:L764">
    <cfRule type="containsBlanks" dxfId="8" priority="351">
      <formula>LEN(TRIM(J213))=0</formula>
    </cfRule>
  </conditionalFormatting>
  <conditionalFormatting sqref="J213:J214 L763:L764">
    <cfRule type="containsBlanks" dxfId="10" priority="352">
      <formula>LEN(TRIM(J213))=0</formula>
    </cfRule>
  </conditionalFormatting>
  <conditionalFormatting sqref="E213:E214 E762">
    <cfRule type="containsText" dxfId="1" priority="353" operator="containsText" text="Lapsed">
      <formula>NOT(ISERROR(SEARCH(("Lapsed"),(E213))))</formula>
    </cfRule>
  </conditionalFormatting>
  <conditionalFormatting sqref="E213:E214 E762">
    <cfRule type="containsText" dxfId="2" priority="354" operator="containsText" text="Active">
      <formula>NOT(ISERROR(SEARCH(("Active"),(E213))))</formula>
    </cfRule>
  </conditionalFormatting>
  <conditionalFormatting sqref="D213:D214 D762">
    <cfRule type="containsText" dxfId="3" priority="355" operator="containsText" text="Youth">
      <formula>NOT(ISERROR(SEARCH(("Youth"),(D213))))</formula>
    </cfRule>
  </conditionalFormatting>
  <conditionalFormatting sqref="J213:J214 L762">
    <cfRule type="containsBlanks" dxfId="8" priority="356">
      <formula>LEN(TRIM(J213))=0</formula>
    </cfRule>
  </conditionalFormatting>
  <conditionalFormatting sqref="J213:J214 L762">
    <cfRule type="containsBlanks" dxfId="10" priority="357">
      <formula>LEN(TRIM(J213))=0</formula>
    </cfRule>
  </conditionalFormatting>
  <conditionalFormatting sqref="E213:E214 E761">
    <cfRule type="containsText" dxfId="1" priority="358" operator="containsText" text="Lapsed">
      <formula>NOT(ISERROR(SEARCH(("Lapsed"),(E213))))</formula>
    </cfRule>
  </conditionalFormatting>
  <conditionalFormatting sqref="E213:E214 E761">
    <cfRule type="containsText" dxfId="2" priority="359" operator="containsText" text="Active">
      <formula>NOT(ISERROR(SEARCH(("Active"),(E213))))</formula>
    </cfRule>
  </conditionalFormatting>
  <conditionalFormatting sqref="D213:D214 D761">
    <cfRule type="containsText" dxfId="3" priority="360" operator="containsText" text="Youth">
      <formula>NOT(ISERROR(SEARCH(("Youth"),(D213))))</formula>
    </cfRule>
  </conditionalFormatting>
  <conditionalFormatting sqref="J213:J214 L761">
    <cfRule type="containsBlanks" dxfId="8" priority="361">
      <formula>LEN(TRIM(J213))=0</formula>
    </cfRule>
  </conditionalFormatting>
  <conditionalFormatting sqref="J213:J214 L761">
    <cfRule type="containsBlanks" dxfId="10" priority="362">
      <formula>LEN(TRIM(J213))=0</formula>
    </cfRule>
  </conditionalFormatting>
  <conditionalFormatting sqref="E213:E214 E760">
    <cfRule type="containsText" dxfId="1" priority="363" operator="containsText" text="Lapsed">
      <formula>NOT(ISERROR(SEARCH(("Lapsed"),(E213))))</formula>
    </cfRule>
  </conditionalFormatting>
  <conditionalFormatting sqref="E213:E214 E760">
    <cfRule type="containsText" dxfId="2" priority="364" operator="containsText" text="Active">
      <formula>NOT(ISERROR(SEARCH(("Active"),(E213))))</formula>
    </cfRule>
  </conditionalFormatting>
  <conditionalFormatting sqref="D213:D214 D760">
    <cfRule type="containsText" dxfId="3" priority="365" operator="containsText" text="Youth">
      <formula>NOT(ISERROR(SEARCH(("Youth"),(D213))))</formula>
    </cfRule>
  </conditionalFormatting>
  <conditionalFormatting sqref="J213:J214 L760">
    <cfRule type="containsBlanks" dxfId="8" priority="366">
      <formula>LEN(TRIM(J213))=0</formula>
    </cfRule>
  </conditionalFormatting>
  <conditionalFormatting sqref="J213:J214 L760">
    <cfRule type="containsBlanks" dxfId="10" priority="367">
      <formula>LEN(TRIM(J213))=0</formula>
    </cfRule>
  </conditionalFormatting>
  <conditionalFormatting sqref="E213:E214 E759">
    <cfRule type="containsText" dxfId="1" priority="368" operator="containsText" text="Lapsed">
      <formula>NOT(ISERROR(SEARCH(("Lapsed"),(E213))))</formula>
    </cfRule>
  </conditionalFormatting>
  <conditionalFormatting sqref="E213:E214 E759">
    <cfRule type="containsText" dxfId="2" priority="369" operator="containsText" text="Active">
      <formula>NOT(ISERROR(SEARCH(("Active"),(E213))))</formula>
    </cfRule>
  </conditionalFormatting>
  <conditionalFormatting sqref="D213:D214 D759">
    <cfRule type="containsText" dxfId="3" priority="370" operator="containsText" text="Youth">
      <formula>NOT(ISERROR(SEARCH(("Youth"),(D213))))</formula>
    </cfRule>
  </conditionalFormatting>
  <conditionalFormatting sqref="J213:J214 L759">
    <cfRule type="containsBlanks" dxfId="8" priority="371">
      <formula>LEN(TRIM(J213))=0</formula>
    </cfRule>
  </conditionalFormatting>
  <conditionalFormatting sqref="J213:J214 L759">
    <cfRule type="containsBlanks" dxfId="10" priority="372">
      <formula>LEN(TRIM(J213))=0</formula>
    </cfRule>
  </conditionalFormatting>
  <conditionalFormatting sqref="E213:E214 E758">
    <cfRule type="containsText" dxfId="1" priority="373" operator="containsText" text="Lapsed">
      <formula>NOT(ISERROR(SEARCH(("Lapsed"),(E213))))</formula>
    </cfRule>
  </conditionalFormatting>
  <conditionalFormatting sqref="E213:E214 E758">
    <cfRule type="containsText" dxfId="2" priority="374" operator="containsText" text="Active">
      <formula>NOT(ISERROR(SEARCH(("Active"),(E213))))</formula>
    </cfRule>
  </conditionalFormatting>
  <conditionalFormatting sqref="D213:D214 D758">
    <cfRule type="containsText" dxfId="3" priority="375" operator="containsText" text="Youth">
      <formula>NOT(ISERROR(SEARCH(("Youth"),(D213))))</formula>
    </cfRule>
  </conditionalFormatting>
  <conditionalFormatting sqref="J213:J214 L758">
    <cfRule type="containsBlanks" dxfId="8" priority="376">
      <formula>LEN(TRIM(J213))=0</formula>
    </cfRule>
  </conditionalFormatting>
  <conditionalFormatting sqref="J213:J214 L758">
    <cfRule type="containsBlanks" dxfId="10" priority="377">
      <formula>LEN(TRIM(J213))=0</formula>
    </cfRule>
  </conditionalFormatting>
  <conditionalFormatting sqref="E213:E214 E757">
    <cfRule type="containsText" dxfId="1" priority="378" operator="containsText" text="Lapsed">
      <formula>NOT(ISERROR(SEARCH(("Lapsed"),(E213))))</formula>
    </cfRule>
  </conditionalFormatting>
  <conditionalFormatting sqref="E213:E214 E757">
    <cfRule type="containsText" dxfId="2" priority="379" operator="containsText" text="Active">
      <formula>NOT(ISERROR(SEARCH(("Active"),(E213))))</formula>
    </cfRule>
  </conditionalFormatting>
  <conditionalFormatting sqref="D213:D214 D757">
    <cfRule type="containsText" dxfId="3" priority="380" operator="containsText" text="Youth">
      <formula>NOT(ISERROR(SEARCH(("Youth"),(D213))))</formula>
    </cfRule>
  </conditionalFormatting>
  <conditionalFormatting sqref="J213:J214 L757">
    <cfRule type="containsBlanks" dxfId="8" priority="381">
      <formula>LEN(TRIM(J213))=0</formula>
    </cfRule>
  </conditionalFormatting>
  <conditionalFormatting sqref="J213:J214 L757">
    <cfRule type="containsBlanks" dxfId="10" priority="382">
      <formula>LEN(TRIM(J213))=0</formula>
    </cfRule>
  </conditionalFormatting>
  <conditionalFormatting sqref="E213:E214 E756">
    <cfRule type="containsText" dxfId="1" priority="383" operator="containsText" text="Lapsed">
      <formula>NOT(ISERROR(SEARCH(("Lapsed"),(E213))))</formula>
    </cfRule>
  </conditionalFormatting>
  <conditionalFormatting sqref="E213:E214 E756">
    <cfRule type="containsText" dxfId="2" priority="384" operator="containsText" text="Active">
      <formula>NOT(ISERROR(SEARCH(("Active"),(E213))))</formula>
    </cfRule>
  </conditionalFormatting>
  <conditionalFormatting sqref="D213:D214 D756">
    <cfRule type="containsText" dxfId="3" priority="385" operator="containsText" text="Youth">
      <formula>NOT(ISERROR(SEARCH(("Youth"),(D213))))</formula>
    </cfRule>
  </conditionalFormatting>
  <conditionalFormatting sqref="J213:J214 L756">
    <cfRule type="containsBlanks" dxfId="8" priority="386">
      <formula>LEN(TRIM(J213))=0</formula>
    </cfRule>
  </conditionalFormatting>
  <conditionalFormatting sqref="J213:J214 L756">
    <cfRule type="containsBlanks" dxfId="10" priority="387">
      <formula>LEN(TRIM(J213))=0</formula>
    </cfRule>
  </conditionalFormatting>
  <conditionalFormatting sqref="E213:E214 E754:E755">
    <cfRule type="containsText" dxfId="1" priority="388" operator="containsText" text="Lapsed">
      <formula>NOT(ISERROR(SEARCH(("Lapsed"),(E213))))</formula>
    </cfRule>
  </conditionalFormatting>
  <conditionalFormatting sqref="E213:E214 E754:E755">
    <cfRule type="containsText" dxfId="2" priority="389" operator="containsText" text="Active">
      <formula>NOT(ISERROR(SEARCH(("Active"),(E213))))</formula>
    </cfRule>
  </conditionalFormatting>
  <conditionalFormatting sqref="D213:D214 D754:D755">
    <cfRule type="containsText" dxfId="3" priority="390" operator="containsText" text="Youth">
      <formula>NOT(ISERROR(SEARCH(("Youth"),(D213))))</formula>
    </cfRule>
  </conditionalFormatting>
  <conditionalFormatting sqref="J213:J214 L754:L755">
    <cfRule type="containsBlanks" dxfId="8" priority="391">
      <formula>LEN(TRIM(J213))=0</formula>
    </cfRule>
  </conditionalFormatting>
  <conditionalFormatting sqref="J213:J214 L754:L755">
    <cfRule type="containsBlanks" dxfId="10" priority="392">
      <formula>LEN(TRIM(J213))=0</formula>
    </cfRule>
  </conditionalFormatting>
  <conditionalFormatting sqref="E213:E214 E753">
    <cfRule type="containsText" dxfId="1" priority="393" operator="containsText" text="Lapsed">
      <formula>NOT(ISERROR(SEARCH(("Lapsed"),(E213))))</formula>
    </cfRule>
  </conditionalFormatting>
  <conditionalFormatting sqref="E213:E214 E753">
    <cfRule type="containsText" dxfId="2" priority="394" operator="containsText" text="Active">
      <formula>NOT(ISERROR(SEARCH(("Active"),(E213))))</formula>
    </cfRule>
  </conditionalFormatting>
  <conditionalFormatting sqref="D213:D214 D753">
    <cfRule type="containsText" dxfId="3" priority="395" operator="containsText" text="Youth">
      <formula>NOT(ISERROR(SEARCH(("Youth"),(D213))))</formula>
    </cfRule>
  </conditionalFormatting>
  <conditionalFormatting sqref="J213:J214 L753">
    <cfRule type="containsBlanks" dxfId="8" priority="396">
      <formula>LEN(TRIM(J213))=0</formula>
    </cfRule>
  </conditionalFormatting>
  <conditionalFormatting sqref="J213:J214 L753">
    <cfRule type="containsBlanks" dxfId="10" priority="397">
      <formula>LEN(TRIM(J213))=0</formula>
    </cfRule>
  </conditionalFormatting>
  <conditionalFormatting sqref="E213:E214 E751:E752">
    <cfRule type="containsText" dxfId="1" priority="398" operator="containsText" text="Lapsed">
      <formula>NOT(ISERROR(SEARCH(("Lapsed"),(E213))))</formula>
    </cfRule>
  </conditionalFormatting>
  <conditionalFormatting sqref="E213:E214 E751:E752">
    <cfRule type="containsText" dxfId="2" priority="399" operator="containsText" text="Active">
      <formula>NOT(ISERROR(SEARCH(("Active"),(E213))))</formula>
    </cfRule>
  </conditionalFormatting>
  <conditionalFormatting sqref="D213:D214 D751:D752">
    <cfRule type="containsText" dxfId="3" priority="400" operator="containsText" text="Youth">
      <formula>NOT(ISERROR(SEARCH(("Youth"),(D213))))</formula>
    </cfRule>
  </conditionalFormatting>
  <conditionalFormatting sqref="J213:J214 L751:L752">
    <cfRule type="containsBlanks" dxfId="8" priority="401">
      <formula>LEN(TRIM(J213))=0</formula>
    </cfRule>
  </conditionalFormatting>
  <conditionalFormatting sqref="J213:J214 L751:L752">
    <cfRule type="containsBlanks" dxfId="10" priority="402">
      <formula>LEN(TRIM(J213))=0</formula>
    </cfRule>
  </conditionalFormatting>
  <conditionalFormatting sqref="E213:E214 E748:E750">
    <cfRule type="containsText" dxfId="1" priority="403" operator="containsText" text="Lapsed">
      <formula>NOT(ISERROR(SEARCH(("Lapsed"),(E213))))</formula>
    </cfRule>
  </conditionalFormatting>
  <conditionalFormatting sqref="E213:E214 E748:E750">
    <cfRule type="containsText" dxfId="2" priority="404" operator="containsText" text="Active">
      <formula>NOT(ISERROR(SEARCH(("Active"),(E213))))</formula>
    </cfRule>
  </conditionalFormatting>
  <conditionalFormatting sqref="D213:D214 D748:D750">
    <cfRule type="containsText" dxfId="3" priority="405" operator="containsText" text="Youth">
      <formula>NOT(ISERROR(SEARCH(("Youth"),(D213))))</formula>
    </cfRule>
  </conditionalFormatting>
  <conditionalFormatting sqref="J213:J214 L748:L750">
    <cfRule type="containsBlanks" dxfId="8" priority="406">
      <formula>LEN(TRIM(J213))=0</formula>
    </cfRule>
  </conditionalFormatting>
  <conditionalFormatting sqref="J213:J214 L748:L750">
    <cfRule type="containsBlanks" dxfId="10" priority="407">
      <formula>LEN(TRIM(J213))=0</formula>
    </cfRule>
  </conditionalFormatting>
  <conditionalFormatting sqref="E213:E214 E747">
    <cfRule type="containsText" dxfId="1" priority="408" operator="containsText" text="Lapsed">
      <formula>NOT(ISERROR(SEARCH(("Lapsed"),(E213))))</formula>
    </cfRule>
  </conditionalFormatting>
  <conditionalFormatting sqref="E213:E214 E747">
    <cfRule type="containsText" dxfId="2" priority="409" operator="containsText" text="Active">
      <formula>NOT(ISERROR(SEARCH(("Active"),(E213))))</formula>
    </cfRule>
  </conditionalFormatting>
  <conditionalFormatting sqref="D213:D214 D747">
    <cfRule type="containsText" dxfId="3" priority="410" operator="containsText" text="Youth">
      <formula>NOT(ISERROR(SEARCH(("Youth"),(D213))))</formula>
    </cfRule>
  </conditionalFormatting>
  <conditionalFormatting sqref="J213:J214 L747">
    <cfRule type="containsBlanks" dxfId="8" priority="411">
      <formula>LEN(TRIM(J213))=0</formula>
    </cfRule>
  </conditionalFormatting>
  <conditionalFormatting sqref="J213:J214 L747">
    <cfRule type="containsBlanks" dxfId="10" priority="412">
      <formula>LEN(TRIM(J213))=0</formula>
    </cfRule>
  </conditionalFormatting>
  <conditionalFormatting sqref="E213:E214 E746">
    <cfRule type="containsText" dxfId="1" priority="413" operator="containsText" text="Lapsed">
      <formula>NOT(ISERROR(SEARCH(("Lapsed"),(E213))))</formula>
    </cfRule>
  </conditionalFormatting>
  <conditionalFormatting sqref="E213:E214 E746">
    <cfRule type="containsText" dxfId="2" priority="414" operator="containsText" text="Active">
      <formula>NOT(ISERROR(SEARCH(("Active"),(E213))))</formula>
    </cfRule>
  </conditionalFormatting>
  <conditionalFormatting sqref="D213:D214 D746">
    <cfRule type="containsText" dxfId="3" priority="415" operator="containsText" text="Youth">
      <formula>NOT(ISERROR(SEARCH(("Youth"),(D213))))</formula>
    </cfRule>
  </conditionalFormatting>
  <conditionalFormatting sqref="J213:J214 L746">
    <cfRule type="containsBlanks" dxfId="8" priority="416">
      <formula>LEN(TRIM(J213))=0</formula>
    </cfRule>
  </conditionalFormatting>
  <conditionalFormatting sqref="J213:J214 L746">
    <cfRule type="containsBlanks" dxfId="10" priority="417">
      <formula>LEN(TRIM(J213))=0</formula>
    </cfRule>
  </conditionalFormatting>
  <conditionalFormatting sqref="E213:E214 E744:E745">
    <cfRule type="containsText" dxfId="1" priority="418" operator="containsText" text="Lapsed">
      <formula>NOT(ISERROR(SEARCH(("Lapsed"),(E213))))</formula>
    </cfRule>
  </conditionalFormatting>
  <conditionalFormatting sqref="E213:E214 E744:E745">
    <cfRule type="containsText" dxfId="2" priority="419" operator="containsText" text="Active">
      <formula>NOT(ISERROR(SEARCH(("Active"),(E213))))</formula>
    </cfRule>
  </conditionalFormatting>
  <conditionalFormatting sqref="D213:D214 D744:D745">
    <cfRule type="containsText" dxfId="3" priority="420" operator="containsText" text="Youth">
      <formula>NOT(ISERROR(SEARCH(("Youth"),(D213))))</formula>
    </cfRule>
  </conditionalFormatting>
  <conditionalFormatting sqref="J213:J214 L744:L745">
    <cfRule type="containsBlanks" dxfId="8" priority="421">
      <formula>LEN(TRIM(J213))=0</formula>
    </cfRule>
  </conditionalFormatting>
  <conditionalFormatting sqref="J213:J214 L744:L745">
    <cfRule type="containsBlanks" dxfId="10" priority="422">
      <formula>LEN(TRIM(J213))=0</formula>
    </cfRule>
  </conditionalFormatting>
  <conditionalFormatting sqref="E213:E214 E743">
    <cfRule type="containsText" dxfId="1" priority="423" operator="containsText" text="Lapsed">
      <formula>NOT(ISERROR(SEARCH(("Lapsed"),(E213))))</formula>
    </cfRule>
  </conditionalFormatting>
  <conditionalFormatting sqref="E213:E214 E743">
    <cfRule type="containsText" dxfId="2" priority="424" operator="containsText" text="Active">
      <formula>NOT(ISERROR(SEARCH(("Active"),(E213))))</formula>
    </cfRule>
  </conditionalFormatting>
  <conditionalFormatting sqref="D213:D214 D743">
    <cfRule type="containsText" dxfId="3" priority="425" operator="containsText" text="Youth">
      <formula>NOT(ISERROR(SEARCH(("Youth"),(D213))))</formula>
    </cfRule>
  </conditionalFormatting>
  <conditionalFormatting sqref="J213:J214 L743">
    <cfRule type="containsBlanks" dxfId="8" priority="426">
      <formula>LEN(TRIM(J213))=0</formula>
    </cfRule>
  </conditionalFormatting>
  <conditionalFormatting sqref="J213:J214 L743">
    <cfRule type="containsBlanks" dxfId="10" priority="427">
      <formula>LEN(TRIM(J213))=0</formula>
    </cfRule>
  </conditionalFormatting>
  <conditionalFormatting sqref="E213:E214 E742">
    <cfRule type="containsText" dxfId="1" priority="428" operator="containsText" text="Lapsed">
      <formula>NOT(ISERROR(SEARCH(("Lapsed"),(E213))))</formula>
    </cfRule>
  </conditionalFormatting>
  <conditionalFormatting sqref="E213:E214 E742">
    <cfRule type="containsText" dxfId="2" priority="429" operator="containsText" text="Active">
      <formula>NOT(ISERROR(SEARCH(("Active"),(E213))))</formula>
    </cfRule>
  </conditionalFormatting>
  <conditionalFormatting sqref="D213:D214 D742">
    <cfRule type="containsText" dxfId="3" priority="430" operator="containsText" text="Youth">
      <formula>NOT(ISERROR(SEARCH(("Youth"),(D213))))</formula>
    </cfRule>
  </conditionalFormatting>
  <conditionalFormatting sqref="J213:J214 L742">
    <cfRule type="containsBlanks" dxfId="8" priority="431">
      <formula>LEN(TRIM(J213))=0</formula>
    </cfRule>
  </conditionalFormatting>
  <conditionalFormatting sqref="J213:J214 L742">
    <cfRule type="containsBlanks" dxfId="10" priority="432">
      <formula>LEN(TRIM(J213))=0</formula>
    </cfRule>
  </conditionalFormatting>
  <conditionalFormatting sqref="E213:E214 E741">
    <cfRule type="containsText" dxfId="1" priority="433" operator="containsText" text="Lapsed">
      <formula>NOT(ISERROR(SEARCH(("Lapsed"),(E213))))</formula>
    </cfRule>
  </conditionalFormatting>
  <conditionalFormatting sqref="E213:E214 E741">
    <cfRule type="containsText" dxfId="2" priority="434" operator="containsText" text="Active">
      <formula>NOT(ISERROR(SEARCH(("Active"),(E213))))</formula>
    </cfRule>
  </conditionalFormatting>
  <conditionalFormatting sqref="D213:D214 D741">
    <cfRule type="containsText" dxfId="3" priority="435" operator="containsText" text="Youth">
      <formula>NOT(ISERROR(SEARCH(("Youth"),(D213))))</formula>
    </cfRule>
  </conditionalFormatting>
  <conditionalFormatting sqref="J213:J214 L741">
    <cfRule type="containsBlanks" dxfId="8" priority="436">
      <formula>LEN(TRIM(J213))=0</formula>
    </cfRule>
  </conditionalFormatting>
  <conditionalFormatting sqref="J213:J214 L741">
    <cfRule type="containsBlanks" dxfId="10" priority="437">
      <formula>LEN(TRIM(J213))=0</formula>
    </cfRule>
  </conditionalFormatting>
  <conditionalFormatting sqref="E213:E214 E739:E740">
    <cfRule type="containsText" dxfId="1" priority="438" operator="containsText" text="Lapsed">
      <formula>NOT(ISERROR(SEARCH(("Lapsed"),(E213))))</formula>
    </cfRule>
  </conditionalFormatting>
  <conditionalFormatting sqref="E213:E214 E739:E740">
    <cfRule type="containsText" dxfId="2" priority="439" operator="containsText" text="Active">
      <formula>NOT(ISERROR(SEARCH(("Active"),(E213))))</formula>
    </cfRule>
  </conditionalFormatting>
  <conditionalFormatting sqref="D213:D214 D739:D740">
    <cfRule type="containsText" dxfId="3" priority="440" operator="containsText" text="Youth">
      <formula>NOT(ISERROR(SEARCH(("Youth"),(D213))))</formula>
    </cfRule>
  </conditionalFormatting>
  <conditionalFormatting sqref="J213:J214 L739:L740">
    <cfRule type="containsBlanks" dxfId="8" priority="441">
      <formula>LEN(TRIM(J213))=0</formula>
    </cfRule>
  </conditionalFormatting>
  <conditionalFormatting sqref="J213:J214 L739:L740">
    <cfRule type="containsBlanks" dxfId="10" priority="442">
      <formula>LEN(TRIM(J213))=0</formula>
    </cfRule>
  </conditionalFormatting>
  <conditionalFormatting sqref="E213:E214 E738">
    <cfRule type="containsText" dxfId="1" priority="443" operator="containsText" text="Lapsed">
      <formula>NOT(ISERROR(SEARCH(("Lapsed"),(E213))))</formula>
    </cfRule>
  </conditionalFormatting>
  <conditionalFormatting sqref="E213:E214 E738">
    <cfRule type="containsText" dxfId="2" priority="444" operator="containsText" text="Active">
      <formula>NOT(ISERROR(SEARCH(("Active"),(E213))))</formula>
    </cfRule>
  </conditionalFormatting>
  <conditionalFormatting sqref="D213:D214 D738">
    <cfRule type="containsText" dxfId="3" priority="445" operator="containsText" text="Youth">
      <formula>NOT(ISERROR(SEARCH(("Youth"),(D213))))</formula>
    </cfRule>
  </conditionalFormatting>
  <conditionalFormatting sqref="J213:J214 L738">
    <cfRule type="containsBlanks" dxfId="8" priority="446">
      <formula>LEN(TRIM(J213))=0</formula>
    </cfRule>
  </conditionalFormatting>
  <conditionalFormatting sqref="J213:J214 L738">
    <cfRule type="containsBlanks" dxfId="10" priority="447">
      <formula>LEN(TRIM(J213))=0</formula>
    </cfRule>
  </conditionalFormatting>
  <conditionalFormatting sqref="E213:E214 E737">
    <cfRule type="containsText" dxfId="1" priority="448" operator="containsText" text="Lapsed">
      <formula>NOT(ISERROR(SEARCH(("Lapsed"),(E213))))</formula>
    </cfRule>
  </conditionalFormatting>
  <conditionalFormatting sqref="E213:E214 E737">
    <cfRule type="containsText" dxfId="2" priority="449" operator="containsText" text="Active">
      <formula>NOT(ISERROR(SEARCH(("Active"),(E213))))</formula>
    </cfRule>
  </conditionalFormatting>
  <conditionalFormatting sqref="D213:D214 D737">
    <cfRule type="containsText" dxfId="3" priority="450" operator="containsText" text="Youth">
      <formula>NOT(ISERROR(SEARCH(("Youth"),(D213))))</formula>
    </cfRule>
  </conditionalFormatting>
  <conditionalFormatting sqref="J213:J214 L737">
    <cfRule type="containsBlanks" dxfId="8" priority="451">
      <formula>LEN(TRIM(J213))=0</formula>
    </cfRule>
  </conditionalFormatting>
  <conditionalFormatting sqref="J213:J214 L737">
    <cfRule type="containsBlanks" dxfId="10" priority="452">
      <formula>LEN(TRIM(J213))=0</formula>
    </cfRule>
  </conditionalFormatting>
  <conditionalFormatting sqref="E213:E214 E736">
    <cfRule type="containsText" dxfId="1" priority="453" operator="containsText" text="Lapsed">
      <formula>NOT(ISERROR(SEARCH(("Lapsed"),(E213))))</formula>
    </cfRule>
  </conditionalFormatting>
  <conditionalFormatting sqref="E213:E214 E736">
    <cfRule type="containsText" dxfId="2" priority="454" operator="containsText" text="Active">
      <formula>NOT(ISERROR(SEARCH(("Active"),(E213))))</formula>
    </cfRule>
  </conditionalFormatting>
  <conditionalFormatting sqref="D213:D214 D736">
    <cfRule type="containsText" dxfId="3" priority="455" operator="containsText" text="Youth">
      <formula>NOT(ISERROR(SEARCH(("Youth"),(D213))))</formula>
    </cfRule>
  </conditionalFormatting>
  <conditionalFormatting sqref="J213:J214 L736">
    <cfRule type="containsBlanks" dxfId="8" priority="456">
      <formula>LEN(TRIM(J213))=0</formula>
    </cfRule>
  </conditionalFormatting>
  <conditionalFormatting sqref="J213:J214 L736">
    <cfRule type="containsBlanks" dxfId="10" priority="457">
      <formula>LEN(TRIM(J213))=0</formula>
    </cfRule>
  </conditionalFormatting>
  <conditionalFormatting sqref="E213:E214 E735">
    <cfRule type="containsText" dxfId="1" priority="458" operator="containsText" text="Lapsed">
      <formula>NOT(ISERROR(SEARCH(("Lapsed"),(E213))))</formula>
    </cfRule>
  </conditionalFormatting>
  <conditionalFormatting sqref="E213:E214 E735">
    <cfRule type="containsText" dxfId="2" priority="459" operator="containsText" text="Active">
      <formula>NOT(ISERROR(SEARCH(("Active"),(E213))))</formula>
    </cfRule>
  </conditionalFormatting>
  <conditionalFormatting sqref="D213:D214 D735">
    <cfRule type="containsText" dxfId="3" priority="460" operator="containsText" text="Youth">
      <formula>NOT(ISERROR(SEARCH(("Youth"),(D213))))</formula>
    </cfRule>
  </conditionalFormatting>
  <conditionalFormatting sqref="J213:J214 L735">
    <cfRule type="containsBlanks" dxfId="8" priority="461">
      <formula>LEN(TRIM(J213))=0</formula>
    </cfRule>
  </conditionalFormatting>
  <conditionalFormatting sqref="J213:J214 L735">
    <cfRule type="containsBlanks" dxfId="10" priority="462">
      <formula>LEN(TRIM(J213))=0</formula>
    </cfRule>
  </conditionalFormatting>
  <conditionalFormatting sqref="E213:E214 E733:E734">
    <cfRule type="containsText" dxfId="1" priority="463" operator="containsText" text="Lapsed">
      <formula>NOT(ISERROR(SEARCH(("Lapsed"),(E213))))</formula>
    </cfRule>
  </conditionalFormatting>
  <conditionalFormatting sqref="E213:E214 E733:E734">
    <cfRule type="containsText" dxfId="2" priority="464" operator="containsText" text="Active">
      <formula>NOT(ISERROR(SEARCH(("Active"),(E213))))</formula>
    </cfRule>
  </conditionalFormatting>
  <conditionalFormatting sqref="D213:D214 D733:D734">
    <cfRule type="containsText" dxfId="3" priority="465" operator="containsText" text="Youth">
      <formula>NOT(ISERROR(SEARCH(("Youth"),(D213))))</formula>
    </cfRule>
  </conditionalFormatting>
  <conditionalFormatting sqref="J213:J214 L733:L734">
    <cfRule type="containsBlanks" dxfId="8" priority="466">
      <formula>LEN(TRIM(J213))=0</formula>
    </cfRule>
  </conditionalFormatting>
  <conditionalFormatting sqref="J213:J214 L733:L734">
    <cfRule type="containsBlanks" dxfId="10" priority="467">
      <formula>LEN(TRIM(J213))=0</formula>
    </cfRule>
  </conditionalFormatting>
  <conditionalFormatting sqref="E213:E214 E731:E732">
    <cfRule type="containsText" dxfId="1" priority="468" operator="containsText" text="Lapsed">
      <formula>NOT(ISERROR(SEARCH(("Lapsed"),(E213))))</formula>
    </cfRule>
  </conditionalFormatting>
  <conditionalFormatting sqref="E213:E214 E731:E732">
    <cfRule type="containsText" dxfId="2" priority="469" operator="containsText" text="Active">
      <formula>NOT(ISERROR(SEARCH(("Active"),(E213))))</formula>
    </cfRule>
  </conditionalFormatting>
  <conditionalFormatting sqref="D213:D214 D731:D732">
    <cfRule type="containsText" dxfId="3" priority="470" operator="containsText" text="Youth">
      <formula>NOT(ISERROR(SEARCH(("Youth"),(D213))))</formula>
    </cfRule>
  </conditionalFormatting>
  <conditionalFormatting sqref="J213:J214 L731:L732">
    <cfRule type="containsBlanks" dxfId="8" priority="471">
      <formula>LEN(TRIM(J213))=0</formula>
    </cfRule>
  </conditionalFormatting>
  <conditionalFormatting sqref="J213:J214 L731:L732">
    <cfRule type="containsBlanks" dxfId="10" priority="472">
      <formula>LEN(TRIM(J213))=0</formula>
    </cfRule>
  </conditionalFormatting>
  <conditionalFormatting sqref="E213:E214 E640:E730">
    <cfRule type="containsText" dxfId="1" priority="473" operator="containsText" text="Lapsed">
      <formula>NOT(ISERROR(SEARCH(("Lapsed"),(E213))))</formula>
    </cfRule>
  </conditionalFormatting>
  <conditionalFormatting sqref="E213:E214 E640:E730">
    <cfRule type="containsText" dxfId="2" priority="474" operator="containsText" text="Active">
      <formula>NOT(ISERROR(SEARCH(("Active"),(E213))))</formula>
    </cfRule>
  </conditionalFormatting>
  <conditionalFormatting sqref="D213:D214 D640:D730">
    <cfRule type="containsText" dxfId="3" priority="475" operator="containsText" text="Youth">
      <formula>NOT(ISERROR(SEARCH(("Youth"),(D213))))</formula>
    </cfRule>
  </conditionalFormatting>
  <conditionalFormatting sqref="J213:J214 L640:L730">
    <cfRule type="containsBlanks" dxfId="8" priority="476">
      <formula>LEN(TRIM(J213))=0</formula>
    </cfRule>
  </conditionalFormatting>
  <conditionalFormatting sqref="J213:J214 L640:L730">
    <cfRule type="containsBlanks" dxfId="10" priority="477">
      <formula>LEN(TRIM(J213))=0</formula>
    </cfRule>
  </conditionalFormatting>
  <conditionalFormatting sqref="E213:E214 E638:E639">
    <cfRule type="containsText" dxfId="1" priority="478" operator="containsText" text="Lapsed">
      <formula>NOT(ISERROR(SEARCH(("Lapsed"),(E213))))</formula>
    </cfRule>
  </conditionalFormatting>
  <conditionalFormatting sqref="E213:E214 E638:E639">
    <cfRule type="containsText" dxfId="2" priority="479" operator="containsText" text="Active">
      <formula>NOT(ISERROR(SEARCH(("Active"),(E213))))</formula>
    </cfRule>
  </conditionalFormatting>
  <conditionalFormatting sqref="D213:D214 D638:D639">
    <cfRule type="containsText" dxfId="3" priority="480" operator="containsText" text="Youth">
      <formula>NOT(ISERROR(SEARCH(("Youth"),(D213))))</formula>
    </cfRule>
  </conditionalFormatting>
  <conditionalFormatting sqref="J213:J214 L638:L639">
    <cfRule type="containsBlanks" dxfId="8" priority="481">
      <formula>LEN(TRIM(J213))=0</formula>
    </cfRule>
  </conditionalFormatting>
  <conditionalFormatting sqref="J213:J214 L638:L639">
    <cfRule type="containsBlanks" dxfId="10" priority="482">
      <formula>LEN(TRIM(J213))=0</formula>
    </cfRule>
  </conditionalFormatting>
  <conditionalFormatting sqref="E213:E214 E637">
    <cfRule type="containsText" dxfId="1" priority="483" operator="containsText" text="Lapsed">
      <formula>NOT(ISERROR(SEARCH(("Lapsed"),(E213))))</formula>
    </cfRule>
  </conditionalFormatting>
  <conditionalFormatting sqref="E213:E214 E637">
    <cfRule type="containsText" dxfId="2" priority="484" operator="containsText" text="Active">
      <formula>NOT(ISERROR(SEARCH(("Active"),(E213))))</formula>
    </cfRule>
  </conditionalFormatting>
  <conditionalFormatting sqref="D213:D214 D637">
    <cfRule type="containsText" dxfId="3" priority="485" operator="containsText" text="Youth">
      <formula>NOT(ISERROR(SEARCH(("Youth"),(D213))))</formula>
    </cfRule>
  </conditionalFormatting>
  <conditionalFormatting sqref="J213:J214 L637">
    <cfRule type="containsBlanks" dxfId="8" priority="486">
      <formula>LEN(TRIM(J213))=0</formula>
    </cfRule>
  </conditionalFormatting>
  <conditionalFormatting sqref="J213:J214 L637">
    <cfRule type="containsBlanks" dxfId="10" priority="487">
      <formula>LEN(TRIM(J213))=0</formula>
    </cfRule>
  </conditionalFormatting>
  <conditionalFormatting sqref="E213:E214 E635:E636">
    <cfRule type="containsText" dxfId="1" priority="488" operator="containsText" text="Lapsed">
      <formula>NOT(ISERROR(SEARCH(("Lapsed"),(E213))))</formula>
    </cfRule>
  </conditionalFormatting>
  <conditionalFormatting sqref="E213:E214 E635:E636">
    <cfRule type="containsText" dxfId="2" priority="489" operator="containsText" text="Active">
      <formula>NOT(ISERROR(SEARCH(("Active"),(E213))))</formula>
    </cfRule>
  </conditionalFormatting>
  <conditionalFormatting sqref="D213:D214 D635:D636">
    <cfRule type="containsText" dxfId="3" priority="490" operator="containsText" text="Youth">
      <formula>NOT(ISERROR(SEARCH(("Youth"),(D213))))</formula>
    </cfRule>
  </conditionalFormatting>
  <conditionalFormatting sqref="J213:J214 L635:L636">
    <cfRule type="containsBlanks" dxfId="8" priority="491">
      <formula>LEN(TRIM(J213))=0</formula>
    </cfRule>
  </conditionalFormatting>
  <conditionalFormatting sqref="J213:J214 L635:L636">
    <cfRule type="containsBlanks" dxfId="10" priority="492">
      <formula>LEN(TRIM(J213))=0</formula>
    </cfRule>
  </conditionalFormatting>
  <conditionalFormatting sqref="E213:E214 E634">
    <cfRule type="containsText" dxfId="1" priority="493" operator="containsText" text="Lapsed">
      <formula>NOT(ISERROR(SEARCH(("Lapsed"),(E213))))</formula>
    </cfRule>
  </conditionalFormatting>
  <conditionalFormatting sqref="E213:E214 E634">
    <cfRule type="containsText" dxfId="2" priority="494" operator="containsText" text="Active">
      <formula>NOT(ISERROR(SEARCH(("Active"),(E213))))</formula>
    </cfRule>
  </conditionalFormatting>
  <conditionalFormatting sqref="D213:D214 D634">
    <cfRule type="containsText" dxfId="3" priority="495" operator="containsText" text="Youth">
      <formula>NOT(ISERROR(SEARCH(("Youth"),(D213))))</formula>
    </cfRule>
  </conditionalFormatting>
  <conditionalFormatting sqref="J213:J214 L634">
    <cfRule type="containsBlanks" dxfId="8" priority="496">
      <formula>LEN(TRIM(J213))=0</formula>
    </cfRule>
  </conditionalFormatting>
  <conditionalFormatting sqref="J213:J214 L634">
    <cfRule type="containsBlanks" dxfId="10" priority="497">
      <formula>LEN(TRIM(J213))=0</formula>
    </cfRule>
  </conditionalFormatting>
  <conditionalFormatting sqref="E213:E214 E633">
    <cfRule type="containsText" dxfId="1" priority="498" operator="containsText" text="Lapsed">
      <formula>NOT(ISERROR(SEARCH(("Lapsed"),(E213))))</formula>
    </cfRule>
  </conditionalFormatting>
  <conditionalFormatting sqref="E213:E214 E633">
    <cfRule type="containsText" dxfId="2" priority="499" operator="containsText" text="Active">
      <formula>NOT(ISERROR(SEARCH(("Active"),(E213))))</formula>
    </cfRule>
  </conditionalFormatting>
  <conditionalFormatting sqref="D213:D214 D633">
    <cfRule type="containsText" dxfId="3" priority="500" operator="containsText" text="Youth">
      <formula>NOT(ISERROR(SEARCH(("Youth"),(D213))))</formula>
    </cfRule>
  </conditionalFormatting>
  <conditionalFormatting sqref="J213:J214 L633">
    <cfRule type="containsBlanks" dxfId="8" priority="501">
      <formula>LEN(TRIM(J213))=0</formula>
    </cfRule>
  </conditionalFormatting>
  <conditionalFormatting sqref="J213:J214 L633">
    <cfRule type="containsBlanks" dxfId="10" priority="502">
      <formula>LEN(TRIM(J213))=0</formula>
    </cfRule>
  </conditionalFormatting>
  <conditionalFormatting sqref="E213:E214 E632">
    <cfRule type="containsText" dxfId="1" priority="503" operator="containsText" text="Lapsed">
      <formula>NOT(ISERROR(SEARCH(("Lapsed"),(E213))))</formula>
    </cfRule>
  </conditionalFormatting>
  <conditionalFormatting sqref="E213:E214 E632">
    <cfRule type="containsText" dxfId="2" priority="504" operator="containsText" text="Active">
      <formula>NOT(ISERROR(SEARCH(("Active"),(E213))))</formula>
    </cfRule>
  </conditionalFormatting>
  <conditionalFormatting sqref="D213:D214 D632">
    <cfRule type="containsText" dxfId="3" priority="505" operator="containsText" text="Youth">
      <formula>NOT(ISERROR(SEARCH(("Youth"),(D213))))</formula>
    </cfRule>
  </conditionalFormatting>
  <conditionalFormatting sqref="J213:J214 L632">
    <cfRule type="containsBlanks" dxfId="8" priority="506">
      <formula>LEN(TRIM(J213))=0</formula>
    </cfRule>
  </conditionalFormatting>
  <conditionalFormatting sqref="J213:J214 L632">
    <cfRule type="containsBlanks" dxfId="10" priority="507">
      <formula>LEN(TRIM(J213))=0</formula>
    </cfRule>
  </conditionalFormatting>
  <conditionalFormatting sqref="E213:E214 E631">
    <cfRule type="containsText" dxfId="1" priority="508" operator="containsText" text="Lapsed">
      <formula>NOT(ISERROR(SEARCH(("Lapsed"),(E213))))</formula>
    </cfRule>
  </conditionalFormatting>
  <conditionalFormatting sqref="E213:E214 E631">
    <cfRule type="containsText" dxfId="2" priority="509" operator="containsText" text="Active">
      <formula>NOT(ISERROR(SEARCH(("Active"),(E213))))</formula>
    </cfRule>
  </conditionalFormatting>
  <conditionalFormatting sqref="D213:D214 D631">
    <cfRule type="containsText" dxfId="3" priority="510" operator="containsText" text="Youth">
      <formula>NOT(ISERROR(SEARCH(("Youth"),(D213))))</formula>
    </cfRule>
  </conditionalFormatting>
  <conditionalFormatting sqref="J213:J214 L631">
    <cfRule type="containsBlanks" dxfId="8" priority="511">
      <formula>LEN(TRIM(J213))=0</formula>
    </cfRule>
  </conditionalFormatting>
  <conditionalFormatting sqref="J213:J214 L631">
    <cfRule type="containsBlanks" dxfId="10" priority="512">
      <formula>LEN(TRIM(J213))=0</formula>
    </cfRule>
  </conditionalFormatting>
  <conditionalFormatting sqref="E213:E214 E630">
    <cfRule type="containsText" dxfId="1" priority="513" operator="containsText" text="Lapsed">
      <formula>NOT(ISERROR(SEARCH(("Lapsed"),(E213))))</formula>
    </cfRule>
  </conditionalFormatting>
  <conditionalFormatting sqref="E213:E214 E630">
    <cfRule type="containsText" dxfId="2" priority="514" operator="containsText" text="Active">
      <formula>NOT(ISERROR(SEARCH(("Active"),(E213))))</formula>
    </cfRule>
  </conditionalFormatting>
  <conditionalFormatting sqref="D213:D214 D630">
    <cfRule type="containsText" dxfId="3" priority="515" operator="containsText" text="Youth">
      <formula>NOT(ISERROR(SEARCH(("Youth"),(D213))))</formula>
    </cfRule>
  </conditionalFormatting>
  <conditionalFormatting sqref="J213:J214 L630">
    <cfRule type="containsBlanks" dxfId="8" priority="516">
      <formula>LEN(TRIM(J213))=0</formula>
    </cfRule>
  </conditionalFormatting>
  <conditionalFormatting sqref="J213:J214 L630">
    <cfRule type="containsBlanks" dxfId="10" priority="517">
      <formula>LEN(TRIM(J213))=0</formula>
    </cfRule>
  </conditionalFormatting>
  <conditionalFormatting sqref="E213:E214 E629">
    <cfRule type="containsText" dxfId="1" priority="518" operator="containsText" text="Lapsed">
      <formula>NOT(ISERROR(SEARCH(("Lapsed"),(E213))))</formula>
    </cfRule>
  </conditionalFormatting>
  <conditionalFormatting sqref="E213:E214 E629">
    <cfRule type="containsText" dxfId="2" priority="519" operator="containsText" text="Active">
      <formula>NOT(ISERROR(SEARCH(("Active"),(E213))))</formula>
    </cfRule>
  </conditionalFormatting>
  <conditionalFormatting sqref="D213:D214 D629">
    <cfRule type="containsText" dxfId="3" priority="520" operator="containsText" text="Youth">
      <formula>NOT(ISERROR(SEARCH(("Youth"),(D213))))</formula>
    </cfRule>
  </conditionalFormatting>
  <conditionalFormatting sqref="J213:J214 L629">
    <cfRule type="containsBlanks" dxfId="8" priority="521">
      <formula>LEN(TRIM(J213))=0</formula>
    </cfRule>
  </conditionalFormatting>
  <conditionalFormatting sqref="J213:J214 L629">
    <cfRule type="containsBlanks" dxfId="10" priority="522">
      <formula>LEN(TRIM(J213))=0</formula>
    </cfRule>
  </conditionalFormatting>
  <conditionalFormatting sqref="E213:E214 E628">
    <cfRule type="containsText" dxfId="1" priority="523" operator="containsText" text="Lapsed">
      <formula>NOT(ISERROR(SEARCH(("Lapsed"),(E213))))</formula>
    </cfRule>
  </conditionalFormatting>
  <conditionalFormatting sqref="E213:E214 E628">
    <cfRule type="containsText" dxfId="2" priority="524" operator="containsText" text="Active">
      <formula>NOT(ISERROR(SEARCH(("Active"),(E213))))</formula>
    </cfRule>
  </conditionalFormatting>
  <conditionalFormatting sqref="D213:D214 D628">
    <cfRule type="containsText" dxfId="3" priority="525" operator="containsText" text="Youth">
      <formula>NOT(ISERROR(SEARCH(("Youth"),(D213))))</formula>
    </cfRule>
  </conditionalFormatting>
  <conditionalFormatting sqref="J213:J214 L628">
    <cfRule type="containsBlanks" dxfId="8" priority="526">
      <formula>LEN(TRIM(J213))=0</formula>
    </cfRule>
  </conditionalFormatting>
  <conditionalFormatting sqref="J213:J214 L628">
    <cfRule type="containsBlanks" dxfId="10" priority="527">
      <formula>LEN(TRIM(J213))=0</formula>
    </cfRule>
  </conditionalFormatting>
  <conditionalFormatting sqref="E213:E214 E627">
    <cfRule type="containsText" dxfId="1" priority="528" operator="containsText" text="Lapsed">
      <formula>NOT(ISERROR(SEARCH(("Lapsed"),(E213))))</formula>
    </cfRule>
  </conditionalFormatting>
  <conditionalFormatting sqref="E213:E214 E627">
    <cfRule type="containsText" dxfId="2" priority="529" operator="containsText" text="Active">
      <formula>NOT(ISERROR(SEARCH(("Active"),(E213))))</formula>
    </cfRule>
  </conditionalFormatting>
  <conditionalFormatting sqref="D213:D214 D627">
    <cfRule type="containsText" dxfId="3" priority="530" operator="containsText" text="Youth">
      <formula>NOT(ISERROR(SEARCH(("Youth"),(D213))))</formula>
    </cfRule>
  </conditionalFormatting>
  <conditionalFormatting sqref="J213:J214 L627">
    <cfRule type="containsBlanks" dxfId="8" priority="531">
      <formula>LEN(TRIM(J213))=0</formula>
    </cfRule>
  </conditionalFormatting>
  <conditionalFormatting sqref="J213:J214 L627">
    <cfRule type="containsBlanks" dxfId="10" priority="532">
      <formula>LEN(TRIM(J213))=0</formula>
    </cfRule>
  </conditionalFormatting>
  <conditionalFormatting sqref="E213:E214 E626">
    <cfRule type="containsText" dxfId="1" priority="533" operator="containsText" text="Lapsed">
      <formula>NOT(ISERROR(SEARCH(("Lapsed"),(E213))))</formula>
    </cfRule>
  </conditionalFormatting>
  <conditionalFormatting sqref="E213:E214 E626">
    <cfRule type="containsText" dxfId="2" priority="534" operator="containsText" text="Active">
      <formula>NOT(ISERROR(SEARCH(("Active"),(E213))))</formula>
    </cfRule>
  </conditionalFormatting>
  <conditionalFormatting sqref="D213:D214 D626">
    <cfRule type="containsText" dxfId="3" priority="535" operator="containsText" text="Youth">
      <formula>NOT(ISERROR(SEARCH(("Youth"),(D213))))</formula>
    </cfRule>
  </conditionalFormatting>
  <conditionalFormatting sqref="J213:J214 L626">
    <cfRule type="containsBlanks" dxfId="8" priority="536">
      <formula>LEN(TRIM(J213))=0</formula>
    </cfRule>
  </conditionalFormatting>
  <conditionalFormatting sqref="J213:J214 L626">
    <cfRule type="containsBlanks" dxfId="10" priority="537">
      <formula>LEN(TRIM(J213))=0</formula>
    </cfRule>
  </conditionalFormatting>
  <conditionalFormatting sqref="E213:E214 E625">
    <cfRule type="containsText" dxfId="1" priority="538" operator="containsText" text="Lapsed">
      <formula>NOT(ISERROR(SEARCH(("Lapsed"),(E213))))</formula>
    </cfRule>
  </conditionalFormatting>
  <conditionalFormatting sqref="E213:E214 E625">
    <cfRule type="containsText" dxfId="2" priority="539" operator="containsText" text="Active">
      <formula>NOT(ISERROR(SEARCH(("Active"),(E213))))</formula>
    </cfRule>
  </conditionalFormatting>
  <conditionalFormatting sqref="D213:D214 D625">
    <cfRule type="containsText" dxfId="3" priority="540" operator="containsText" text="Youth">
      <formula>NOT(ISERROR(SEARCH(("Youth"),(D213))))</formula>
    </cfRule>
  </conditionalFormatting>
  <conditionalFormatting sqref="J213:J214 L625">
    <cfRule type="containsBlanks" dxfId="8" priority="541">
      <formula>LEN(TRIM(J213))=0</formula>
    </cfRule>
  </conditionalFormatting>
  <conditionalFormatting sqref="J213:J214 L625">
    <cfRule type="containsBlanks" dxfId="10" priority="542">
      <formula>LEN(TRIM(J213))=0</formula>
    </cfRule>
  </conditionalFormatting>
  <conditionalFormatting sqref="E213:E214 E623:E624">
    <cfRule type="containsText" dxfId="1" priority="543" operator="containsText" text="Lapsed">
      <formula>NOT(ISERROR(SEARCH(("Lapsed"),(E213))))</formula>
    </cfRule>
  </conditionalFormatting>
  <conditionalFormatting sqref="E213:E214 E623:E624">
    <cfRule type="containsText" dxfId="2" priority="544" operator="containsText" text="Active">
      <formula>NOT(ISERROR(SEARCH(("Active"),(E213))))</formula>
    </cfRule>
  </conditionalFormatting>
  <conditionalFormatting sqref="D213:D214 D623:D624">
    <cfRule type="containsText" dxfId="3" priority="545" operator="containsText" text="Youth">
      <formula>NOT(ISERROR(SEARCH(("Youth"),(D213))))</formula>
    </cfRule>
  </conditionalFormatting>
  <conditionalFormatting sqref="J213:J214 L623:L624">
    <cfRule type="containsBlanks" dxfId="8" priority="546">
      <formula>LEN(TRIM(J213))=0</formula>
    </cfRule>
  </conditionalFormatting>
  <conditionalFormatting sqref="J213:J214 L623:L624">
    <cfRule type="containsBlanks" dxfId="10" priority="547">
      <formula>LEN(TRIM(J213))=0</formula>
    </cfRule>
  </conditionalFormatting>
  <conditionalFormatting sqref="E213:E214 E622">
    <cfRule type="containsText" dxfId="1" priority="548" operator="containsText" text="Lapsed">
      <formula>NOT(ISERROR(SEARCH(("Lapsed"),(E213))))</formula>
    </cfRule>
  </conditionalFormatting>
  <conditionalFormatting sqref="E213:E214 E622">
    <cfRule type="containsText" dxfId="2" priority="549" operator="containsText" text="Active">
      <formula>NOT(ISERROR(SEARCH(("Active"),(E213))))</formula>
    </cfRule>
  </conditionalFormatting>
  <conditionalFormatting sqref="D213:D214 D622">
    <cfRule type="containsText" dxfId="3" priority="550" operator="containsText" text="Youth">
      <formula>NOT(ISERROR(SEARCH(("Youth"),(D213))))</formula>
    </cfRule>
  </conditionalFormatting>
  <conditionalFormatting sqref="J213:J214 L622">
    <cfRule type="containsBlanks" dxfId="8" priority="551">
      <formula>LEN(TRIM(J213))=0</formula>
    </cfRule>
  </conditionalFormatting>
  <conditionalFormatting sqref="J213:J214 L622">
    <cfRule type="containsBlanks" dxfId="10" priority="552">
      <formula>LEN(TRIM(J213))=0</formula>
    </cfRule>
  </conditionalFormatting>
  <conditionalFormatting sqref="E213:E214 E620:E621">
    <cfRule type="containsText" dxfId="1" priority="553" operator="containsText" text="Lapsed">
      <formula>NOT(ISERROR(SEARCH(("Lapsed"),(E213))))</formula>
    </cfRule>
  </conditionalFormatting>
  <conditionalFormatting sqref="E213:E214 E620:E621">
    <cfRule type="containsText" dxfId="2" priority="554" operator="containsText" text="Active">
      <formula>NOT(ISERROR(SEARCH(("Active"),(E213))))</formula>
    </cfRule>
  </conditionalFormatting>
  <conditionalFormatting sqref="D213:D214 D620:D621">
    <cfRule type="containsText" dxfId="3" priority="555" operator="containsText" text="Youth">
      <formula>NOT(ISERROR(SEARCH(("Youth"),(D213))))</formula>
    </cfRule>
  </conditionalFormatting>
  <conditionalFormatting sqref="J213:J214 L620:L621">
    <cfRule type="containsBlanks" dxfId="8" priority="556">
      <formula>LEN(TRIM(J213))=0</formula>
    </cfRule>
  </conditionalFormatting>
  <conditionalFormatting sqref="J213:J214 L620:L621">
    <cfRule type="containsBlanks" dxfId="10" priority="557">
      <formula>LEN(TRIM(J213))=0</formula>
    </cfRule>
  </conditionalFormatting>
  <conditionalFormatting sqref="E213:E214 E619">
    <cfRule type="containsText" dxfId="1" priority="558" operator="containsText" text="Lapsed">
      <formula>NOT(ISERROR(SEARCH(("Lapsed"),(E213))))</formula>
    </cfRule>
  </conditionalFormatting>
  <conditionalFormatting sqref="E213:E214 E619">
    <cfRule type="containsText" dxfId="2" priority="559" operator="containsText" text="Active">
      <formula>NOT(ISERROR(SEARCH(("Active"),(E213))))</formula>
    </cfRule>
  </conditionalFormatting>
  <conditionalFormatting sqref="D213:D214 D619">
    <cfRule type="containsText" dxfId="3" priority="560" operator="containsText" text="Youth">
      <formula>NOT(ISERROR(SEARCH(("Youth"),(D213))))</formula>
    </cfRule>
  </conditionalFormatting>
  <conditionalFormatting sqref="J213:J214 L619">
    <cfRule type="containsBlanks" dxfId="8" priority="561">
      <formula>LEN(TRIM(J213))=0</formula>
    </cfRule>
  </conditionalFormatting>
  <conditionalFormatting sqref="J213:J214 L619">
    <cfRule type="containsBlanks" dxfId="10" priority="562">
      <formula>LEN(TRIM(J213))=0</formula>
    </cfRule>
  </conditionalFormatting>
  <conditionalFormatting sqref="E213:E214 E617:E618">
    <cfRule type="containsText" dxfId="1" priority="563" operator="containsText" text="Lapsed">
      <formula>NOT(ISERROR(SEARCH(("Lapsed"),(E213))))</formula>
    </cfRule>
  </conditionalFormatting>
  <conditionalFormatting sqref="E213:E214 E617:E618">
    <cfRule type="containsText" dxfId="2" priority="564" operator="containsText" text="Active">
      <formula>NOT(ISERROR(SEARCH(("Active"),(E213))))</formula>
    </cfRule>
  </conditionalFormatting>
  <conditionalFormatting sqref="D213:D214 D617:D618">
    <cfRule type="containsText" dxfId="3" priority="565" operator="containsText" text="Youth">
      <formula>NOT(ISERROR(SEARCH(("Youth"),(D213))))</formula>
    </cfRule>
  </conditionalFormatting>
  <conditionalFormatting sqref="J213:J214 L617:L618">
    <cfRule type="containsBlanks" dxfId="8" priority="566">
      <formula>LEN(TRIM(J213))=0</formula>
    </cfRule>
  </conditionalFormatting>
  <conditionalFormatting sqref="J213:J214 L617:L618">
    <cfRule type="containsBlanks" dxfId="10" priority="567">
      <formula>LEN(TRIM(J213))=0</formula>
    </cfRule>
  </conditionalFormatting>
  <conditionalFormatting sqref="E213:E214 E616">
    <cfRule type="containsText" dxfId="1" priority="568" operator="containsText" text="Lapsed">
      <formula>NOT(ISERROR(SEARCH(("Lapsed"),(E213))))</formula>
    </cfRule>
  </conditionalFormatting>
  <conditionalFormatting sqref="E213:E214 E616">
    <cfRule type="containsText" dxfId="2" priority="569" operator="containsText" text="Active">
      <formula>NOT(ISERROR(SEARCH(("Active"),(E213))))</formula>
    </cfRule>
  </conditionalFormatting>
  <conditionalFormatting sqref="D213:D214 D616">
    <cfRule type="containsText" dxfId="3" priority="570" operator="containsText" text="Youth">
      <formula>NOT(ISERROR(SEARCH(("Youth"),(D213))))</formula>
    </cfRule>
  </conditionalFormatting>
  <conditionalFormatting sqref="J213:J214 L616">
    <cfRule type="containsBlanks" dxfId="8" priority="571">
      <formula>LEN(TRIM(J213))=0</formula>
    </cfRule>
  </conditionalFormatting>
  <conditionalFormatting sqref="J213:J214 L616">
    <cfRule type="containsBlanks" dxfId="10" priority="572">
      <formula>LEN(TRIM(J213))=0</formula>
    </cfRule>
  </conditionalFormatting>
  <conditionalFormatting sqref="E213:E214 E615">
    <cfRule type="containsText" dxfId="1" priority="573" operator="containsText" text="Lapsed">
      <formula>NOT(ISERROR(SEARCH(("Lapsed"),(E213))))</formula>
    </cfRule>
  </conditionalFormatting>
  <conditionalFormatting sqref="E213:E214 E615">
    <cfRule type="containsText" dxfId="2" priority="574" operator="containsText" text="Active">
      <formula>NOT(ISERROR(SEARCH(("Active"),(E213))))</formula>
    </cfRule>
  </conditionalFormatting>
  <conditionalFormatting sqref="D213:D214 D615">
    <cfRule type="containsText" dxfId="3" priority="575" operator="containsText" text="Youth">
      <formula>NOT(ISERROR(SEARCH(("Youth"),(D213))))</formula>
    </cfRule>
  </conditionalFormatting>
  <conditionalFormatting sqref="J213:J214 L615">
    <cfRule type="containsBlanks" dxfId="8" priority="576">
      <formula>LEN(TRIM(J213))=0</formula>
    </cfRule>
  </conditionalFormatting>
  <conditionalFormatting sqref="J213:J214 L615">
    <cfRule type="containsBlanks" dxfId="10" priority="577">
      <formula>LEN(TRIM(J213))=0</formula>
    </cfRule>
  </conditionalFormatting>
  <conditionalFormatting sqref="E213:E214 E613:E614">
    <cfRule type="containsText" dxfId="1" priority="578" operator="containsText" text="Lapsed">
      <formula>NOT(ISERROR(SEARCH(("Lapsed"),(E213))))</formula>
    </cfRule>
  </conditionalFormatting>
  <conditionalFormatting sqref="E213:E214 E613:E614">
    <cfRule type="containsText" dxfId="2" priority="579" operator="containsText" text="Active">
      <formula>NOT(ISERROR(SEARCH(("Active"),(E213))))</formula>
    </cfRule>
  </conditionalFormatting>
  <conditionalFormatting sqref="D213:D214 D613:D614">
    <cfRule type="containsText" dxfId="3" priority="580" operator="containsText" text="Youth">
      <formula>NOT(ISERROR(SEARCH(("Youth"),(D213))))</formula>
    </cfRule>
  </conditionalFormatting>
  <conditionalFormatting sqref="J213:J214 L613:L614">
    <cfRule type="containsBlanks" dxfId="8" priority="581">
      <formula>LEN(TRIM(J213))=0</formula>
    </cfRule>
  </conditionalFormatting>
  <conditionalFormatting sqref="J213:J214 L613:L614">
    <cfRule type="containsBlanks" dxfId="10" priority="582">
      <formula>LEN(TRIM(J213))=0</formula>
    </cfRule>
  </conditionalFormatting>
  <conditionalFormatting sqref="E213:E214 E612">
    <cfRule type="containsText" dxfId="1" priority="583" operator="containsText" text="Lapsed">
      <formula>NOT(ISERROR(SEARCH(("Lapsed"),(E213))))</formula>
    </cfRule>
  </conditionalFormatting>
  <conditionalFormatting sqref="E213:E214 E612">
    <cfRule type="containsText" dxfId="2" priority="584" operator="containsText" text="Active">
      <formula>NOT(ISERROR(SEARCH(("Active"),(E213))))</formula>
    </cfRule>
  </conditionalFormatting>
  <conditionalFormatting sqref="D213:D214 D612">
    <cfRule type="containsText" dxfId="3" priority="585" operator="containsText" text="Youth">
      <formula>NOT(ISERROR(SEARCH(("Youth"),(D213))))</formula>
    </cfRule>
  </conditionalFormatting>
  <conditionalFormatting sqref="J213:J214 L612">
    <cfRule type="containsBlanks" dxfId="8" priority="586">
      <formula>LEN(TRIM(J213))=0</formula>
    </cfRule>
  </conditionalFormatting>
  <conditionalFormatting sqref="J213:J214 L612">
    <cfRule type="containsBlanks" dxfId="10" priority="587">
      <formula>LEN(TRIM(J213))=0</formula>
    </cfRule>
  </conditionalFormatting>
  <conditionalFormatting sqref="E213:E214 E611">
    <cfRule type="containsText" dxfId="1" priority="588" operator="containsText" text="Lapsed">
      <formula>NOT(ISERROR(SEARCH(("Lapsed"),(E213))))</formula>
    </cfRule>
  </conditionalFormatting>
  <conditionalFormatting sqref="E213:E214 E611">
    <cfRule type="containsText" dxfId="2" priority="589" operator="containsText" text="Active">
      <formula>NOT(ISERROR(SEARCH(("Active"),(E213))))</formula>
    </cfRule>
  </conditionalFormatting>
  <conditionalFormatting sqref="D213:D214 D611">
    <cfRule type="containsText" dxfId="3" priority="590" operator="containsText" text="Youth">
      <formula>NOT(ISERROR(SEARCH(("Youth"),(D213))))</formula>
    </cfRule>
  </conditionalFormatting>
  <conditionalFormatting sqref="J213:J214 L611">
    <cfRule type="containsBlanks" dxfId="8" priority="591">
      <formula>LEN(TRIM(J213))=0</formula>
    </cfRule>
  </conditionalFormatting>
  <conditionalFormatting sqref="J213:J214 L611">
    <cfRule type="containsBlanks" dxfId="10" priority="592">
      <formula>LEN(TRIM(J213))=0</formula>
    </cfRule>
  </conditionalFormatting>
  <conditionalFormatting sqref="E213:E214 E610">
    <cfRule type="containsText" dxfId="1" priority="593" operator="containsText" text="Lapsed">
      <formula>NOT(ISERROR(SEARCH(("Lapsed"),(E213))))</formula>
    </cfRule>
  </conditionalFormatting>
  <conditionalFormatting sqref="E213:E214 E610">
    <cfRule type="containsText" dxfId="2" priority="594" operator="containsText" text="Active">
      <formula>NOT(ISERROR(SEARCH(("Active"),(E213))))</formula>
    </cfRule>
  </conditionalFormatting>
  <conditionalFormatting sqref="D213:D214 D610">
    <cfRule type="containsText" dxfId="3" priority="595" operator="containsText" text="Youth">
      <formula>NOT(ISERROR(SEARCH(("Youth"),(D213))))</formula>
    </cfRule>
  </conditionalFormatting>
  <conditionalFormatting sqref="J213:J214 L610">
    <cfRule type="containsBlanks" dxfId="8" priority="596">
      <formula>LEN(TRIM(J213))=0</formula>
    </cfRule>
  </conditionalFormatting>
  <conditionalFormatting sqref="J213:J214 L610">
    <cfRule type="containsBlanks" dxfId="10" priority="597">
      <formula>LEN(TRIM(J213))=0</formula>
    </cfRule>
  </conditionalFormatting>
  <conditionalFormatting sqref="E213:E214 E608:E609">
    <cfRule type="containsText" dxfId="1" priority="598" operator="containsText" text="Lapsed">
      <formula>NOT(ISERROR(SEARCH(("Lapsed"),(E213))))</formula>
    </cfRule>
  </conditionalFormatting>
  <conditionalFormatting sqref="E213:E214 E608:E609">
    <cfRule type="containsText" dxfId="2" priority="599" operator="containsText" text="Active">
      <formula>NOT(ISERROR(SEARCH(("Active"),(E213))))</formula>
    </cfRule>
  </conditionalFormatting>
  <conditionalFormatting sqref="D213:D214 D608:D609">
    <cfRule type="containsText" dxfId="3" priority="600" operator="containsText" text="Youth">
      <formula>NOT(ISERROR(SEARCH(("Youth"),(D213))))</formula>
    </cfRule>
  </conditionalFormatting>
  <conditionalFormatting sqref="J213:J214 L608:L609">
    <cfRule type="containsBlanks" dxfId="8" priority="601">
      <formula>LEN(TRIM(J213))=0</formula>
    </cfRule>
  </conditionalFormatting>
  <conditionalFormatting sqref="J213:J214 L608:L609">
    <cfRule type="containsBlanks" dxfId="10" priority="602">
      <formula>LEN(TRIM(J213))=0</formula>
    </cfRule>
  </conditionalFormatting>
  <conditionalFormatting sqref="E213:E214 E606:E607">
    <cfRule type="containsText" dxfId="1" priority="603" operator="containsText" text="Lapsed">
      <formula>NOT(ISERROR(SEARCH(("Lapsed"),(E213))))</formula>
    </cfRule>
  </conditionalFormatting>
  <conditionalFormatting sqref="E213:E214 E606:E607">
    <cfRule type="containsText" dxfId="2" priority="604" operator="containsText" text="Active">
      <formula>NOT(ISERROR(SEARCH(("Active"),(E213))))</formula>
    </cfRule>
  </conditionalFormatting>
  <conditionalFormatting sqref="D213:D214 D606:D607">
    <cfRule type="containsText" dxfId="3" priority="605" operator="containsText" text="Youth">
      <formula>NOT(ISERROR(SEARCH(("Youth"),(D213))))</formula>
    </cfRule>
  </conditionalFormatting>
  <conditionalFormatting sqref="J213:J214 L606:L607">
    <cfRule type="containsBlanks" dxfId="8" priority="606">
      <formula>LEN(TRIM(J213))=0</formula>
    </cfRule>
  </conditionalFormatting>
  <conditionalFormatting sqref="J213:J214 L606:L607">
    <cfRule type="containsBlanks" dxfId="10" priority="607">
      <formula>LEN(TRIM(J213))=0</formula>
    </cfRule>
  </conditionalFormatting>
  <conditionalFormatting sqref="E213:E214 E605">
    <cfRule type="containsText" dxfId="1" priority="608" operator="containsText" text="Lapsed">
      <formula>NOT(ISERROR(SEARCH(("Lapsed"),(E213))))</formula>
    </cfRule>
  </conditionalFormatting>
  <conditionalFormatting sqref="E213:E214 E605">
    <cfRule type="containsText" dxfId="2" priority="609" operator="containsText" text="Active">
      <formula>NOT(ISERROR(SEARCH(("Active"),(E213))))</formula>
    </cfRule>
  </conditionalFormatting>
  <conditionalFormatting sqref="D213:D214 D605">
    <cfRule type="containsText" dxfId="3" priority="610" operator="containsText" text="Youth">
      <formula>NOT(ISERROR(SEARCH(("Youth"),(D213))))</formula>
    </cfRule>
  </conditionalFormatting>
  <conditionalFormatting sqref="J213:J214 L605">
    <cfRule type="containsBlanks" dxfId="8" priority="611">
      <formula>LEN(TRIM(J213))=0</formula>
    </cfRule>
  </conditionalFormatting>
  <conditionalFormatting sqref="J213:J214 L605">
    <cfRule type="containsBlanks" dxfId="10" priority="612">
      <formula>LEN(TRIM(J213))=0</formula>
    </cfRule>
  </conditionalFormatting>
  <conditionalFormatting sqref="E213:E214 E604">
    <cfRule type="containsText" dxfId="1" priority="613" operator="containsText" text="Lapsed">
      <formula>NOT(ISERROR(SEARCH(("Lapsed"),(E213))))</formula>
    </cfRule>
  </conditionalFormatting>
  <conditionalFormatting sqref="E213:E214 E604">
    <cfRule type="containsText" dxfId="2" priority="614" operator="containsText" text="Active">
      <formula>NOT(ISERROR(SEARCH(("Active"),(E213))))</formula>
    </cfRule>
  </conditionalFormatting>
  <conditionalFormatting sqref="D213:D214 D604">
    <cfRule type="containsText" dxfId="3" priority="615" operator="containsText" text="Youth">
      <formula>NOT(ISERROR(SEARCH(("Youth"),(D213))))</formula>
    </cfRule>
  </conditionalFormatting>
  <conditionalFormatting sqref="J213:J214 L604">
    <cfRule type="containsBlanks" dxfId="8" priority="616">
      <formula>LEN(TRIM(J213))=0</formula>
    </cfRule>
  </conditionalFormatting>
  <conditionalFormatting sqref="J213:J214 L604">
    <cfRule type="containsBlanks" dxfId="10" priority="617">
      <formula>LEN(TRIM(J213))=0</formula>
    </cfRule>
  </conditionalFormatting>
  <conditionalFormatting sqref="E213:E214 E603">
    <cfRule type="containsText" dxfId="1" priority="618" operator="containsText" text="Lapsed">
      <formula>NOT(ISERROR(SEARCH(("Lapsed"),(E213))))</formula>
    </cfRule>
  </conditionalFormatting>
  <conditionalFormatting sqref="E213:E214 E603">
    <cfRule type="containsText" dxfId="2" priority="619" operator="containsText" text="Active">
      <formula>NOT(ISERROR(SEARCH(("Active"),(E213))))</formula>
    </cfRule>
  </conditionalFormatting>
  <conditionalFormatting sqref="D213:D214 D603">
    <cfRule type="containsText" dxfId="3" priority="620" operator="containsText" text="Youth">
      <formula>NOT(ISERROR(SEARCH(("Youth"),(D213))))</formula>
    </cfRule>
  </conditionalFormatting>
  <conditionalFormatting sqref="J213:J214 L603">
    <cfRule type="containsBlanks" dxfId="8" priority="621">
      <formula>LEN(TRIM(J213))=0</formula>
    </cfRule>
  </conditionalFormatting>
  <conditionalFormatting sqref="J213:J214 L603">
    <cfRule type="containsBlanks" dxfId="10" priority="622">
      <formula>LEN(TRIM(J213))=0</formula>
    </cfRule>
  </conditionalFormatting>
  <conditionalFormatting sqref="E213:E214 E601:E602">
    <cfRule type="containsText" dxfId="1" priority="623" operator="containsText" text="Lapsed">
      <formula>NOT(ISERROR(SEARCH(("Lapsed"),(E213))))</formula>
    </cfRule>
  </conditionalFormatting>
  <conditionalFormatting sqref="E213:E214 E601:E602">
    <cfRule type="containsText" dxfId="2" priority="624" operator="containsText" text="Active">
      <formula>NOT(ISERROR(SEARCH(("Active"),(E213))))</formula>
    </cfRule>
  </conditionalFormatting>
  <conditionalFormatting sqref="D213:D214 D601:D602">
    <cfRule type="containsText" dxfId="3" priority="625" operator="containsText" text="Youth">
      <formula>NOT(ISERROR(SEARCH(("Youth"),(D213))))</formula>
    </cfRule>
  </conditionalFormatting>
  <conditionalFormatting sqref="J213:J214 L601:L602">
    <cfRule type="containsBlanks" dxfId="8" priority="626">
      <formula>LEN(TRIM(J213))=0</formula>
    </cfRule>
  </conditionalFormatting>
  <conditionalFormatting sqref="J213:J214 L601:L602">
    <cfRule type="containsBlanks" dxfId="10" priority="627">
      <formula>LEN(TRIM(J213))=0</formula>
    </cfRule>
  </conditionalFormatting>
  <conditionalFormatting sqref="E213:E214 E600">
    <cfRule type="containsText" dxfId="1" priority="628" operator="containsText" text="Lapsed">
      <formula>NOT(ISERROR(SEARCH(("Lapsed"),(E213))))</formula>
    </cfRule>
  </conditionalFormatting>
  <conditionalFormatting sqref="E213:E214 E600">
    <cfRule type="containsText" dxfId="2" priority="629" operator="containsText" text="Active">
      <formula>NOT(ISERROR(SEARCH(("Active"),(E213))))</formula>
    </cfRule>
  </conditionalFormatting>
  <conditionalFormatting sqref="D213:D214 D600">
    <cfRule type="containsText" dxfId="3" priority="630" operator="containsText" text="Youth">
      <formula>NOT(ISERROR(SEARCH(("Youth"),(D213))))</formula>
    </cfRule>
  </conditionalFormatting>
  <conditionalFormatting sqref="J213:J214 L600">
    <cfRule type="containsBlanks" dxfId="8" priority="631">
      <formula>LEN(TRIM(J213))=0</formula>
    </cfRule>
  </conditionalFormatting>
  <conditionalFormatting sqref="J213:J214 L600">
    <cfRule type="containsBlanks" dxfId="10" priority="632">
      <formula>LEN(TRIM(J213))=0</formula>
    </cfRule>
  </conditionalFormatting>
  <conditionalFormatting sqref="E213:E214 E599">
    <cfRule type="containsText" dxfId="1" priority="633" operator="containsText" text="Lapsed">
      <formula>NOT(ISERROR(SEARCH(("Lapsed"),(E213))))</formula>
    </cfRule>
  </conditionalFormatting>
  <conditionalFormatting sqref="E213:E214 E599">
    <cfRule type="containsText" dxfId="2" priority="634" operator="containsText" text="Active">
      <formula>NOT(ISERROR(SEARCH(("Active"),(E213))))</formula>
    </cfRule>
  </conditionalFormatting>
  <conditionalFormatting sqref="D213:D214 D599">
    <cfRule type="containsText" dxfId="3" priority="635" operator="containsText" text="Youth">
      <formula>NOT(ISERROR(SEARCH(("Youth"),(D213))))</formula>
    </cfRule>
  </conditionalFormatting>
  <conditionalFormatting sqref="J213:J214 L599">
    <cfRule type="containsBlanks" dxfId="8" priority="636">
      <formula>LEN(TRIM(J213))=0</formula>
    </cfRule>
  </conditionalFormatting>
  <conditionalFormatting sqref="J213:J214 L599">
    <cfRule type="containsBlanks" dxfId="10" priority="637">
      <formula>LEN(TRIM(J213))=0</formula>
    </cfRule>
  </conditionalFormatting>
  <conditionalFormatting sqref="E213:E214 E598">
    <cfRule type="containsText" dxfId="1" priority="638" operator="containsText" text="Lapsed">
      <formula>NOT(ISERROR(SEARCH(("Lapsed"),(E213))))</formula>
    </cfRule>
  </conditionalFormatting>
  <conditionalFormatting sqref="E213:E214 E598">
    <cfRule type="containsText" dxfId="2" priority="639" operator="containsText" text="Active">
      <formula>NOT(ISERROR(SEARCH(("Active"),(E213))))</formula>
    </cfRule>
  </conditionalFormatting>
  <conditionalFormatting sqref="D213:D214 D598">
    <cfRule type="containsText" dxfId="3" priority="640" operator="containsText" text="Youth">
      <formula>NOT(ISERROR(SEARCH(("Youth"),(D213))))</formula>
    </cfRule>
  </conditionalFormatting>
  <conditionalFormatting sqref="J213:J214 L598">
    <cfRule type="containsBlanks" dxfId="8" priority="641">
      <formula>LEN(TRIM(J213))=0</formula>
    </cfRule>
  </conditionalFormatting>
  <conditionalFormatting sqref="J213:J214 L598">
    <cfRule type="containsBlanks" dxfId="10" priority="642">
      <formula>LEN(TRIM(J213))=0</formula>
    </cfRule>
  </conditionalFormatting>
  <conditionalFormatting sqref="E213:E214 E597">
    <cfRule type="containsText" dxfId="1" priority="643" operator="containsText" text="Lapsed">
      <formula>NOT(ISERROR(SEARCH(("Lapsed"),(E213))))</formula>
    </cfRule>
  </conditionalFormatting>
  <conditionalFormatting sqref="E213:E214 E597">
    <cfRule type="containsText" dxfId="2" priority="644" operator="containsText" text="Active">
      <formula>NOT(ISERROR(SEARCH(("Active"),(E213))))</formula>
    </cfRule>
  </conditionalFormatting>
  <conditionalFormatting sqref="D213:D214 D597">
    <cfRule type="containsText" dxfId="3" priority="645" operator="containsText" text="Youth">
      <formula>NOT(ISERROR(SEARCH(("Youth"),(D213))))</formula>
    </cfRule>
  </conditionalFormatting>
  <conditionalFormatting sqref="J213:J214 L597">
    <cfRule type="containsBlanks" dxfId="8" priority="646">
      <formula>LEN(TRIM(J213))=0</formula>
    </cfRule>
  </conditionalFormatting>
  <conditionalFormatting sqref="J213:J214 L597">
    <cfRule type="containsBlanks" dxfId="10" priority="647">
      <formula>LEN(TRIM(J213))=0</formula>
    </cfRule>
  </conditionalFormatting>
  <conditionalFormatting sqref="E213:E214 E596">
    <cfRule type="containsText" dxfId="1" priority="648" operator="containsText" text="Lapsed">
      <formula>NOT(ISERROR(SEARCH(("Lapsed"),(E213))))</formula>
    </cfRule>
  </conditionalFormatting>
  <conditionalFormatting sqref="E213:E214 E596">
    <cfRule type="containsText" dxfId="2" priority="649" operator="containsText" text="Active">
      <formula>NOT(ISERROR(SEARCH(("Active"),(E213))))</formula>
    </cfRule>
  </conditionalFormatting>
  <conditionalFormatting sqref="D213:D214 D596">
    <cfRule type="containsText" dxfId="3" priority="650" operator="containsText" text="Youth">
      <formula>NOT(ISERROR(SEARCH(("Youth"),(D213))))</formula>
    </cfRule>
  </conditionalFormatting>
  <conditionalFormatting sqref="J213:J214 L596">
    <cfRule type="containsBlanks" dxfId="8" priority="651">
      <formula>LEN(TRIM(J213))=0</formula>
    </cfRule>
  </conditionalFormatting>
  <conditionalFormatting sqref="J213:J214 L596">
    <cfRule type="containsBlanks" dxfId="10" priority="652">
      <formula>LEN(TRIM(J213))=0</formula>
    </cfRule>
  </conditionalFormatting>
  <conditionalFormatting sqref="E213:E214 E595">
    <cfRule type="containsText" dxfId="1" priority="653" operator="containsText" text="Lapsed">
      <formula>NOT(ISERROR(SEARCH(("Lapsed"),(E213))))</formula>
    </cfRule>
  </conditionalFormatting>
  <conditionalFormatting sqref="E213:E214 E595">
    <cfRule type="containsText" dxfId="2" priority="654" operator="containsText" text="Active">
      <formula>NOT(ISERROR(SEARCH(("Active"),(E213))))</formula>
    </cfRule>
  </conditionalFormatting>
  <conditionalFormatting sqref="D213:D214 D595">
    <cfRule type="containsText" dxfId="3" priority="655" operator="containsText" text="Youth">
      <formula>NOT(ISERROR(SEARCH(("Youth"),(D213))))</formula>
    </cfRule>
  </conditionalFormatting>
  <conditionalFormatting sqref="J213:J214 L595">
    <cfRule type="containsBlanks" dxfId="8" priority="656">
      <formula>LEN(TRIM(J213))=0</formula>
    </cfRule>
  </conditionalFormatting>
  <conditionalFormatting sqref="J213:J214 L595">
    <cfRule type="containsBlanks" dxfId="10" priority="657">
      <formula>LEN(TRIM(J213))=0</formula>
    </cfRule>
  </conditionalFormatting>
  <conditionalFormatting sqref="E213:E214 E594">
    <cfRule type="containsText" dxfId="1" priority="658" operator="containsText" text="Lapsed">
      <formula>NOT(ISERROR(SEARCH(("Lapsed"),(E213))))</formula>
    </cfRule>
  </conditionalFormatting>
  <conditionalFormatting sqref="E213:E214 E594">
    <cfRule type="containsText" dxfId="2" priority="659" operator="containsText" text="Active">
      <formula>NOT(ISERROR(SEARCH(("Active"),(E213))))</formula>
    </cfRule>
  </conditionalFormatting>
  <conditionalFormatting sqref="D213:D214 D594">
    <cfRule type="containsText" dxfId="3" priority="660" operator="containsText" text="Youth">
      <formula>NOT(ISERROR(SEARCH(("Youth"),(D213))))</formula>
    </cfRule>
  </conditionalFormatting>
  <conditionalFormatting sqref="J213:J214 L594">
    <cfRule type="containsBlanks" dxfId="8" priority="661">
      <formula>LEN(TRIM(J213))=0</formula>
    </cfRule>
  </conditionalFormatting>
  <conditionalFormatting sqref="J213:J214 L594">
    <cfRule type="containsBlanks" dxfId="10" priority="662">
      <formula>LEN(TRIM(J213))=0</formula>
    </cfRule>
  </conditionalFormatting>
  <conditionalFormatting sqref="E213:E214 E592:E593">
    <cfRule type="containsText" dxfId="1" priority="663" operator="containsText" text="Lapsed">
      <formula>NOT(ISERROR(SEARCH(("Lapsed"),(E213))))</formula>
    </cfRule>
  </conditionalFormatting>
  <conditionalFormatting sqref="E213:E214 E592:E593">
    <cfRule type="containsText" dxfId="2" priority="664" operator="containsText" text="Active">
      <formula>NOT(ISERROR(SEARCH(("Active"),(E213))))</formula>
    </cfRule>
  </conditionalFormatting>
  <conditionalFormatting sqref="D213:D214 D592:D593">
    <cfRule type="containsText" dxfId="3" priority="665" operator="containsText" text="Youth">
      <formula>NOT(ISERROR(SEARCH(("Youth"),(D213))))</formula>
    </cfRule>
  </conditionalFormatting>
  <conditionalFormatting sqref="J213:J214 L592:L593">
    <cfRule type="containsBlanks" dxfId="8" priority="666">
      <formula>LEN(TRIM(J213))=0</formula>
    </cfRule>
  </conditionalFormatting>
  <conditionalFormatting sqref="J213:J214 L592:L593">
    <cfRule type="containsBlanks" dxfId="10" priority="667">
      <formula>LEN(TRIM(J213))=0</formula>
    </cfRule>
  </conditionalFormatting>
  <conditionalFormatting sqref="E213:E214 E591">
    <cfRule type="containsText" dxfId="1" priority="668" operator="containsText" text="Lapsed">
      <formula>NOT(ISERROR(SEARCH(("Lapsed"),(E213))))</formula>
    </cfRule>
  </conditionalFormatting>
  <conditionalFormatting sqref="E213:E214 E591">
    <cfRule type="containsText" dxfId="2" priority="669" operator="containsText" text="Active">
      <formula>NOT(ISERROR(SEARCH(("Active"),(E213))))</formula>
    </cfRule>
  </conditionalFormatting>
  <conditionalFormatting sqref="D213:D214 D591">
    <cfRule type="containsText" dxfId="3" priority="670" operator="containsText" text="Youth">
      <formula>NOT(ISERROR(SEARCH(("Youth"),(D213))))</formula>
    </cfRule>
  </conditionalFormatting>
  <conditionalFormatting sqref="J213:J214 L591">
    <cfRule type="containsBlanks" dxfId="8" priority="671">
      <formula>LEN(TRIM(J213))=0</formula>
    </cfRule>
  </conditionalFormatting>
  <conditionalFormatting sqref="J213:J214 L591">
    <cfRule type="containsBlanks" dxfId="10" priority="672">
      <formula>LEN(TRIM(J213))=0</formula>
    </cfRule>
  </conditionalFormatting>
  <conditionalFormatting sqref="E213:E214 E590">
    <cfRule type="containsText" dxfId="1" priority="673" operator="containsText" text="Lapsed">
      <formula>NOT(ISERROR(SEARCH(("Lapsed"),(E213))))</formula>
    </cfRule>
  </conditionalFormatting>
  <conditionalFormatting sqref="E213:E214 E590">
    <cfRule type="containsText" dxfId="2" priority="674" operator="containsText" text="Active">
      <formula>NOT(ISERROR(SEARCH(("Active"),(E213))))</formula>
    </cfRule>
  </conditionalFormatting>
  <conditionalFormatting sqref="D213:D214 D590">
    <cfRule type="containsText" dxfId="3" priority="675" operator="containsText" text="Youth">
      <formula>NOT(ISERROR(SEARCH(("Youth"),(D213))))</formula>
    </cfRule>
  </conditionalFormatting>
  <conditionalFormatting sqref="J213:J214 L590">
    <cfRule type="containsBlanks" dxfId="8" priority="676">
      <formula>LEN(TRIM(J213))=0</formula>
    </cfRule>
  </conditionalFormatting>
  <conditionalFormatting sqref="J213:J214 L590">
    <cfRule type="containsBlanks" dxfId="10" priority="677">
      <formula>LEN(TRIM(J213))=0</formula>
    </cfRule>
  </conditionalFormatting>
  <conditionalFormatting sqref="E213:E214 E589">
    <cfRule type="containsText" dxfId="1" priority="678" operator="containsText" text="Lapsed">
      <formula>NOT(ISERROR(SEARCH(("Lapsed"),(E213))))</formula>
    </cfRule>
  </conditionalFormatting>
  <conditionalFormatting sqref="E213:E214 E589">
    <cfRule type="containsText" dxfId="2" priority="679" operator="containsText" text="Active">
      <formula>NOT(ISERROR(SEARCH(("Active"),(E213))))</formula>
    </cfRule>
  </conditionalFormatting>
  <conditionalFormatting sqref="D213:D214 D589">
    <cfRule type="containsText" dxfId="3" priority="680" operator="containsText" text="Youth">
      <formula>NOT(ISERROR(SEARCH(("Youth"),(D213))))</formula>
    </cfRule>
  </conditionalFormatting>
  <conditionalFormatting sqref="J213:J214 L589">
    <cfRule type="containsBlanks" dxfId="8" priority="681">
      <formula>LEN(TRIM(J213))=0</formula>
    </cfRule>
  </conditionalFormatting>
  <conditionalFormatting sqref="J213:J214 L589">
    <cfRule type="containsBlanks" dxfId="10" priority="682">
      <formula>LEN(TRIM(J213))=0</formula>
    </cfRule>
  </conditionalFormatting>
  <conditionalFormatting sqref="E213:E214 E588">
    <cfRule type="containsText" dxfId="1" priority="683" operator="containsText" text="Lapsed">
      <formula>NOT(ISERROR(SEARCH(("Lapsed"),(E213))))</formula>
    </cfRule>
  </conditionalFormatting>
  <conditionalFormatting sqref="E213:E214 E588">
    <cfRule type="containsText" dxfId="2" priority="684" operator="containsText" text="Active">
      <formula>NOT(ISERROR(SEARCH(("Active"),(E213))))</formula>
    </cfRule>
  </conditionalFormatting>
  <conditionalFormatting sqref="D213:D214 D588">
    <cfRule type="containsText" dxfId="3" priority="685" operator="containsText" text="Youth">
      <formula>NOT(ISERROR(SEARCH(("Youth"),(D213))))</formula>
    </cfRule>
  </conditionalFormatting>
  <conditionalFormatting sqref="J213:J214 L588">
    <cfRule type="containsBlanks" dxfId="8" priority="686">
      <formula>LEN(TRIM(J213))=0</formula>
    </cfRule>
  </conditionalFormatting>
  <conditionalFormatting sqref="J213:J214 L588">
    <cfRule type="containsBlanks" dxfId="10" priority="687">
      <formula>LEN(TRIM(J213))=0</formula>
    </cfRule>
  </conditionalFormatting>
  <conditionalFormatting sqref="E213:E214 E587">
    <cfRule type="containsText" dxfId="1" priority="688" operator="containsText" text="Lapsed">
      <formula>NOT(ISERROR(SEARCH(("Lapsed"),(E213))))</formula>
    </cfRule>
  </conditionalFormatting>
  <conditionalFormatting sqref="E213:E214 E587">
    <cfRule type="containsText" dxfId="2" priority="689" operator="containsText" text="Active">
      <formula>NOT(ISERROR(SEARCH(("Active"),(E213))))</formula>
    </cfRule>
  </conditionalFormatting>
  <conditionalFormatting sqref="D213:D214 D587">
    <cfRule type="containsText" dxfId="3" priority="690" operator="containsText" text="Youth">
      <formula>NOT(ISERROR(SEARCH(("Youth"),(D213))))</formula>
    </cfRule>
  </conditionalFormatting>
  <conditionalFormatting sqref="J213:J214 L587">
    <cfRule type="containsBlanks" dxfId="8" priority="691">
      <formula>LEN(TRIM(J213))=0</formula>
    </cfRule>
  </conditionalFormatting>
  <conditionalFormatting sqref="J213:J214 L587">
    <cfRule type="containsBlanks" dxfId="10" priority="692">
      <formula>LEN(TRIM(J213))=0</formula>
    </cfRule>
  </conditionalFormatting>
  <conditionalFormatting sqref="E213:E214 E586">
    <cfRule type="containsText" dxfId="1" priority="693" operator="containsText" text="Lapsed">
      <formula>NOT(ISERROR(SEARCH(("Lapsed"),(E213))))</formula>
    </cfRule>
  </conditionalFormatting>
  <conditionalFormatting sqref="E213:E214 E586">
    <cfRule type="containsText" dxfId="2" priority="694" operator="containsText" text="Active">
      <formula>NOT(ISERROR(SEARCH(("Active"),(E213))))</formula>
    </cfRule>
  </conditionalFormatting>
  <conditionalFormatting sqref="D213:D214 D586">
    <cfRule type="containsText" dxfId="3" priority="695" operator="containsText" text="Youth">
      <formula>NOT(ISERROR(SEARCH(("Youth"),(D213))))</formula>
    </cfRule>
  </conditionalFormatting>
  <conditionalFormatting sqref="J213:J214 L586">
    <cfRule type="containsBlanks" dxfId="8" priority="696">
      <formula>LEN(TRIM(J213))=0</formula>
    </cfRule>
  </conditionalFormatting>
  <conditionalFormatting sqref="J213:J214 L586">
    <cfRule type="containsBlanks" dxfId="10" priority="697">
      <formula>LEN(TRIM(J213))=0</formula>
    </cfRule>
  </conditionalFormatting>
  <conditionalFormatting sqref="E213:E214 E585">
    <cfRule type="containsText" dxfId="1" priority="698" operator="containsText" text="Lapsed">
      <formula>NOT(ISERROR(SEARCH(("Lapsed"),(E213))))</formula>
    </cfRule>
  </conditionalFormatting>
  <conditionalFormatting sqref="E213:E214 E585">
    <cfRule type="containsText" dxfId="2" priority="699" operator="containsText" text="Active">
      <formula>NOT(ISERROR(SEARCH(("Active"),(E213))))</formula>
    </cfRule>
  </conditionalFormatting>
  <conditionalFormatting sqref="D213:D214 D585">
    <cfRule type="containsText" dxfId="3" priority="700" operator="containsText" text="Youth">
      <formula>NOT(ISERROR(SEARCH(("Youth"),(D213))))</formula>
    </cfRule>
  </conditionalFormatting>
  <conditionalFormatting sqref="J213:J214 L585">
    <cfRule type="containsBlanks" dxfId="8" priority="701">
      <formula>LEN(TRIM(J213))=0</formula>
    </cfRule>
  </conditionalFormatting>
  <conditionalFormatting sqref="J213:J214 L585">
    <cfRule type="containsBlanks" dxfId="10" priority="702">
      <formula>LEN(TRIM(J213))=0</formula>
    </cfRule>
  </conditionalFormatting>
  <conditionalFormatting sqref="E213:E214 E584">
    <cfRule type="containsText" dxfId="1" priority="703" operator="containsText" text="Lapsed">
      <formula>NOT(ISERROR(SEARCH(("Lapsed"),(E213))))</formula>
    </cfRule>
  </conditionalFormatting>
  <conditionalFormatting sqref="E213:E214 E584">
    <cfRule type="containsText" dxfId="2" priority="704" operator="containsText" text="Active">
      <formula>NOT(ISERROR(SEARCH(("Active"),(E213))))</formula>
    </cfRule>
  </conditionalFormatting>
  <conditionalFormatting sqref="D213:D214 D584">
    <cfRule type="containsText" dxfId="3" priority="705" operator="containsText" text="Youth">
      <formula>NOT(ISERROR(SEARCH(("Youth"),(D213))))</formula>
    </cfRule>
  </conditionalFormatting>
  <conditionalFormatting sqref="J213:J214 L584">
    <cfRule type="containsBlanks" dxfId="8" priority="706">
      <formula>LEN(TRIM(J213))=0</formula>
    </cfRule>
  </conditionalFormatting>
  <conditionalFormatting sqref="J213:J214 L584">
    <cfRule type="containsBlanks" dxfId="10" priority="707">
      <formula>LEN(TRIM(J213))=0</formula>
    </cfRule>
  </conditionalFormatting>
  <conditionalFormatting sqref="E213:E214 E583">
    <cfRule type="containsText" dxfId="1" priority="708" operator="containsText" text="Lapsed">
      <formula>NOT(ISERROR(SEARCH(("Lapsed"),(E213))))</formula>
    </cfRule>
  </conditionalFormatting>
  <conditionalFormatting sqref="E213:E214 E583">
    <cfRule type="containsText" dxfId="2" priority="709" operator="containsText" text="Active">
      <formula>NOT(ISERROR(SEARCH(("Active"),(E213))))</formula>
    </cfRule>
  </conditionalFormatting>
  <conditionalFormatting sqref="D213:D214 D583">
    <cfRule type="containsText" dxfId="3" priority="710" operator="containsText" text="Youth">
      <formula>NOT(ISERROR(SEARCH(("Youth"),(D213))))</formula>
    </cfRule>
  </conditionalFormatting>
  <conditionalFormatting sqref="J213:J214 L583">
    <cfRule type="containsBlanks" dxfId="8" priority="711">
      <formula>LEN(TRIM(J213))=0</formula>
    </cfRule>
  </conditionalFormatting>
  <conditionalFormatting sqref="J213:J214 L583">
    <cfRule type="containsBlanks" dxfId="10" priority="712">
      <formula>LEN(TRIM(J213))=0</formula>
    </cfRule>
  </conditionalFormatting>
  <conditionalFormatting sqref="E213:E214 E582">
    <cfRule type="containsText" dxfId="1" priority="713" operator="containsText" text="Lapsed">
      <formula>NOT(ISERROR(SEARCH(("Lapsed"),(E213))))</formula>
    </cfRule>
  </conditionalFormatting>
  <conditionalFormatting sqref="E213:E214 E582">
    <cfRule type="containsText" dxfId="2" priority="714" operator="containsText" text="Active">
      <formula>NOT(ISERROR(SEARCH(("Active"),(E213))))</formula>
    </cfRule>
  </conditionalFormatting>
  <conditionalFormatting sqref="D213:D214 D582">
    <cfRule type="containsText" dxfId="3" priority="715" operator="containsText" text="Youth">
      <formula>NOT(ISERROR(SEARCH(("Youth"),(D213))))</formula>
    </cfRule>
  </conditionalFormatting>
  <conditionalFormatting sqref="J213:J214 L582">
    <cfRule type="containsBlanks" dxfId="8" priority="716">
      <formula>LEN(TRIM(J213))=0</formula>
    </cfRule>
  </conditionalFormatting>
  <conditionalFormatting sqref="J213:J214 L582">
    <cfRule type="containsBlanks" dxfId="10" priority="717">
      <formula>LEN(TRIM(J213))=0</formula>
    </cfRule>
  </conditionalFormatting>
  <conditionalFormatting sqref="E213:E214 E580:E581">
    <cfRule type="containsText" dxfId="1" priority="718" operator="containsText" text="Lapsed">
      <formula>NOT(ISERROR(SEARCH(("Lapsed"),(E213))))</formula>
    </cfRule>
  </conditionalFormatting>
  <conditionalFormatting sqref="E213:E214 E580:E581">
    <cfRule type="containsText" dxfId="2" priority="719" operator="containsText" text="Active">
      <formula>NOT(ISERROR(SEARCH(("Active"),(E213))))</formula>
    </cfRule>
  </conditionalFormatting>
  <conditionalFormatting sqref="D213:D214 D580:D581">
    <cfRule type="containsText" dxfId="3" priority="720" operator="containsText" text="Youth">
      <formula>NOT(ISERROR(SEARCH(("Youth"),(D213))))</formula>
    </cfRule>
  </conditionalFormatting>
  <conditionalFormatting sqref="J213:J214 L580:L581">
    <cfRule type="containsBlanks" dxfId="8" priority="721">
      <formula>LEN(TRIM(J213))=0</formula>
    </cfRule>
  </conditionalFormatting>
  <conditionalFormatting sqref="J213:J214 L580:L581">
    <cfRule type="containsBlanks" dxfId="10" priority="722">
      <formula>LEN(TRIM(J213))=0</formula>
    </cfRule>
  </conditionalFormatting>
  <conditionalFormatting sqref="E213:E214 E579">
    <cfRule type="containsText" dxfId="1" priority="723" operator="containsText" text="Lapsed">
      <formula>NOT(ISERROR(SEARCH(("Lapsed"),(E213))))</formula>
    </cfRule>
  </conditionalFormatting>
  <conditionalFormatting sqref="E213:E214 E579">
    <cfRule type="containsText" dxfId="2" priority="724" operator="containsText" text="Active">
      <formula>NOT(ISERROR(SEARCH(("Active"),(E213))))</formula>
    </cfRule>
  </conditionalFormatting>
  <conditionalFormatting sqref="D213:D214 D579">
    <cfRule type="containsText" dxfId="3" priority="725" operator="containsText" text="Youth">
      <formula>NOT(ISERROR(SEARCH(("Youth"),(D213))))</formula>
    </cfRule>
  </conditionalFormatting>
  <conditionalFormatting sqref="J213:J214 L579">
    <cfRule type="containsBlanks" dxfId="8" priority="726">
      <formula>LEN(TRIM(J213))=0</formula>
    </cfRule>
  </conditionalFormatting>
  <conditionalFormatting sqref="J213:J214 L579">
    <cfRule type="containsBlanks" dxfId="10" priority="727">
      <formula>LEN(TRIM(J213))=0</formula>
    </cfRule>
  </conditionalFormatting>
  <conditionalFormatting sqref="E213:E214 E578">
    <cfRule type="containsText" dxfId="1" priority="728" operator="containsText" text="Lapsed">
      <formula>NOT(ISERROR(SEARCH(("Lapsed"),(E213))))</formula>
    </cfRule>
  </conditionalFormatting>
  <conditionalFormatting sqref="E213:E214 E578">
    <cfRule type="containsText" dxfId="2" priority="729" operator="containsText" text="Active">
      <formula>NOT(ISERROR(SEARCH(("Active"),(E213))))</formula>
    </cfRule>
  </conditionalFormatting>
  <conditionalFormatting sqref="D213:D214 D578">
    <cfRule type="containsText" dxfId="3" priority="730" operator="containsText" text="Youth">
      <formula>NOT(ISERROR(SEARCH(("Youth"),(D213))))</formula>
    </cfRule>
  </conditionalFormatting>
  <conditionalFormatting sqref="J213:J214 L578">
    <cfRule type="containsBlanks" dxfId="8" priority="731">
      <formula>LEN(TRIM(J213))=0</formula>
    </cfRule>
  </conditionalFormatting>
  <conditionalFormatting sqref="J213:J214 L578">
    <cfRule type="containsBlanks" dxfId="10" priority="732">
      <formula>LEN(TRIM(J213))=0</formula>
    </cfRule>
  </conditionalFormatting>
  <conditionalFormatting sqref="E213:E214 E577">
    <cfRule type="containsText" dxfId="1" priority="733" operator="containsText" text="Lapsed">
      <formula>NOT(ISERROR(SEARCH(("Lapsed"),(E213))))</formula>
    </cfRule>
  </conditionalFormatting>
  <conditionalFormatting sqref="E213:E214 E577">
    <cfRule type="containsText" dxfId="2" priority="734" operator="containsText" text="Active">
      <formula>NOT(ISERROR(SEARCH(("Active"),(E213))))</formula>
    </cfRule>
  </conditionalFormatting>
  <conditionalFormatting sqref="D213:D214 D577">
    <cfRule type="containsText" dxfId="3" priority="735" operator="containsText" text="Youth">
      <formula>NOT(ISERROR(SEARCH(("Youth"),(D213))))</formula>
    </cfRule>
  </conditionalFormatting>
  <conditionalFormatting sqref="J213:J214 L577">
    <cfRule type="containsBlanks" dxfId="8" priority="736">
      <formula>LEN(TRIM(J213))=0</formula>
    </cfRule>
  </conditionalFormatting>
  <conditionalFormatting sqref="J213:J214 L577">
    <cfRule type="containsBlanks" dxfId="10" priority="737">
      <formula>LEN(TRIM(J213))=0</formula>
    </cfRule>
  </conditionalFormatting>
  <conditionalFormatting sqref="E213:E214 E576">
    <cfRule type="containsText" dxfId="1" priority="738" operator="containsText" text="Lapsed">
      <formula>NOT(ISERROR(SEARCH(("Lapsed"),(E213))))</formula>
    </cfRule>
  </conditionalFormatting>
  <conditionalFormatting sqref="E213:E214 E576">
    <cfRule type="containsText" dxfId="2" priority="739" operator="containsText" text="Active">
      <formula>NOT(ISERROR(SEARCH(("Active"),(E213))))</formula>
    </cfRule>
  </conditionalFormatting>
  <conditionalFormatting sqref="D213:D214 D576">
    <cfRule type="containsText" dxfId="3" priority="740" operator="containsText" text="Youth">
      <formula>NOT(ISERROR(SEARCH(("Youth"),(D213))))</formula>
    </cfRule>
  </conditionalFormatting>
  <conditionalFormatting sqref="J213:J214 L576">
    <cfRule type="containsBlanks" dxfId="8" priority="741">
      <formula>LEN(TRIM(J213))=0</formula>
    </cfRule>
  </conditionalFormatting>
  <conditionalFormatting sqref="J213:J214 L576">
    <cfRule type="containsBlanks" dxfId="10" priority="742">
      <formula>LEN(TRIM(J213))=0</formula>
    </cfRule>
  </conditionalFormatting>
  <conditionalFormatting sqref="E213:E214 E575">
    <cfRule type="containsText" dxfId="1" priority="743" operator="containsText" text="Lapsed">
      <formula>NOT(ISERROR(SEARCH(("Lapsed"),(E213))))</formula>
    </cfRule>
  </conditionalFormatting>
  <conditionalFormatting sqref="E213:E214 E575">
    <cfRule type="containsText" dxfId="2" priority="744" operator="containsText" text="Active">
      <formula>NOT(ISERROR(SEARCH(("Active"),(E213))))</formula>
    </cfRule>
  </conditionalFormatting>
  <conditionalFormatting sqref="D213:D214 D575">
    <cfRule type="containsText" dxfId="3" priority="745" operator="containsText" text="Youth">
      <formula>NOT(ISERROR(SEARCH(("Youth"),(D213))))</formula>
    </cfRule>
  </conditionalFormatting>
  <conditionalFormatting sqref="J213:J214 L575">
    <cfRule type="containsBlanks" dxfId="8" priority="746">
      <formula>LEN(TRIM(J213))=0</formula>
    </cfRule>
  </conditionalFormatting>
  <conditionalFormatting sqref="J213:J214 L575">
    <cfRule type="containsBlanks" dxfId="10" priority="747">
      <formula>LEN(TRIM(J213))=0</formula>
    </cfRule>
  </conditionalFormatting>
  <conditionalFormatting sqref="E213:E214 E574">
    <cfRule type="containsText" dxfId="1" priority="748" operator="containsText" text="Lapsed">
      <formula>NOT(ISERROR(SEARCH(("Lapsed"),(E213))))</formula>
    </cfRule>
  </conditionalFormatting>
  <conditionalFormatting sqref="E213:E214 E574">
    <cfRule type="containsText" dxfId="2" priority="749" operator="containsText" text="Active">
      <formula>NOT(ISERROR(SEARCH(("Active"),(E213))))</formula>
    </cfRule>
  </conditionalFormatting>
  <conditionalFormatting sqref="D213:D214 D574">
    <cfRule type="containsText" dxfId="3" priority="750" operator="containsText" text="Youth">
      <formula>NOT(ISERROR(SEARCH(("Youth"),(D213))))</formula>
    </cfRule>
  </conditionalFormatting>
  <conditionalFormatting sqref="J213:J214 L574">
    <cfRule type="containsBlanks" dxfId="8" priority="751">
      <formula>LEN(TRIM(J213))=0</formula>
    </cfRule>
  </conditionalFormatting>
  <conditionalFormatting sqref="J213:J214 L574">
    <cfRule type="containsBlanks" dxfId="10" priority="752">
      <formula>LEN(TRIM(J213))=0</formula>
    </cfRule>
  </conditionalFormatting>
  <conditionalFormatting sqref="E213:E214 E573">
    <cfRule type="containsText" dxfId="1" priority="753" operator="containsText" text="Lapsed">
      <formula>NOT(ISERROR(SEARCH(("Lapsed"),(E213))))</formula>
    </cfRule>
  </conditionalFormatting>
  <conditionalFormatting sqref="E213:E214 E573">
    <cfRule type="containsText" dxfId="2" priority="754" operator="containsText" text="Active">
      <formula>NOT(ISERROR(SEARCH(("Active"),(E213))))</formula>
    </cfRule>
  </conditionalFormatting>
  <conditionalFormatting sqref="D213:D214 D573">
    <cfRule type="containsText" dxfId="3" priority="755" operator="containsText" text="Youth">
      <formula>NOT(ISERROR(SEARCH(("Youth"),(D213))))</formula>
    </cfRule>
  </conditionalFormatting>
  <conditionalFormatting sqref="J213:J214 L573">
    <cfRule type="containsBlanks" dxfId="8" priority="756">
      <formula>LEN(TRIM(J213))=0</formula>
    </cfRule>
  </conditionalFormatting>
  <conditionalFormatting sqref="J213:J214 L573">
    <cfRule type="containsBlanks" dxfId="10" priority="757">
      <formula>LEN(TRIM(J213))=0</formula>
    </cfRule>
  </conditionalFormatting>
  <conditionalFormatting sqref="E213:E214 E570:E572">
    <cfRule type="containsText" dxfId="1" priority="758" operator="containsText" text="Lapsed">
      <formula>NOT(ISERROR(SEARCH(("Lapsed"),(E213))))</formula>
    </cfRule>
  </conditionalFormatting>
  <conditionalFormatting sqref="E213:E214 E570:E572">
    <cfRule type="containsText" dxfId="2" priority="759" operator="containsText" text="Active">
      <formula>NOT(ISERROR(SEARCH(("Active"),(E213))))</formula>
    </cfRule>
  </conditionalFormatting>
  <conditionalFormatting sqref="D213:D214 D570:D572">
    <cfRule type="containsText" dxfId="3" priority="760" operator="containsText" text="Youth">
      <formula>NOT(ISERROR(SEARCH(("Youth"),(D213))))</formula>
    </cfRule>
  </conditionalFormatting>
  <conditionalFormatting sqref="J213:J214 L570:L572">
    <cfRule type="containsBlanks" dxfId="8" priority="761">
      <formula>LEN(TRIM(J213))=0</formula>
    </cfRule>
  </conditionalFormatting>
  <conditionalFormatting sqref="J213:J214 L570:L572">
    <cfRule type="containsBlanks" dxfId="10" priority="762">
      <formula>LEN(TRIM(J213))=0</formula>
    </cfRule>
  </conditionalFormatting>
  <conditionalFormatting sqref="E213:E214 E569">
    <cfRule type="containsText" dxfId="1" priority="763" operator="containsText" text="Lapsed">
      <formula>NOT(ISERROR(SEARCH(("Lapsed"),(E213))))</formula>
    </cfRule>
  </conditionalFormatting>
  <conditionalFormatting sqref="E213:E214 E569">
    <cfRule type="containsText" dxfId="2" priority="764" operator="containsText" text="Active">
      <formula>NOT(ISERROR(SEARCH(("Active"),(E213))))</formula>
    </cfRule>
  </conditionalFormatting>
  <conditionalFormatting sqref="D213:D214 D569">
    <cfRule type="containsText" dxfId="3" priority="765" operator="containsText" text="Youth">
      <formula>NOT(ISERROR(SEARCH(("Youth"),(D213))))</formula>
    </cfRule>
  </conditionalFormatting>
  <conditionalFormatting sqref="J213:J214 L569">
    <cfRule type="containsBlanks" dxfId="8" priority="766">
      <formula>LEN(TRIM(J213))=0</formula>
    </cfRule>
  </conditionalFormatting>
  <conditionalFormatting sqref="J213:J214 L569">
    <cfRule type="containsBlanks" dxfId="10" priority="767">
      <formula>LEN(TRIM(J213))=0</formula>
    </cfRule>
  </conditionalFormatting>
  <conditionalFormatting sqref="E213:E214 E568">
    <cfRule type="containsText" dxfId="1" priority="768" operator="containsText" text="Lapsed">
      <formula>NOT(ISERROR(SEARCH(("Lapsed"),(E213))))</formula>
    </cfRule>
  </conditionalFormatting>
  <conditionalFormatting sqref="E213:E214 E568">
    <cfRule type="containsText" dxfId="2" priority="769" operator="containsText" text="Active">
      <formula>NOT(ISERROR(SEARCH(("Active"),(E213))))</formula>
    </cfRule>
  </conditionalFormatting>
  <conditionalFormatting sqref="D213:D214 D568">
    <cfRule type="containsText" dxfId="3" priority="770" operator="containsText" text="Youth">
      <formula>NOT(ISERROR(SEARCH(("Youth"),(D213))))</formula>
    </cfRule>
  </conditionalFormatting>
  <conditionalFormatting sqref="J213:J214 L568">
    <cfRule type="containsBlanks" dxfId="8" priority="771">
      <formula>LEN(TRIM(J213))=0</formula>
    </cfRule>
  </conditionalFormatting>
  <conditionalFormatting sqref="J213:J214 L568">
    <cfRule type="containsBlanks" dxfId="10" priority="772">
      <formula>LEN(TRIM(J213))=0</formula>
    </cfRule>
  </conditionalFormatting>
  <conditionalFormatting sqref="E213:E214 E567">
    <cfRule type="containsText" dxfId="1" priority="773" operator="containsText" text="Lapsed">
      <formula>NOT(ISERROR(SEARCH(("Lapsed"),(E213))))</formula>
    </cfRule>
  </conditionalFormatting>
  <conditionalFormatting sqref="E213:E214 E567">
    <cfRule type="containsText" dxfId="2" priority="774" operator="containsText" text="Active">
      <formula>NOT(ISERROR(SEARCH(("Active"),(E213))))</formula>
    </cfRule>
  </conditionalFormatting>
  <conditionalFormatting sqref="D213:D214 D567">
    <cfRule type="containsText" dxfId="3" priority="775" operator="containsText" text="Youth">
      <formula>NOT(ISERROR(SEARCH(("Youth"),(D213))))</formula>
    </cfRule>
  </conditionalFormatting>
  <conditionalFormatting sqref="J213:J214 L567">
    <cfRule type="containsBlanks" dxfId="8" priority="776">
      <formula>LEN(TRIM(J213))=0</formula>
    </cfRule>
  </conditionalFormatting>
  <conditionalFormatting sqref="J213:J214 L567">
    <cfRule type="containsBlanks" dxfId="10" priority="777">
      <formula>LEN(TRIM(J213))=0</formula>
    </cfRule>
  </conditionalFormatting>
  <conditionalFormatting sqref="E213:E214 E566">
    <cfRule type="containsText" dxfId="1" priority="778" operator="containsText" text="Lapsed">
      <formula>NOT(ISERROR(SEARCH(("Lapsed"),(E213))))</formula>
    </cfRule>
  </conditionalFormatting>
  <conditionalFormatting sqref="E213:E214 E566">
    <cfRule type="containsText" dxfId="2" priority="779" operator="containsText" text="Active">
      <formula>NOT(ISERROR(SEARCH(("Active"),(E213))))</formula>
    </cfRule>
  </conditionalFormatting>
  <conditionalFormatting sqref="D213:D214 D566">
    <cfRule type="containsText" dxfId="3" priority="780" operator="containsText" text="Youth">
      <formula>NOT(ISERROR(SEARCH(("Youth"),(D213))))</formula>
    </cfRule>
  </conditionalFormatting>
  <conditionalFormatting sqref="J213:J214 L566">
    <cfRule type="containsBlanks" dxfId="8" priority="781">
      <formula>LEN(TRIM(J213))=0</formula>
    </cfRule>
  </conditionalFormatting>
  <conditionalFormatting sqref="J213:J214 L566">
    <cfRule type="containsBlanks" dxfId="10" priority="782">
      <formula>LEN(TRIM(J213))=0</formula>
    </cfRule>
  </conditionalFormatting>
  <conditionalFormatting sqref="E213:E214 E564:E565">
    <cfRule type="containsText" dxfId="1" priority="783" operator="containsText" text="Lapsed">
      <formula>NOT(ISERROR(SEARCH(("Lapsed"),(E213))))</formula>
    </cfRule>
  </conditionalFormatting>
  <conditionalFormatting sqref="E213:E214 E564:E565">
    <cfRule type="containsText" dxfId="2" priority="784" operator="containsText" text="Active">
      <formula>NOT(ISERROR(SEARCH(("Active"),(E213))))</formula>
    </cfRule>
  </conditionalFormatting>
  <conditionalFormatting sqref="D213:D214 D564:D565">
    <cfRule type="containsText" dxfId="3" priority="785" operator="containsText" text="Youth">
      <formula>NOT(ISERROR(SEARCH(("Youth"),(D213))))</formula>
    </cfRule>
  </conditionalFormatting>
  <conditionalFormatting sqref="J213:J214 L564:L565">
    <cfRule type="containsBlanks" dxfId="8" priority="786">
      <formula>LEN(TRIM(J213))=0</formula>
    </cfRule>
  </conditionalFormatting>
  <conditionalFormatting sqref="J213:J214 L564:L565">
    <cfRule type="containsBlanks" dxfId="10" priority="787">
      <formula>LEN(TRIM(J213))=0</formula>
    </cfRule>
  </conditionalFormatting>
  <conditionalFormatting sqref="E213:E214 E563">
    <cfRule type="containsText" dxfId="1" priority="788" operator="containsText" text="Lapsed">
      <formula>NOT(ISERROR(SEARCH(("Lapsed"),(E213))))</formula>
    </cfRule>
  </conditionalFormatting>
  <conditionalFormatting sqref="E213:E214 E563">
    <cfRule type="containsText" dxfId="2" priority="789" operator="containsText" text="Active">
      <formula>NOT(ISERROR(SEARCH(("Active"),(E213))))</formula>
    </cfRule>
  </conditionalFormatting>
  <conditionalFormatting sqref="D213:D214 D563">
    <cfRule type="containsText" dxfId="3" priority="790" operator="containsText" text="Youth">
      <formula>NOT(ISERROR(SEARCH(("Youth"),(D213))))</formula>
    </cfRule>
  </conditionalFormatting>
  <conditionalFormatting sqref="J213:J214 L563">
    <cfRule type="containsBlanks" dxfId="8" priority="791">
      <formula>LEN(TRIM(J213))=0</formula>
    </cfRule>
  </conditionalFormatting>
  <conditionalFormatting sqref="J213:J214 L563">
    <cfRule type="containsBlanks" dxfId="10" priority="792">
      <formula>LEN(TRIM(J213))=0</formula>
    </cfRule>
  </conditionalFormatting>
  <conditionalFormatting sqref="E213:E214 E562">
    <cfRule type="containsText" dxfId="1" priority="793" operator="containsText" text="Lapsed">
      <formula>NOT(ISERROR(SEARCH(("Lapsed"),(E213))))</formula>
    </cfRule>
  </conditionalFormatting>
  <conditionalFormatting sqref="E213:E214 E562">
    <cfRule type="containsText" dxfId="2" priority="794" operator="containsText" text="Active">
      <formula>NOT(ISERROR(SEARCH(("Active"),(E213))))</formula>
    </cfRule>
  </conditionalFormatting>
  <conditionalFormatting sqref="D213:D214 D562">
    <cfRule type="containsText" dxfId="3" priority="795" operator="containsText" text="Youth">
      <formula>NOT(ISERROR(SEARCH(("Youth"),(D213))))</formula>
    </cfRule>
  </conditionalFormatting>
  <conditionalFormatting sqref="J213:J214 L562">
    <cfRule type="containsBlanks" dxfId="8" priority="796">
      <formula>LEN(TRIM(J213))=0</formula>
    </cfRule>
  </conditionalFormatting>
  <conditionalFormatting sqref="J213:J214 L562">
    <cfRule type="containsBlanks" dxfId="10" priority="797">
      <formula>LEN(TRIM(J213))=0</formula>
    </cfRule>
  </conditionalFormatting>
  <conditionalFormatting sqref="E213:E214 E561">
    <cfRule type="containsText" dxfId="1" priority="798" operator="containsText" text="Lapsed">
      <formula>NOT(ISERROR(SEARCH(("Lapsed"),(E213))))</formula>
    </cfRule>
  </conditionalFormatting>
  <conditionalFormatting sqref="E213:E214 E561">
    <cfRule type="containsText" dxfId="2" priority="799" operator="containsText" text="Active">
      <formula>NOT(ISERROR(SEARCH(("Active"),(E213))))</formula>
    </cfRule>
  </conditionalFormatting>
  <conditionalFormatting sqref="D213:D214 D561">
    <cfRule type="containsText" dxfId="3" priority="800" operator="containsText" text="Youth">
      <formula>NOT(ISERROR(SEARCH(("Youth"),(D213))))</formula>
    </cfRule>
  </conditionalFormatting>
  <conditionalFormatting sqref="J213:J214 L561">
    <cfRule type="containsBlanks" dxfId="8" priority="801">
      <formula>LEN(TRIM(J213))=0</formula>
    </cfRule>
  </conditionalFormatting>
  <conditionalFormatting sqref="J213:J214 L561">
    <cfRule type="containsBlanks" dxfId="10" priority="802">
      <formula>LEN(TRIM(J213))=0</formula>
    </cfRule>
  </conditionalFormatting>
  <conditionalFormatting sqref="E213:E214 E560">
    <cfRule type="containsText" dxfId="1" priority="803" operator="containsText" text="Lapsed">
      <formula>NOT(ISERROR(SEARCH(("Lapsed"),(E213))))</formula>
    </cfRule>
  </conditionalFormatting>
  <conditionalFormatting sqref="E213:E214 E560">
    <cfRule type="containsText" dxfId="2" priority="804" operator="containsText" text="Active">
      <formula>NOT(ISERROR(SEARCH(("Active"),(E213))))</formula>
    </cfRule>
  </conditionalFormatting>
  <conditionalFormatting sqref="D213:D214 D560">
    <cfRule type="containsText" dxfId="3" priority="805" operator="containsText" text="Youth">
      <formula>NOT(ISERROR(SEARCH(("Youth"),(D213))))</formula>
    </cfRule>
  </conditionalFormatting>
  <conditionalFormatting sqref="J213:J214 L560">
    <cfRule type="containsBlanks" dxfId="8" priority="806">
      <formula>LEN(TRIM(J213))=0</formula>
    </cfRule>
  </conditionalFormatting>
  <conditionalFormatting sqref="J213:J214 L560">
    <cfRule type="containsBlanks" dxfId="10" priority="807">
      <formula>LEN(TRIM(J213))=0</formula>
    </cfRule>
  </conditionalFormatting>
  <conditionalFormatting sqref="E213:E214 E559">
    <cfRule type="containsText" dxfId="1" priority="808" operator="containsText" text="Lapsed">
      <formula>NOT(ISERROR(SEARCH(("Lapsed"),(E213))))</formula>
    </cfRule>
  </conditionalFormatting>
  <conditionalFormatting sqref="E213:E214 E559">
    <cfRule type="containsText" dxfId="2" priority="809" operator="containsText" text="Active">
      <formula>NOT(ISERROR(SEARCH(("Active"),(E213))))</formula>
    </cfRule>
  </conditionalFormatting>
  <conditionalFormatting sqref="D213:D214 D559">
    <cfRule type="containsText" dxfId="3" priority="810" operator="containsText" text="Youth">
      <formula>NOT(ISERROR(SEARCH(("Youth"),(D213))))</formula>
    </cfRule>
  </conditionalFormatting>
  <conditionalFormatting sqref="J213:J214 L559">
    <cfRule type="containsBlanks" dxfId="8" priority="811">
      <formula>LEN(TRIM(J213))=0</formula>
    </cfRule>
  </conditionalFormatting>
  <conditionalFormatting sqref="J213:J214 L559">
    <cfRule type="containsBlanks" dxfId="10" priority="812">
      <formula>LEN(TRIM(J213))=0</formula>
    </cfRule>
  </conditionalFormatting>
  <conditionalFormatting sqref="E213:E214 E556:E558">
    <cfRule type="containsText" dxfId="1" priority="813" operator="containsText" text="Lapsed">
      <formula>NOT(ISERROR(SEARCH(("Lapsed"),(E213))))</formula>
    </cfRule>
  </conditionalFormatting>
  <conditionalFormatting sqref="E213:E214 E556:E558">
    <cfRule type="containsText" dxfId="2" priority="814" operator="containsText" text="Active">
      <formula>NOT(ISERROR(SEARCH(("Active"),(E213))))</formula>
    </cfRule>
  </conditionalFormatting>
  <conditionalFormatting sqref="D213:D214 D556:D558">
    <cfRule type="containsText" dxfId="3" priority="815" operator="containsText" text="Youth">
      <formula>NOT(ISERROR(SEARCH(("Youth"),(D213))))</formula>
    </cfRule>
  </conditionalFormatting>
  <conditionalFormatting sqref="J213:J214 L556:L558">
    <cfRule type="containsBlanks" dxfId="8" priority="816">
      <formula>LEN(TRIM(J213))=0</formula>
    </cfRule>
  </conditionalFormatting>
  <conditionalFormatting sqref="J213:J214 L556:L558">
    <cfRule type="containsBlanks" dxfId="10" priority="817">
      <formula>LEN(TRIM(J213))=0</formula>
    </cfRule>
  </conditionalFormatting>
  <conditionalFormatting sqref="E213:E214 E552:E555">
    <cfRule type="containsText" dxfId="1" priority="818" operator="containsText" text="Lapsed">
      <formula>NOT(ISERROR(SEARCH(("Lapsed"),(E213))))</formula>
    </cfRule>
  </conditionalFormatting>
  <conditionalFormatting sqref="E213:E214 E552:E555">
    <cfRule type="containsText" dxfId="2" priority="819" operator="containsText" text="Active">
      <formula>NOT(ISERROR(SEARCH(("Active"),(E213))))</formula>
    </cfRule>
  </conditionalFormatting>
  <conditionalFormatting sqref="D213:D214 D552:D555">
    <cfRule type="containsText" dxfId="3" priority="820" operator="containsText" text="Youth">
      <formula>NOT(ISERROR(SEARCH(("Youth"),(D213))))</formula>
    </cfRule>
  </conditionalFormatting>
  <conditionalFormatting sqref="J213:J214 L552:L555">
    <cfRule type="containsBlanks" dxfId="8" priority="821">
      <formula>LEN(TRIM(J213))=0</formula>
    </cfRule>
  </conditionalFormatting>
  <conditionalFormatting sqref="J213:J214 L552:L555">
    <cfRule type="containsBlanks" dxfId="10" priority="822">
      <formula>LEN(TRIM(J213))=0</formula>
    </cfRule>
  </conditionalFormatting>
  <conditionalFormatting sqref="E213:E214 E550:E551">
    <cfRule type="containsText" dxfId="1" priority="823" operator="containsText" text="Lapsed">
      <formula>NOT(ISERROR(SEARCH(("Lapsed"),(E213))))</formula>
    </cfRule>
  </conditionalFormatting>
  <conditionalFormatting sqref="E213:E214 E550:E551">
    <cfRule type="containsText" dxfId="2" priority="824" operator="containsText" text="Active">
      <formula>NOT(ISERROR(SEARCH(("Active"),(E213))))</formula>
    </cfRule>
  </conditionalFormatting>
  <conditionalFormatting sqref="D213:D214 D550:D551">
    <cfRule type="containsText" dxfId="3" priority="825" operator="containsText" text="Youth">
      <formula>NOT(ISERROR(SEARCH(("Youth"),(D213))))</formula>
    </cfRule>
  </conditionalFormatting>
  <conditionalFormatting sqref="J213:J214 L550:L551">
    <cfRule type="containsBlanks" dxfId="8" priority="826">
      <formula>LEN(TRIM(J213))=0</formula>
    </cfRule>
  </conditionalFormatting>
  <conditionalFormatting sqref="J213:J214 L550:L551">
    <cfRule type="containsBlanks" dxfId="10" priority="827">
      <formula>LEN(TRIM(J213))=0</formula>
    </cfRule>
  </conditionalFormatting>
  <conditionalFormatting sqref="E213:E214 E549">
    <cfRule type="containsText" dxfId="1" priority="828" operator="containsText" text="Lapsed">
      <formula>NOT(ISERROR(SEARCH(("Lapsed"),(E213))))</formula>
    </cfRule>
  </conditionalFormatting>
  <conditionalFormatting sqref="E213:E214 E549">
    <cfRule type="containsText" dxfId="2" priority="829" operator="containsText" text="Active">
      <formula>NOT(ISERROR(SEARCH(("Active"),(E213))))</formula>
    </cfRule>
  </conditionalFormatting>
  <conditionalFormatting sqref="D213:D214 D549">
    <cfRule type="containsText" dxfId="3" priority="830" operator="containsText" text="Youth">
      <formula>NOT(ISERROR(SEARCH(("Youth"),(D213))))</formula>
    </cfRule>
  </conditionalFormatting>
  <conditionalFormatting sqref="J213:J214 L549">
    <cfRule type="containsBlanks" dxfId="8" priority="831">
      <formula>LEN(TRIM(J213))=0</formula>
    </cfRule>
  </conditionalFormatting>
  <conditionalFormatting sqref="J213:J214 L549">
    <cfRule type="containsBlanks" dxfId="10" priority="832">
      <formula>LEN(TRIM(J213))=0</formula>
    </cfRule>
  </conditionalFormatting>
  <conditionalFormatting sqref="E213:E214 E548">
    <cfRule type="containsText" dxfId="1" priority="833" operator="containsText" text="Lapsed">
      <formula>NOT(ISERROR(SEARCH(("Lapsed"),(E213))))</formula>
    </cfRule>
  </conditionalFormatting>
  <conditionalFormatting sqref="E213:E214 E548">
    <cfRule type="containsText" dxfId="2" priority="834" operator="containsText" text="Active">
      <formula>NOT(ISERROR(SEARCH(("Active"),(E213))))</formula>
    </cfRule>
  </conditionalFormatting>
  <conditionalFormatting sqref="D213:D214 D548">
    <cfRule type="containsText" dxfId="3" priority="835" operator="containsText" text="Youth">
      <formula>NOT(ISERROR(SEARCH(("Youth"),(D213))))</formula>
    </cfRule>
  </conditionalFormatting>
  <conditionalFormatting sqref="J213:J214 L548">
    <cfRule type="containsBlanks" dxfId="8" priority="836">
      <formula>LEN(TRIM(J213))=0</formula>
    </cfRule>
  </conditionalFormatting>
  <conditionalFormatting sqref="J213:J214 L548">
    <cfRule type="containsBlanks" dxfId="10" priority="837">
      <formula>LEN(TRIM(J213))=0</formula>
    </cfRule>
  </conditionalFormatting>
  <conditionalFormatting sqref="E213:E214 E547">
    <cfRule type="containsText" dxfId="1" priority="838" operator="containsText" text="Lapsed">
      <formula>NOT(ISERROR(SEARCH(("Lapsed"),(E213))))</formula>
    </cfRule>
  </conditionalFormatting>
  <conditionalFormatting sqref="E213:E214 E547">
    <cfRule type="containsText" dxfId="2" priority="839" operator="containsText" text="Active">
      <formula>NOT(ISERROR(SEARCH(("Active"),(E213))))</formula>
    </cfRule>
  </conditionalFormatting>
  <conditionalFormatting sqref="D213:D214 D547">
    <cfRule type="containsText" dxfId="3" priority="840" operator="containsText" text="Youth">
      <formula>NOT(ISERROR(SEARCH(("Youth"),(D213))))</formula>
    </cfRule>
  </conditionalFormatting>
  <conditionalFormatting sqref="J213:J214 L547">
    <cfRule type="containsBlanks" dxfId="8" priority="841">
      <formula>LEN(TRIM(J213))=0</formula>
    </cfRule>
  </conditionalFormatting>
  <conditionalFormatting sqref="J213:J214 L547">
    <cfRule type="containsBlanks" dxfId="10" priority="842">
      <formula>LEN(TRIM(J213))=0</formula>
    </cfRule>
  </conditionalFormatting>
  <conditionalFormatting sqref="E213:E214 E546">
    <cfRule type="containsText" dxfId="1" priority="843" operator="containsText" text="Lapsed">
      <formula>NOT(ISERROR(SEARCH(("Lapsed"),(E213))))</formula>
    </cfRule>
  </conditionalFormatting>
  <conditionalFormatting sqref="E213:E214 E546">
    <cfRule type="containsText" dxfId="2" priority="844" operator="containsText" text="Active">
      <formula>NOT(ISERROR(SEARCH(("Active"),(E213))))</formula>
    </cfRule>
  </conditionalFormatting>
  <conditionalFormatting sqref="D213:D214 D546">
    <cfRule type="containsText" dxfId="3" priority="845" operator="containsText" text="Youth">
      <formula>NOT(ISERROR(SEARCH(("Youth"),(D213))))</formula>
    </cfRule>
  </conditionalFormatting>
  <conditionalFormatting sqref="J213:J214 L546">
    <cfRule type="containsBlanks" dxfId="8" priority="846">
      <formula>LEN(TRIM(J213))=0</formula>
    </cfRule>
  </conditionalFormatting>
  <conditionalFormatting sqref="J213:J214 L546">
    <cfRule type="containsBlanks" dxfId="10" priority="847">
      <formula>LEN(TRIM(J213))=0</formula>
    </cfRule>
  </conditionalFormatting>
  <conditionalFormatting sqref="E213:E214 E545">
    <cfRule type="containsText" dxfId="1" priority="848" operator="containsText" text="Lapsed">
      <formula>NOT(ISERROR(SEARCH(("Lapsed"),(E213))))</formula>
    </cfRule>
  </conditionalFormatting>
  <conditionalFormatting sqref="E213:E214 E545">
    <cfRule type="containsText" dxfId="2" priority="849" operator="containsText" text="Active">
      <formula>NOT(ISERROR(SEARCH(("Active"),(E213))))</formula>
    </cfRule>
  </conditionalFormatting>
  <conditionalFormatting sqref="D213:D214 D545">
    <cfRule type="containsText" dxfId="3" priority="850" operator="containsText" text="Youth">
      <formula>NOT(ISERROR(SEARCH(("Youth"),(D213))))</formula>
    </cfRule>
  </conditionalFormatting>
  <conditionalFormatting sqref="J213:J214 L545">
    <cfRule type="containsBlanks" dxfId="8" priority="851">
      <formula>LEN(TRIM(J213))=0</formula>
    </cfRule>
  </conditionalFormatting>
  <conditionalFormatting sqref="J213:J214 L545">
    <cfRule type="containsBlanks" dxfId="10" priority="852">
      <formula>LEN(TRIM(J213))=0</formula>
    </cfRule>
  </conditionalFormatting>
  <conditionalFormatting sqref="E213:E214 E544">
    <cfRule type="containsText" dxfId="1" priority="853" operator="containsText" text="Lapsed">
      <formula>NOT(ISERROR(SEARCH(("Lapsed"),(E213))))</formula>
    </cfRule>
  </conditionalFormatting>
  <conditionalFormatting sqref="E213:E214 E544">
    <cfRule type="containsText" dxfId="2" priority="854" operator="containsText" text="Active">
      <formula>NOT(ISERROR(SEARCH(("Active"),(E213))))</formula>
    </cfRule>
  </conditionalFormatting>
  <conditionalFormatting sqref="D213:D214 D544">
    <cfRule type="containsText" dxfId="3" priority="855" operator="containsText" text="Youth">
      <formula>NOT(ISERROR(SEARCH(("Youth"),(D213))))</formula>
    </cfRule>
  </conditionalFormatting>
  <conditionalFormatting sqref="J213:J214 L544">
    <cfRule type="containsBlanks" dxfId="8" priority="856">
      <formula>LEN(TRIM(J213))=0</formula>
    </cfRule>
  </conditionalFormatting>
  <conditionalFormatting sqref="J213:J214 L544">
    <cfRule type="containsBlanks" dxfId="10" priority="857">
      <formula>LEN(TRIM(J213))=0</formula>
    </cfRule>
  </conditionalFormatting>
  <conditionalFormatting sqref="E213:E214 E543">
    <cfRule type="containsText" dxfId="1" priority="858" operator="containsText" text="Lapsed">
      <formula>NOT(ISERROR(SEARCH(("Lapsed"),(E213))))</formula>
    </cfRule>
  </conditionalFormatting>
  <conditionalFormatting sqref="E213:E214 E543">
    <cfRule type="containsText" dxfId="2" priority="859" operator="containsText" text="Active">
      <formula>NOT(ISERROR(SEARCH(("Active"),(E213))))</formula>
    </cfRule>
  </conditionalFormatting>
  <conditionalFormatting sqref="D213:D214 D543">
    <cfRule type="containsText" dxfId="3" priority="860" operator="containsText" text="Youth">
      <formula>NOT(ISERROR(SEARCH(("Youth"),(D213))))</formula>
    </cfRule>
  </conditionalFormatting>
  <conditionalFormatting sqref="J213:J214 L543">
    <cfRule type="containsBlanks" dxfId="8" priority="861">
      <formula>LEN(TRIM(J213))=0</formula>
    </cfRule>
  </conditionalFormatting>
  <conditionalFormatting sqref="J213:J214 L543">
    <cfRule type="containsBlanks" dxfId="10" priority="862">
      <formula>LEN(TRIM(J213))=0</formula>
    </cfRule>
  </conditionalFormatting>
  <conditionalFormatting sqref="E213:E214 E541:E542">
    <cfRule type="containsText" dxfId="1" priority="863" operator="containsText" text="Lapsed">
      <formula>NOT(ISERROR(SEARCH(("Lapsed"),(E213))))</formula>
    </cfRule>
  </conditionalFormatting>
  <conditionalFormatting sqref="E213:E214 E541:E542">
    <cfRule type="containsText" dxfId="2" priority="864" operator="containsText" text="Active">
      <formula>NOT(ISERROR(SEARCH(("Active"),(E213))))</formula>
    </cfRule>
  </conditionalFormatting>
  <conditionalFormatting sqref="D213:D214 D541:D542">
    <cfRule type="containsText" dxfId="3" priority="865" operator="containsText" text="Youth">
      <formula>NOT(ISERROR(SEARCH(("Youth"),(D213))))</formula>
    </cfRule>
  </conditionalFormatting>
  <conditionalFormatting sqref="J213:J214 L541:L542">
    <cfRule type="containsBlanks" dxfId="8" priority="866">
      <formula>LEN(TRIM(J213))=0</formula>
    </cfRule>
  </conditionalFormatting>
  <conditionalFormatting sqref="J213:J214 L541:L542">
    <cfRule type="containsBlanks" dxfId="10" priority="867">
      <formula>LEN(TRIM(J213))=0</formula>
    </cfRule>
  </conditionalFormatting>
  <conditionalFormatting sqref="E213:E214 E540">
    <cfRule type="containsText" dxfId="1" priority="868" operator="containsText" text="Lapsed">
      <formula>NOT(ISERROR(SEARCH(("Lapsed"),(E213))))</formula>
    </cfRule>
  </conditionalFormatting>
  <conditionalFormatting sqref="E213:E214 E540">
    <cfRule type="containsText" dxfId="2" priority="869" operator="containsText" text="Active">
      <formula>NOT(ISERROR(SEARCH(("Active"),(E213))))</formula>
    </cfRule>
  </conditionalFormatting>
  <conditionalFormatting sqref="D213:D214 D540">
    <cfRule type="containsText" dxfId="3" priority="870" operator="containsText" text="Youth">
      <formula>NOT(ISERROR(SEARCH(("Youth"),(D213))))</formula>
    </cfRule>
  </conditionalFormatting>
  <conditionalFormatting sqref="J213:J214 L540">
    <cfRule type="containsBlanks" dxfId="8" priority="871">
      <formula>LEN(TRIM(J213))=0</formula>
    </cfRule>
  </conditionalFormatting>
  <conditionalFormatting sqref="J213:J214 L540">
    <cfRule type="containsBlanks" dxfId="10" priority="872">
      <formula>LEN(TRIM(J213))=0</formula>
    </cfRule>
  </conditionalFormatting>
  <conditionalFormatting sqref="E213:E214 E538:E539">
    <cfRule type="containsText" dxfId="1" priority="873" operator="containsText" text="Lapsed">
      <formula>NOT(ISERROR(SEARCH(("Lapsed"),(E213))))</formula>
    </cfRule>
  </conditionalFormatting>
  <conditionalFormatting sqref="E213:E214 E538:E539">
    <cfRule type="containsText" dxfId="2" priority="874" operator="containsText" text="Active">
      <formula>NOT(ISERROR(SEARCH(("Active"),(E213))))</formula>
    </cfRule>
  </conditionalFormatting>
  <conditionalFormatting sqref="D213:D214 D538:D539">
    <cfRule type="containsText" dxfId="3" priority="875" operator="containsText" text="Youth">
      <formula>NOT(ISERROR(SEARCH(("Youth"),(D213))))</formula>
    </cfRule>
  </conditionalFormatting>
  <conditionalFormatting sqref="J213:J214 L538:L539">
    <cfRule type="containsBlanks" dxfId="8" priority="876">
      <formula>LEN(TRIM(J213))=0</formula>
    </cfRule>
  </conditionalFormatting>
  <conditionalFormatting sqref="J213:J214 L538:L539">
    <cfRule type="containsBlanks" dxfId="10" priority="877">
      <formula>LEN(TRIM(J213))=0</formula>
    </cfRule>
  </conditionalFormatting>
  <conditionalFormatting sqref="E213:E214 E535:E537">
    <cfRule type="containsText" dxfId="1" priority="878" operator="containsText" text="Lapsed">
      <formula>NOT(ISERROR(SEARCH(("Lapsed"),(E213))))</formula>
    </cfRule>
  </conditionalFormatting>
  <conditionalFormatting sqref="E213:E214 E535:E537">
    <cfRule type="containsText" dxfId="2" priority="879" operator="containsText" text="Active">
      <formula>NOT(ISERROR(SEARCH(("Active"),(E213))))</formula>
    </cfRule>
  </conditionalFormatting>
  <conditionalFormatting sqref="D213:D214 D535:D537">
    <cfRule type="containsText" dxfId="3" priority="880" operator="containsText" text="Youth">
      <formula>NOT(ISERROR(SEARCH(("Youth"),(D213))))</formula>
    </cfRule>
  </conditionalFormatting>
  <conditionalFormatting sqref="J213:J214 L535:L537">
    <cfRule type="containsBlanks" dxfId="8" priority="881">
      <formula>LEN(TRIM(J213))=0</formula>
    </cfRule>
  </conditionalFormatting>
  <conditionalFormatting sqref="J213:J214 L535:L537">
    <cfRule type="containsBlanks" dxfId="10" priority="882">
      <formula>LEN(TRIM(J213))=0</formula>
    </cfRule>
  </conditionalFormatting>
  <conditionalFormatting sqref="E213:E214 E534">
    <cfRule type="containsText" dxfId="1" priority="883" operator="containsText" text="Lapsed">
      <formula>NOT(ISERROR(SEARCH(("Lapsed"),(E213))))</formula>
    </cfRule>
  </conditionalFormatting>
  <conditionalFormatting sqref="E213:E214 E534">
    <cfRule type="containsText" dxfId="2" priority="884" operator="containsText" text="Active">
      <formula>NOT(ISERROR(SEARCH(("Active"),(E213))))</formula>
    </cfRule>
  </conditionalFormatting>
  <conditionalFormatting sqref="D213:D214 D534">
    <cfRule type="containsText" dxfId="3" priority="885" operator="containsText" text="Youth">
      <formula>NOT(ISERROR(SEARCH(("Youth"),(D213))))</formula>
    </cfRule>
  </conditionalFormatting>
  <conditionalFormatting sqref="J213:J214 L534">
    <cfRule type="containsBlanks" dxfId="8" priority="886">
      <formula>LEN(TRIM(J213))=0</formula>
    </cfRule>
  </conditionalFormatting>
  <conditionalFormatting sqref="J213:J214 L534">
    <cfRule type="containsBlanks" dxfId="10" priority="887">
      <formula>LEN(TRIM(J213))=0</formula>
    </cfRule>
  </conditionalFormatting>
  <conditionalFormatting sqref="E213:E214 E533">
    <cfRule type="containsText" dxfId="1" priority="888" operator="containsText" text="Lapsed">
      <formula>NOT(ISERROR(SEARCH(("Lapsed"),(E213))))</formula>
    </cfRule>
  </conditionalFormatting>
  <conditionalFormatting sqref="E213:E214 E533">
    <cfRule type="containsText" dxfId="2" priority="889" operator="containsText" text="Active">
      <formula>NOT(ISERROR(SEARCH(("Active"),(E213))))</formula>
    </cfRule>
  </conditionalFormatting>
  <conditionalFormatting sqref="D213:D214 D533">
    <cfRule type="containsText" dxfId="3" priority="890" operator="containsText" text="Youth">
      <formula>NOT(ISERROR(SEARCH(("Youth"),(D213))))</formula>
    </cfRule>
  </conditionalFormatting>
  <conditionalFormatting sqref="J213:J214 L533">
    <cfRule type="containsBlanks" dxfId="8" priority="891">
      <formula>LEN(TRIM(J213))=0</formula>
    </cfRule>
  </conditionalFormatting>
  <conditionalFormatting sqref="J213:J214 L533">
    <cfRule type="containsBlanks" dxfId="10" priority="892">
      <formula>LEN(TRIM(J213))=0</formula>
    </cfRule>
  </conditionalFormatting>
  <conditionalFormatting sqref="E213:E214 E531:E532">
    <cfRule type="containsText" dxfId="1" priority="893" operator="containsText" text="Lapsed">
      <formula>NOT(ISERROR(SEARCH(("Lapsed"),(E213))))</formula>
    </cfRule>
  </conditionalFormatting>
  <conditionalFormatting sqref="E213:E214 E531:E532">
    <cfRule type="containsText" dxfId="2" priority="894" operator="containsText" text="Active">
      <formula>NOT(ISERROR(SEARCH(("Active"),(E213))))</formula>
    </cfRule>
  </conditionalFormatting>
  <conditionalFormatting sqref="D213:D214 D531:D532">
    <cfRule type="containsText" dxfId="3" priority="895" operator="containsText" text="Youth">
      <formula>NOT(ISERROR(SEARCH(("Youth"),(D213))))</formula>
    </cfRule>
  </conditionalFormatting>
  <conditionalFormatting sqref="J213:J214 L531:L532">
    <cfRule type="containsBlanks" dxfId="8" priority="896">
      <formula>LEN(TRIM(J213))=0</formula>
    </cfRule>
  </conditionalFormatting>
  <conditionalFormatting sqref="J213:J214 L531:L532">
    <cfRule type="containsBlanks" dxfId="10" priority="897">
      <formula>LEN(TRIM(J213))=0</formula>
    </cfRule>
  </conditionalFormatting>
  <conditionalFormatting sqref="E213:E214 E530">
    <cfRule type="containsText" dxfId="1" priority="898" operator="containsText" text="Lapsed">
      <formula>NOT(ISERROR(SEARCH(("Lapsed"),(E213))))</formula>
    </cfRule>
  </conditionalFormatting>
  <conditionalFormatting sqref="E213:E214 E530">
    <cfRule type="containsText" dxfId="2" priority="899" operator="containsText" text="Active">
      <formula>NOT(ISERROR(SEARCH(("Active"),(E213))))</formula>
    </cfRule>
  </conditionalFormatting>
  <conditionalFormatting sqref="D213:D214 D530">
    <cfRule type="containsText" dxfId="3" priority="900" operator="containsText" text="Youth">
      <formula>NOT(ISERROR(SEARCH(("Youth"),(D213))))</formula>
    </cfRule>
  </conditionalFormatting>
  <conditionalFormatting sqref="J213:J214 L530">
    <cfRule type="containsBlanks" dxfId="8" priority="901">
      <formula>LEN(TRIM(J213))=0</formula>
    </cfRule>
  </conditionalFormatting>
  <conditionalFormatting sqref="J213:J214 L530">
    <cfRule type="containsBlanks" dxfId="10" priority="902">
      <formula>LEN(TRIM(J213))=0</formula>
    </cfRule>
  </conditionalFormatting>
  <conditionalFormatting sqref="E213:E214 E529">
    <cfRule type="containsText" dxfId="1" priority="903" operator="containsText" text="Lapsed">
      <formula>NOT(ISERROR(SEARCH(("Lapsed"),(E213))))</formula>
    </cfRule>
  </conditionalFormatting>
  <conditionalFormatting sqref="E213:E214 E529">
    <cfRule type="containsText" dxfId="2" priority="904" operator="containsText" text="Active">
      <formula>NOT(ISERROR(SEARCH(("Active"),(E213))))</formula>
    </cfRule>
  </conditionalFormatting>
  <conditionalFormatting sqref="D213:D214 D529">
    <cfRule type="containsText" dxfId="3" priority="905" operator="containsText" text="Youth">
      <formula>NOT(ISERROR(SEARCH(("Youth"),(D213))))</formula>
    </cfRule>
  </conditionalFormatting>
  <conditionalFormatting sqref="J213:J214 L529">
    <cfRule type="containsBlanks" dxfId="8" priority="906">
      <formula>LEN(TRIM(J213))=0</formula>
    </cfRule>
  </conditionalFormatting>
  <conditionalFormatting sqref="J213:J214 L529">
    <cfRule type="containsBlanks" dxfId="10" priority="907">
      <formula>LEN(TRIM(J213))=0</formula>
    </cfRule>
  </conditionalFormatting>
  <conditionalFormatting sqref="E213:E214 E528">
    <cfRule type="containsText" dxfId="1" priority="908" operator="containsText" text="Lapsed">
      <formula>NOT(ISERROR(SEARCH(("Lapsed"),(E213))))</formula>
    </cfRule>
  </conditionalFormatting>
  <conditionalFormatting sqref="E213:E214 E528">
    <cfRule type="containsText" dxfId="2" priority="909" operator="containsText" text="Active">
      <formula>NOT(ISERROR(SEARCH(("Active"),(E213))))</formula>
    </cfRule>
  </conditionalFormatting>
  <conditionalFormatting sqref="D213:D214 D528">
    <cfRule type="containsText" dxfId="3" priority="910" operator="containsText" text="Youth">
      <formula>NOT(ISERROR(SEARCH(("Youth"),(D213))))</formula>
    </cfRule>
  </conditionalFormatting>
  <conditionalFormatting sqref="J213:J214 L528">
    <cfRule type="containsBlanks" dxfId="8" priority="911">
      <formula>LEN(TRIM(J213))=0</formula>
    </cfRule>
  </conditionalFormatting>
  <conditionalFormatting sqref="J213:J214 L528">
    <cfRule type="containsBlanks" dxfId="10" priority="912">
      <formula>LEN(TRIM(J213))=0</formula>
    </cfRule>
  </conditionalFormatting>
  <conditionalFormatting sqref="E213:E214 E526:E527">
    <cfRule type="containsText" dxfId="1" priority="913" operator="containsText" text="Lapsed">
      <formula>NOT(ISERROR(SEARCH(("Lapsed"),(E213))))</formula>
    </cfRule>
  </conditionalFormatting>
  <conditionalFormatting sqref="E213:E214 E526:E527">
    <cfRule type="containsText" dxfId="2" priority="914" operator="containsText" text="Active">
      <formula>NOT(ISERROR(SEARCH(("Active"),(E213))))</formula>
    </cfRule>
  </conditionalFormatting>
  <conditionalFormatting sqref="D213:D214 D526:D527">
    <cfRule type="containsText" dxfId="3" priority="915" operator="containsText" text="Youth">
      <formula>NOT(ISERROR(SEARCH(("Youth"),(D213))))</formula>
    </cfRule>
  </conditionalFormatting>
  <conditionalFormatting sqref="J213:J214 L526:L527">
    <cfRule type="containsBlanks" dxfId="8" priority="916">
      <formula>LEN(TRIM(J213))=0</formula>
    </cfRule>
  </conditionalFormatting>
  <conditionalFormatting sqref="J213:J214 L526:L527">
    <cfRule type="containsBlanks" dxfId="10" priority="917">
      <formula>LEN(TRIM(J213))=0</formula>
    </cfRule>
  </conditionalFormatting>
  <conditionalFormatting sqref="E213:E214 E525">
    <cfRule type="containsText" dxfId="1" priority="918" operator="containsText" text="Lapsed">
      <formula>NOT(ISERROR(SEARCH(("Lapsed"),(E213))))</formula>
    </cfRule>
  </conditionalFormatting>
  <conditionalFormatting sqref="E213:E214 E525">
    <cfRule type="containsText" dxfId="2" priority="919" operator="containsText" text="Active">
      <formula>NOT(ISERROR(SEARCH(("Active"),(E213))))</formula>
    </cfRule>
  </conditionalFormatting>
  <conditionalFormatting sqref="D213:D214 D525">
    <cfRule type="containsText" dxfId="3" priority="920" operator="containsText" text="Youth">
      <formula>NOT(ISERROR(SEARCH(("Youth"),(D213))))</formula>
    </cfRule>
  </conditionalFormatting>
  <conditionalFormatting sqref="J213:J214 L525">
    <cfRule type="containsBlanks" dxfId="8" priority="921">
      <formula>LEN(TRIM(J213))=0</formula>
    </cfRule>
  </conditionalFormatting>
  <conditionalFormatting sqref="J213:J214 L525">
    <cfRule type="containsBlanks" dxfId="10" priority="922">
      <formula>LEN(TRIM(J213))=0</formula>
    </cfRule>
  </conditionalFormatting>
  <conditionalFormatting sqref="E213:E214 E524">
    <cfRule type="containsText" dxfId="1" priority="923" operator="containsText" text="Lapsed">
      <formula>NOT(ISERROR(SEARCH(("Lapsed"),(E213))))</formula>
    </cfRule>
  </conditionalFormatting>
  <conditionalFormatting sqref="E213:E214 E524">
    <cfRule type="containsText" dxfId="2" priority="924" operator="containsText" text="Active">
      <formula>NOT(ISERROR(SEARCH(("Active"),(E213))))</formula>
    </cfRule>
  </conditionalFormatting>
  <conditionalFormatting sqref="D213:D214 D524">
    <cfRule type="containsText" dxfId="3" priority="925" operator="containsText" text="Youth">
      <formula>NOT(ISERROR(SEARCH(("Youth"),(D213))))</formula>
    </cfRule>
  </conditionalFormatting>
  <conditionalFormatting sqref="J213:J214 L524">
    <cfRule type="containsBlanks" dxfId="8" priority="926">
      <formula>LEN(TRIM(J213))=0</formula>
    </cfRule>
  </conditionalFormatting>
  <conditionalFormatting sqref="J213:J214 L524">
    <cfRule type="containsBlanks" dxfId="10" priority="927">
      <formula>LEN(TRIM(J213))=0</formula>
    </cfRule>
  </conditionalFormatting>
  <conditionalFormatting sqref="E213:E214 E523">
    <cfRule type="containsText" dxfId="1" priority="928" operator="containsText" text="Lapsed">
      <formula>NOT(ISERROR(SEARCH(("Lapsed"),(E213))))</formula>
    </cfRule>
  </conditionalFormatting>
  <conditionalFormatting sqref="E213:E214 E523">
    <cfRule type="containsText" dxfId="2" priority="929" operator="containsText" text="Active">
      <formula>NOT(ISERROR(SEARCH(("Active"),(E213))))</formula>
    </cfRule>
  </conditionalFormatting>
  <conditionalFormatting sqref="D213:D214 D523">
    <cfRule type="containsText" dxfId="3" priority="930" operator="containsText" text="Youth">
      <formula>NOT(ISERROR(SEARCH(("Youth"),(D213))))</formula>
    </cfRule>
  </conditionalFormatting>
  <conditionalFormatting sqref="J213:J214 L523">
    <cfRule type="containsBlanks" dxfId="8" priority="931">
      <formula>LEN(TRIM(J213))=0</formula>
    </cfRule>
  </conditionalFormatting>
  <conditionalFormatting sqref="J213:J214 L523">
    <cfRule type="containsBlanks" dxfId="10" priority="932">
      <formula>LEN(TRIM(J213))=0</formula>
    </cfRule>
  </conditionalFormatting>
  <conditionalFormatting sqref="E213:E214 E522">
    <cfRule type="containsText" dxfId="1" priority="933" operator="containsText" text="Lapsed">
      <formula>NOT(ISERROR(SEARCH(("Lapsed"),(E213))))</formula>
    </cfRule>
  </conditionalFormatting>
  <conditionalFormatting sqref="E213:E214 E522">
    <cfRule type="containsText" dxfId="2" priority="934" operator="containsText" text="Active">
      <formula>NOT(ISERROR(SEARCH(("Active"),(E213))))</formula>
    </cfRule>
  </conditionalFormatting>
  <conditionalFormatting sqref="D213:D214 D522">
    <cfRule type="containsText" dxfId="3" priority="935" operator="containsText" text="Youth">
      <formula>NOT(ISERROR(SEARCH(("Youth"),(D213))))</formula>
    </cfRule>
  </conditionalFormatting>
  <conditionalFormatting sqref="J213:J214 L522">
    <cfRule type="containsBlanks" dxfId="8" priority="936">
      <formula>LEN(TRIM(J213))=0</formula>
    </cfRule>
  </conditionalFormatting>
  <conditionalFormatting sqref="J213:J214 L522">
    <cfRule type="containsBlanks" dxfId="10" priority="937">
      <formula>LEN(TRIM(J213))=0</formula>
    </cfRule>
  </conditionalFormatting>
  <conditionalFormatting sqref="E213:E214 E520:E521">
    <cfRule type="containsText" dxfId="1" priority="938" operator="containsText" text="Lapsed">
      <formula>NOT(ISERROR(SEARCH(("Lapsed"),(E213))))</formula>
    </cfRule>
  </conditionalFormatting>
  <conditionalFormatting sqref="E213:E214 E520:E521">
    <cfRule type="containsText" dxfId="2" priority="939" operator="containsText" text="Active">
      <formula>NOT(ISERROR(SEARCH(("Active"),(E213))))</formula>
    </cfRule>
  </conditionalFormatting>
  <conditionalFormatting sqref="D213:D214 D520:D521">
    <cfRule type="containsText" dxfId="3" priority="940" operator="containsText" text="Youth">
      <formula>NOT(ISERROR(SEARCH(("Youth"),(D213))))</formula>
    </cfRule>
  </conditionalFormatting>
  <conditionalFormatting sqref="J213:J214 L520:L521">
    <cfRule type="containsBlanks" dxfId="8" priority="941">
      <formula>LEN(TRIM(J213))=0</formula>
    </cfRule>
  </conditionalFormatting>
  <conditionalFormatting sqref="J213:J214 L520:L521">
    <cfRule type="containsBlanks" dxfId="10" priority="942">
      <formula>LEN(TRIM(J213))=0</formula>
    </cfRule>
  </conditionalFormatting>
  <conditionalFormatting sqref="E213:E214 E518:E519">
    <cfRule type="containsText" dxfId="1" priority="943" operator="containsText" text="Lapsed">
      <formula>NOT(ISERROR(SEARCH(("Lapsed"),(E213))))</formula>
    </cfRule>
  </conditionalFormatting>
  <conditionalFormatting sqref="E213:E214 E518:E519">
    <cfRule type="containsText" dxfId="2" priority="944" operator="containsText" text="Active">
      <formula>NOT(ISERROR(SEARCH(("Active"),(E213))))</formula>
    </cfRule>
  </conditionalFormatting>
  <conditionalFormatting sqref="D213:D214 D518:D519">
    <cfRule type="containsText" dxfId="3" priority="945" operator="containsText" text="Youth">
      <formula>NOT(ISERROR(SEARCH(("Youth"),(D213))))</formula>
    </cfRule>
  </conditionalFormatting>
  <conditionalFormatting sqref="J213:J214 L518:L519">
    <cfRule type="containsBlanks" dxfId="8" priority="946">
      <formula>LEN(TRIM(J213))=0</formula>
    </cfRule>
  </conditionalFormatting>
  <conditionalFormatting sqref="J213:J214 L518:L519">
    <cfRule type="containsBlanks" dxfId="10" priority="947">
      <formula>LEN(TRIM(J213))=0</formula>
    </cfRule>
  </conditionalFormatting>
  <conditionalFormatting sqref="E213:E214 E427:E517">
    <cfRule type="containsText" dxfId="1" priority="948" operator="containsText" text="Lapsed">
      <formula>NOT(ISERROR(SEARCH(("Lapsed"),(E213))))</formula>
    </cfRule>
  </conditionalFormatting>
  <conditionalFormatting sqref="E213:E214 E427:E517">
    <cfRule type="containsText" dxfId="2" priority="949" operator="containsText" text="Active">
      <formula>NOT(ISERROR(SEARCH(("Active"),(E213))))</formula>
    </cfRule>
  </conditionalFormatting>
  <conditionalFormatting sqref="D213:D214 D427:D517">
    <cfRule type="containsText" dxfId="3" priority="950" operator="containsText" text="Youth">
      <formula>NOT(ISERROR(SEARCH(("Youth"),(D213))))</formula>
    </cfRule>
  </conditionalFormatting>
  <conditionalFormatting sqref="J213:J214 L427:L517">
    <cfRule type="containsBlanks" dxfId="8" priority="951">
      <formula>LEN(TRIM(J213))=0</formula>
    </cfRule>
  </conditionalFormatting>
  <conditionalFormatting sqref="J213:J214 L427:L517">
    <cfRule type="containsBlanks" dxfId="10" priority="952">
      <formula>LEN(TRIM(J213))=0</formula>
    </cfRule>
  </conditionalFormatting>
  <conditionalFormatting sqref="E213:E214 E425:E426">
    <cfRule type="containsText" dxfId="1" priority="953" operator="containsText" text="Lapsed">
      <formula>NOT(ISERROR(SEARCH(("Lapsed"),(E213))))</formula>
    </cfRule>
  </conditionalFormatting>
  <conditionalFormatting sqref="E213:E214 E425:E426">
    <cfRule type="containsText" dxfId="2" priority="954" operator="containsText" text="Active">
      <formula>NOT(ISERROR(SEARCH(("Active"),(E213))))</formula>
    </cfRule>
  </conditionalFormatting>
  <conditionalFormatting sqref="D213:D214 D425:D426">
    <cfRule type="containsText" dxfId="3" priority="955" operator="containsText" text="Youth">
      <formula>NOT(ISERROR(SEARCH(("Youth"),(D213))))</formula>
    </cfRule>
  </conditionalFormatting>
  <conditionalFormatting sqref="J213:J214 L425:L426">
    <cfRule type="containsBlanks" dxfId="8" priority="956">
      <formula>LEN(TRIM(J213))=0</formula>
    </cfRule>
  </conditionalFormatting>
  <conditionalFormatting sqref="J213:J214 L425:L426">
    <cfRule type="containsBlanks" dxfId="10" priority="957">
      <formula>LEN(TRIM(J213))=0</formula>
    </cfRule>
  </conditionalFormatting>
  <conditionalFormatting sqref="E213:E214 E424">
    <cfRule type="containsText" dxfId="1" priority="958" operator="containsText" text="Lapsed">
      <formula>NOT(ISERROR(SEARCH(("Lapsed"),(E213))))</formula>
    </cfRule>
  </conditionalFormatting>
  <conditionalFormatting sqref="E213:E214 E424">
    <cfRule type="containsText" dxfId="2" priority="959" operator="containsText" text="Active">
      <formula>NOT(ISERROR(SEARCH(("Active"),(E213))))</formula>
    </cfRule>
  </conditionalFormatting>
  <conditionalFormatting sqref="D213:D214 D424">
    <cfRule type="containsText" dxfId="3" priority="960" operator="containsText" text="Youth">
      <formula>NOT(ISERROR(SEARCH(("Youth"),(D213))))</formula>
    </cfRule>
  </conditionalFormatting>
  <conditionalFormatting sqref="J213:J214 L424">
    <cfRule type="containsBlanks" dxfId="8" priority="961">
      <formula>LEN(TRIM(J213))=0</formula>
    </cfRule>
  </conditionalFormatting>
  <conditionalFormatting sqref="J213:J214 L424">
    <cfRule type="containsBlanks" dxfId="10" priority="962">
      <formula>LEN(TRIM(J213))=0</formula>
    </cfRule>
  </conditionalFormatting>
  <conditionalFormatting sqref="E213:E214 E422:E423">
    <cfRule type="containsText" dxfId="1" priority="963" operator="containsText" text="Lapsed">
      <formula>NOT(ISERROR(SEARCH(("Lapsed"),(E213))))</formula>
    </cfRule>
  </conditionalFormatting>
  <conditionalFormatting sqref="E213:E214 E422:E423">
    <cfRule type="containsText" dxfId="2" priority="964" operator="containsText" text="Active">
      <formula>NOT(ISERROR(SEARCH(("Active"),(E213))))</formula>
    </cfRule>
  </conditionalFormatting>
  <conditionalFormatting sqref="D213:D214 D422:D423">
    <cfRule type="containsText" dxfId="3" priority="965" operator="containsText" text="Youth">
      <formula>NOT(ISERROR(SEARCH(("Youth"),(D213))))</formula>
    </cfRule>
  </conditionalFormatting>
  <conditionalFormatting sqref="J213:J214 L422:L423">
    <cfRule type="containsBlanks" dxfId="8" priority="966">
      <formula>LEN(TRIM(J213))=0</formula>
    </cfRule>
  </conditionalFormatting>
  <conditionalFormatting sqref="J213:J214 L422:L423">
    <cfRule type="containsBlanks" dxfId="10" priority="967">
      <formula>LEN(TRIM(J213))=0</formula>
    </cfRule>
  </conditionalFormatting>
  <conditionalFormatting sqref="E213:E214 E421">
    <cfRule type="containsText" dxfId="1" priority="968" operator="containsText" text="Lapsed">
      <formula>NOT(ISERROR(SEARCH(("Lapsed"),(E213))))</formula>
    </cfRule>
  </conditionalFormatting>
  <conditionalFormatting sqref="E213:E214 E421">
    <cfRule type="containsText" dxfId="2" priority="969" operator="containsText" text="Active">
      <formula>NOT(ISERROR(SEARCH(("Active"),(E213))))</formula>
    </cfRule>
  </conditionalFormatting>
  <conditionalFormatting sqref="D213:D214 D421">
    <cfRule type="containsText" dxfId="3" priority="970" operator="containsText" text="Youth">
      <formula>NOT(ISERROR(SEARCH(("Youth"),(D213))))</formula>
    </cfRule>
  </conditionalFormatting>
  <conditionalFormatting sqref="J213:J214 L421">
    <cfRule type="containsBlanks" dxfId="8" priority="971">
      <formula>LEN(TRIM(J213))=0</formula>
    </cfRule>
  </conditionalFormatting>
  <conditionalFormatting sqref="J213:J214 L421">
    <cfRule type="containsBlanks" dxfId="10" priority="972">
      <formula>LEN(TRIM(J213))=0</formula>
    </cfRule>
  </conditionalFormatting>
  <conditionalFormatting sqref="E213:E214 E420">
    <cfRule type="containsText" dxfId="1" priority="973" operator="containsText" text="Lapsed">
      <formula>NOT(ISERROR(SEARCH(("Lapsed"),(E213))))</formula>
    </cfRule>
  </conditionalFormatting>
  <conditionalFormatting sqref="E213:E214 E420">
    <cfRule type="containsText" dxfId="2" priority="974" operator="containsText" text="Active">
      <formula>NOT(ISERROR(SEARCH(("Active"),(E213))))</formula>
    </cfRule>
  </conditionalFormatting>
  <conditionalFormatting sqref="D213:D214 D420">
    <cfRule type="containsText" dxfId="3" priority="975" operator="containsText" text="Youth">
      <formula>NOT(ISERROR(SEARCH(("Youth"),(D213))))</formula>
    </cfRule>
  </conditionalFormatting>
  <conditionalFormatting sqref="J213:J214 L420">
    <cfRule type="containsBlanks" dxfId="8" priority="976">
      <formula>LEN(TRIM(J213))=0</formula>
    </cfRule>
  </conditionalFormatting>
  <conditionalFormatting sqref="J213:J214 L420">
    <cfRule type="containsBlanks" dxfId="10" priority="977">
      <formula>LEN(TRIM(J213))=0</formula>
    </cfRule>
  </conditionalFormatting>
  <conditionalFormatting sqref="E213:E214 E419">
    <cfRule type="containsText" dxfId="1" priority="978" operator="containsText" text="Lapsed">
      <formula>NOT(ISERROR(SEARCH(("Lapsed"),(E213))))</formula>
    </cfRule>
  </conditionalFormatting>
  <conditionalFormatting sqref="E213:E214 E419">
    <cfRule type="containsText" dxfId="2" priority="979" operator="containsText" text="Active">
      <formula>NOT(ISERROR(SEARCH(("Active"),(E213))))</formula>
    </cfRule>
  </conditionalFormatting>
  <conditionalFormatting sqref="D213:D214 D419">
    <cfRule type="containsText" dxfId="3" priority="980" operator="containsText" text="Youth">
      <formula>NOT(ISERROR(SEARCH(("Youth"),(D213))))</formula>
    </cfRule>
  </conditionalFormatting>
  <conditionalFormatting sqref="J213:J214 L419">
    <cfRule type="containsBlanks" dxfId="8" priority="981">
      <formula>LEN(TRIM(J213))=0</formula>
    </cfRule>
  </conditionalFormatting>
  <conditionalFormatting sqref="J213:J214 L419">
    <cfRule type="containsBlanks" dxfId="10" priority="982">
      <formula>LEN(TRIM(J213))=0</formula>
    </cfRule>
  </conditionalFormatting>
  <conditionalFormatting sqref="E213:E214 E418">
    <cfRule type="containsText" dxfId="1" priority="983" operator="containsText" text="Lapsed">
      <formula>NOT(ISERROR(SEARCH(("Lapsed"),(E213))))</formula>
    </cfRule>
  </conditionalFormatting>
  <conditionalFormatting sqref="E213:E214 E418">
    <cfRule type="containsText" dxfId="2" priority="984" operator="containsText" text="Active">
      <formula>NOT(ISERROR(SEARCH(("Active"),(E213))))</formula>
    </cfRule>
  </conditionalFormatting>
  <conditionalFormatting sqref="D213:D214 D418">
    <cfRule type="containsText" dxfId="3" priority="985" operator="containsText" text="Youth">
      <formula>NOT(ISERROR(SEARCH(("Youth"),(D213))))</formula>
    </cfRule>
  </conditionalFormatting>
  <conditionalFormatting sqref="J213:J214 L418">
    <cfRule type="containsBlanks" dxfId="8" priority="986">
      <formula>LEN(TRIM(J213))=0</formula>
    </cfRule>
  </conditionalFormatting>
  <conditionalFormatting sqref="J213:J214 L418">
    <cfRule type="containsBlanks" dxfId="10" priority="987">
      <formula>LEN(TRIM(J213))=0</formula>
    </cfRule>
  </conditionalFormatting>
  <conditionalFormatting sqref="E213:E214 E417">
    <cfRule type="containsText" dxfId="1" priority="988" operator="containsText" text="Lapsed">
      <formula>NOT(ISERROR(SEARCH(("Lapsed"),(E213))))</formula>
    </cfRule>
  </conditionalFormatting>
  <conditionalFormatting sqref="E213:E214 E417">
    <cfRule type="containsText" dxfId="2" priority="989" operator="containsText" text="Active">
      <formula>NOT(ISERROR(SEARCH(("Active"),(E213))))</formula>
    </cfRule>
  </conditionalFormatting>
  <conditionalFormatting sqref="D213:D214 D417">
    <cfRule type="containsText" dxfId="3" priority="990" operator="containsText" text="Youth">
      <formula>NOT(ISERROR(SEARCH(("Youth"),(D213))))</formula>
    </cfRule>
  </conditionalFormatting>
  <conditionalFormatting sqref="J213:J214 L417">
    <cfRule type="containsBlanks" dxfId="8" priority="991">
      <formula>LEN(TRIM(J213))=0</formula>
    </cfRule>
  </conditionalFormatting>
  <conditionalFormatting sqref="J213:J214 L417">
    <cfRule type="containsBlanks" dxfId="10" priority="992">
      <formula>LEN(TRIM(J213))=0</formula>
    </cfRule>
  </conditionalFormatting>
  <conditionalFormatting sqref="E213:E214 E416">
    <cfRule type="containsText" dxfId="1" priority="993" operator="containsText" text="Lapsed">
      <formula>NOT(ISERROR(SEARCH(("Lapsed"),(E213))))</formula>
    </cfRule>
  </conditionalFormatting>
  <conditionalFormatting sqref="E213:E214 E416">
    <cfRule type="containsText" dxfId="2" priority="994" operator="containsText" text="Active">
      <formula>NOT(ISERROR(SEARCH(("Active"),(E213))))</formula>
    </cfRule>
  </conditionalFormatting>
  <conditionalFormatting sqref="D213:D214 D416">
    <cfRule type="containsText" dxfId="3" priority="995" operator="containsText" text="Youth">
      <formula>NOT(ISERROR(SEARCH(("Youth"),(D213))))</formula>
    </cfRule>
  </conditionalFormatting>
  <conditionalFormatting sqref="J213:J214 L416">
    <cfRule type="containsBlanks" dxfId="8" priority="996">
      <formula>LEN(TRIM(J213))=0</formula>
    </cfRule>
  </conditionalFormatting>
  <conditionalFormatting sqref="J213:J214 L416">
    <cfRule type="containsBlanks" dxfId="10" priority="997">
      <formula>LEN(TRIM(J213))=0</formula>
    </cfRule>
  </conditionalFormatting>
  <conditionalFormatting sqref="E213:E214 E415">
    <cfRule type="containsText" dxfId="1" priority="998" operator="containsText" text="Lapsed">
      <formula>NOT(ISERROR(SEARCH(("Lapsed"),(E213))))</formula>
    </cfRule>
  </conditionalFormatting>
  <conditionalFormatting sqref="E213:E214 E415">
    <cfRule type="containsText" dxfId="2" priority="999" operator="containsText" text="Active">
      <formula>NOT(ISERROR(SEARCH(("Active"),(E213))))</formula>
    </cfRule>
  </conditionalFormatting>
  <conditionalFormatting sqref="D213:D214 D415">
    <cfRule type="containsText" dxfId="3" priority="1000" operator="containsText" text="Youth">
      <formula>NOT(ISERROR(SEARCH(("Youth"),(D213))))</formula>
    </cfRule>
  </conditionalFormatting>
  <conditionalFormatting sqref="J213:J214 L415">
    <cfRule type="containsBlanks" dxfId="8" priority="1001">
      <formula>LEN(TRIM(J213))=0</formula>
    </cfRule>
  </conditionalFormatting>
  <conditionalFormatting sqref="J213:J214 L415">
    <cfRule type="containsBlanks" dxfId="10" priority="1002">
      <formula>LEN(TRIM(J213))=0</formula>
    </cfRule>
  </conditionalFormatting>
  <conditionalFormatting sqref="E213:E214 E414">
    <cfRule type="containsText" dxfId="1" priority="1003" operator="containsText" text="Lapsed">
      <formula>NOT(ISERROR(SEARCH(("Lapsed"),(E213))))</formula>
    </cfRule>
  </conditionalFormatting>
  <conditionalFormatting sqref="E213:E214 E414">
    <cfRule type="containsText" dxfId="2" priority="1004" operator="containsText" text="Active">
      <formula>NOT(ISERROR(SEARCH(("Active"),(E213))))</formula>
    </cfRule>
  </conditionalFormatting>
  <conditionalFormatting sqref="D213:D214 D414">
    <cfRule type="containsText" dxfId="3" priority="1005" operator="containsText" text="Youth">
      <formula>NOT(ISERROR(SEARCH(("Youth"),(D213))))</formula>
    </cfRule>
  </conditionalFormatting>
  <conditionalFormatting sqref="J213:J214 L414">
    <cfRule type="containsBlanks" dxfId="8" priority="1006">
      <formula>LEN(TRIM(J213))=0</formula>
    </cfRule>
  </conditionalFormatting>
  <conditionalFormatting sqref="J213:J214 L414">
    <cfRule type="containsBlanks" dxfId="10" priority="1007">
      <formula>LEN(TRIM(J213))=0</formula>
    </cfRule>
  </conditionalFormatting>
  <conditionalFormatting sqref="E213:E214 E413">
    <cfRule type="containsText" dxfId="1" priority="1008" operator="containsText" text="Lapsed">
      <formula>NOT(ISERROR(SEARCH(("Lapsed"),(E213))))</formula>
    </cfRule>
  </conditionalFormatting>
  <conditionalFormatting sqref="E213:E214 E413">
    <cfRule type="containsText" dxfId="2" priority="1009" operator="containsText" text="Active">
      <formula>NOT(ISERROR(SEARCH(("Active"),(E213))))</formula>
    </cfRule>
  </conditionalFormatting>
  <conditionalFormatting sqref="D213:D214 D413">
    <cfRule type="containsText" dxfId="3" priority="1010" operator="containsText" text="Youth">
      <formula>NOT(ISERROR(SEARCH(("Youth"),(D213))))</formula>
    </cfRule>
  </conditionalFormatting>
  <conditionalFormatting sqref="J213:J214 L413">
    <cfRule type="containsBlanks" dxfId="8" priority="1011">
      <formula>LEN(TRIM(J213))=0</formula>
    </cfRule>
  </conditionalFormatting>
  <conditionalFormatting sqref="J213:J214 L413">
    <cfRule type="containsBlanks" dxfId="10" priority="1012">
      <formula>LEN(TRIM(J213))=0</formula>
    </cfRule>
  </conditionalFormatting>
  <conditionalFormatting sqref="E213:E214 E412">
    <cfRule type="containsText" dxfId="1" priority="1013" operator="containsText" text="Lapsed">
      <formula>NOT(ISERROR(SEARCH(("Lapsed"),(E213))))</formula>
    </cfRule>
  </conditionalFormatting>
  <conditionalFormatting sqref="E213:E214 E412">
    <cfRule type="containsText" dxfId="2" priority="1014" operator="containsText" text="Active">
      <formula>NOT(ISERROR(SEARCH(("Active"),(E213))))</formula>
    </cfRule>
  </conditionalFormatting>
  <conditionalFormatting sqref="D213:D214 D412">
    <cfRule type="containsText" dxfId="3" priority="1015" operator="containsText" text="Youth">
      <formula>NOT(ISERROR(SEARCH(("Youth"),(D213))))</formula>
    </cfRule>
  </conditionalFormatting>
  <conditionalFormatting sqref="J213:J214 L412">
    <cfRule type="containsBlanks" dxfId="8" priority="1016">
      <formula>LEN(TRIM(J213))=0</formula>
    </cfRule>
  </conditionalFormatting>
  <conditionalFormatting sqref="J213:J214 L412">
    <cfRule type="containsBlanks" dxfId="10" priority="1017">
      <formula>LEN(TRIM(J213))=0</formula>
    </cfRule>
  </conditionalFormatting>
  <conditionalFormatting sqref="E213:E214 E410:E411">
    <cfRule type="containsText" dxfId="1" priority="1018" operator="containsText" text="Lapsed">
      <formula>NOT(ISERROR(SEARCH(("Lapsed"),(E213))))</formula>
    </cfRule>
  </conditionalFormatting>
  <conditionalFormatting sqref="E213:E214 E410:E411">
    <cfRule type="containsText" dxfId="2" priority="1019" operator="containsText" text="Active">
      <formula>NOT(ISERROR(SEARCH(("Active"),(E213))))</formula>
    </cfRule>
  </conditionalFormatting>
  <conditionalFormatting sqref="D213:D214 D410:D411">
    <cfRule type="containsText" dxfId="3" priority="1020" operator="containsText" text="Youth">
      <formula>NOT(ISERROR(SEARCH(("Youth"),(D213))))</formula>
    </cfRule>
  </conditionalFormatting>
  <conditionalFormatting sqref="J213:J214 L410:L411">
    <cfRule type="containsBlanks" dxfId="8" priority="1021">
      <formula>LEN(TRIM(J213))=0</formula>
    </cfRule>
  </conditionalFormatting>
  <conditionalFormatting sqref="J213:J214 L410:L411">
    <cfRule type="containsBlanks" dxfId="10" priority="1022">
      <formula>LEN(TRIM(J213))=0</formula>
    </cfRule>
  </conditionalFormatting>
  <conditionalFormatting sqref="E213:E214 E409">
    <cfRule type="containsText" dxfId="1" priority="1023" operator="containsText" text="Lapsed">
      <formula>NOT(ISERROR(SEARCH(("Lapsed"),(E213))))</formula>
    </cfRule>
  </conditionalFormatting>
  <conditionalFormatting sqref="E213:E214 E409">
    <cfRule type="containsText" dxfId="2" priority="1024" operator="containsText" text="Active">
      <formula>NOT(ISERROR(SEARCH(("Active"),(E213))))</formula>
    </cfRule>
  </conditionalFormatting>
  <conditionalFormatting sqref="D213:D214 D409">
    <cfRule type="containsText" dxfId="3" priority="1025" operator="containsText" text="Youth">
      <formula>NOT(ISERROR(SEARCH(("Youth"),(D213))))</formula>
    </cfRule>
  </conditionalFormatting>
  <conditionalFormatting sqref="J213:J214 L409">
    <cfRule type="containsBlanks" dxfId="8" priority="1026">
      <formula>LEN(TRIM(J213))=0</formula>
    </cfRule>
  </conditionalFormatting>
  <conditionalFormatting sqref="J213:J214 L409">
    <cfRule type="containsBlanks" dxfId="10" priority="1027">
      <formula>LEN(TRIM(J213))=0</formula>
    </cfRule>
  </conditionalFormatting>
  <conditionalFormatting sqref="E213:E214 E407:E408">
    <cfRule type="containsText" dxfId="1" priority="1028" operator="containsText" text="Lapsed">
      <formula>NOT(ISERROR(SEARCH(("Lapsed"),(E213))))</formula>
    </cfRule>
  </conditionalFormatting>
  <conditionalFormatting sqref="E213:E214 E407:E408">
    <cfRule type="containsText" dxfId="2" priority="1029" operator="containsText" text="Active">
      <formula>NOT(ISERROR(SEARCH(("Active"),(E213))))</formula>
    </cfRule>
  </conditionalFormatting>
  <conditionalFormatting sqref="D213:D214 D407:D408">
    <cfRule type="containsText" dxfId="3" priority="1030" operator="containsText" text="Youth">
      <formula>NOT(ISERROR(SEARCH(("Youth"),(D213))))</formula>
    </cfRule>
  </conditionalFormatting>
  <conditionalFormatting sqref="J213:J214 L407:L408">
    <cfRule type="containsBlanks" dxfId="8" priority="1031">
      <formula>LEN(TRIM(J213))=0</formula>
    </cfRule>
  </conditionalFormatting>
  <conditionalFormatting sqref="J213:J214 L407:L408">
    <cfRule type="containsBlanks" dxfId="10" priority="1032">
      <formula>LEN(TRIM(J213))=0</formula>
    </cfRule>
  </conditionalFormatting>
  <conditionalFormatting sqref="E213:E214 E406">
    <cfRule type="containsText" dxfId="1" priority="1033" operator="containsText" text="Lapsed">
      <formula>NOT(ISERROR(SEARCH(("Lapsed"),(E213))))</formula>
    </cfRule>
  </conditionalFormatting>
  <conditionalFormatting sqref="E213:E214 E406">
    <cfRule type="containsText" dxfId="2" priority="1034" operator="containsText" text="Active">
      <formula>NOT(ISERROR(SEARCH(("Active"),(E213))))</formula>
    </cfRule>
  </conditionalFormatting>
  <conditionalFormatting sqref="D213:D214 D406">
    <cfRule type="containsText" dxfId="3" priority="1035" operator="containsText" text="Youth">
      <formula>NOT(ISERROR(SEARCH(("Youth"),(D213))))</formula>
    </cfRule>
  </conditionalFormatting>
  <conditionalFormatting sqref="J213:J214 L406">
    <cfRule type="containsBlanks" dxfId="8" priority="1036">
      <formula>LEN(TRIM(J213))=0</formula>
    </cfRule>
  </conditionalFormatting>
  <conditionalFormatting sqref="J213:J214 L406">
    <cfRule type="containsBlanks" dxfId="10" priority="1037">
      <formula>LEN(TRIM(J213))=0</formula>
    </cfRule>
  </conditionalFormatting>
  <conditionalFormatting sqref="E213:E214 E404:E405">
    <cfRule type="containsText" dxfId="1" priority="1038" operator="containsText" text="Lapsed">
      <formula>NOT(ISERROR(SEARCH(("Lapsed"),(E213))))</formula>
    </cfRule>
  </conditionalFormatting>
  <conditionalFormatting sqref="E213:E214 E404:E405">
    <cfRule type="containsText" dxfId="2" priority="1039" operator="containsText" text="Active">
      <formula>NOT(ISERROR(SEARCH(("Active"),(E213))))</formula>
    </cfRule>
  </conditionalFormatting>
  <conditionalFormatting sqref="D213:D214 D404:D405">
    <cfRule type="containsText" dxfId="3" priority="1040" operator="containsText" text="Youth">
      <formula>NOT(ISERROR(SEARCH(("Youth"),(D213))))</formula>
    </cfRule>
  </conditionalFormatting>
  <conditionalFormatting sqref="J213:J214 L404:L405">
    <cfRule type="containsBlanks" dxfId="8" priority="1041">
      <formula>LEN(TRIM(J213))=0</formula>
    </cfRule>
  </conditionalFormatting>
  <conditionalFormatting sqref="J213:J214 L404:L405">
    <cfRule type="containsBlanks" dxfId="10" priority="1042">
      <formula>LEN(TRIM(J213))=0</formula>
    </cfRule>
  </conditionalFormatting>
  <conditionalFormatting sqref="E213:E214 E403">
    <cfRule type="containsText" dxfId="1" priority="1043" operator="containsText" text="Lapsed">
      <formula>NOT(ISERROR(SEARCH(("Lapsed"),(E213))))</formula>
    </cfRule>
  </conditionalFormatting>
  <conditionalFormatting sqref="E213:E214 E403">
    <cfRule type="containsText" dxfId="2" priority="1044" operator="containsText" text="Active">
      <formula>NOT(ISERROR(SEARCH(("Active"),(E213))))</formula>
    </cfRule>
  </conditionalFormatting>
  <conditionalFormatting sqref="D213:D214 D403">
    <cfRule type="containsText" dxfId="3" priority="1045" operator="containsText" text="Youth">
      <formula>NOT(ISERROR(SEARCH(("Youth"),(D213))))</formula>
    </cfRule>
  </conditionalFormatting>
  <conditionalFormatting sqref="J213:J214 L403">
    <cfRule type="containsBlanks" dxfId="8" priority="1046">
      <formula>LEN(TRIM(J213))=0</formula>
    </cfRule>
  </conditionalFormatting>
  <conditionalFormatting sqref="J213:J214 L403">
    <cfRule type="containsBlanks" dxfId="10" priority="1047">
      <formula>LEN(TRIM(J213))=0</formula>
    </cfRule>
  </conditionalFormatting>
  <conditionalFormatting sqref="E213:E214 E402">
    <cfRule type="containsText" dxfId="1" priority="1048" operator="containsText" text="Lapsed">
      <formula>NOT(ISERROR(SEARCH(("Lapsed"),(E213))))</formula>
    </cfRule>
  </conditionalFormatting>
  <conditionalFormatting sqref="E213:E214 E402">
    <cfRule type="containsText" dxfId="2" priority="1049" operator="containsText" text="Active">
      <formula>NOT(ISERROR(SEARCH(("Active"),(E213))))</formula>
    </cfRule>
  </conditionalFormatting>
  <conditionalFormatting sqref="D213:D214 D402">
    <cfRule type="containsText" dxfId="3" priority="1050" operator="containsText" text="Youth">
      <formula>NOT(ISERROR(SEARCH(("Youth"),(D213))))</formula>
    </cfRule>
  </conditionalFormatting>
  <conditionalFormatting sqref="J213:J214 L402">
    <cfRule type="containsBlanks" dxfId="8" priority="1051">
      <formula>LEN(TRIM(J213))=0</formula>
    </cfRule>
  </conditionalFormatting>
  <conditionalFormatting sqref="J213:J214 L402">
    <cfRule type="containsBlanks" dxfId="10" priority="1052">
      <formula>LEN(TRIM(J213))=0</formula>
    </cfRule>
  </conditionalFormatting>
  <conditionalFormatting sqref="E213:E214 E400:E401">
    <cfRule type="containsText" dxfId="1" priority="1053" operator="containsText" text="Lapsed">
      <formula>NOT(ISERROR(SEARCH(("Lapsed"),(E213))))</formula>
    </cfRule>
  </conditionalFormatting>
  <conditionalFormatting sqref="E213:E214 E400:E401">
    <cfRule type="containsText" dxfId="2" priority="1054" operator="containsText" text="Active">
      <formula>NOT(ISERROR(SEARCH(("Active"),(E213))))</formula>
    </cfRule>
  </conditionalFormatting>
  <conditionalFormatting sqref="D213:D214 D400:D401">
    <cfRule type="containsText" dxfId="3" priority="1055" operator="containsText" text="Youth">
      <formula>NOT(ISERROR(SEARCH(("Youth"),(D213))))</formula>
    </cfRule>
  </conditionalFormatting>
  <conditionalFormatting sqref="J213:J214 L400:L401">
    <cfRule type="containsBlanks" dxfId="8" priority="1056">
      <formula>LEN(TRIM(J213))=0</formula>
    </cfRule>
  </conditionalFormatting>
  <conditionalFormatting sqref="J213:J214 L400:L401">
    <cfRule type="containsBlanks" dxfId="10" priority="1057">
      <formula>LEN(TRIM(J213))=0</formula>
    </cfRule>
  </conditionalFormatting>
  <conditionalFormatting sqref="E213:E214 E399">
    <cfRule type="containsText" dxfId="1" priority="1058" operator="containsText" text="Lapsed">
      <formula>NOT(ISERROR(SEARCH(("Lapsed"),(E213))))</formula>
    </cfRule>
  </conditionalFormatting>
  <conditionalFormatting sqref="E213:E214 E399">
    <cfRule type="containsText" dxfId="2" priority="1059" operator="containsText" text="Active">
      <formula>NOT(ISERROR(SEARCH(("Active"),(E213))))</formula>
    </cfRule>
  </conditionalFormatting>
  <conditionalFormatting sqref="D213:D214 D399">
    <cfRule type="containsText" dxfId="3" priority="1060" operator="containsText" text="Youth">
      <formula>NOT(ISERROR(SEARCH(("Youth"),(D213))))</formula>
    </cfRule>
  </conditionalFormatting>
  <conditionalFormatting sqref="J213:J214 L399">
    <cfRule type="containsBlanks" dxfId="8" priority="1061">
      <formula>LEN(TRIM(J213))=0</formula>
    </cfRule>
  </conditionalFormatting>
  <conditionalFormatting sqref="J213:J214 L399">
    <cfRule type="containsBlanks" dxfId="10" priority="1062">
      <formula>LEN(TRIM(J213))=0</formula>
    </cfRule>
  </conditionalFormatting>
  <conditionalFormatting sqref="E213:E214 E398">
    <cfRule type="containsText" dxfId="1" priority="1063" operator="containsText" text="Lapsed">
      <formula>NOT(ISERROR(SEARCH(("Lapsed"),(E213))))</formula>
    </cfRule>
  </conditionalFormatting>
  <conditionalFormatting sqref="E213:E214 E398">
    <cfRule type="containsText" dxfId="2" priority="1064" operator="containsText" text="Active">
      <formula>NOT(ISERROR(SEARCH(("Active"),(E213))))</formula>
    </cfRule>
  </conditionalFormatting>
  <conditionalFormatting sqref="D213:D214 D398">
    <cfRule type="containsText" dxfId="3" priority="1065" operator="containsText" text="Youth">
      <formula>NOT(ISERROR(SEARCH(("Youth"),(D213))))</formula>
    </cfRule>
  </conditionalFormatting>
  <conditionalFormatting sqref="J213:J214 L398">
    <cfRule type="containsBlanks" dxfId="8" priority="1066">
      <formula>LEN(TRIM(J213))=0</formula>
    </cfRule>
  </conditionalFormatting>
  <conditionalFormatting sqref="J213:J214 L398">
    <cfRule type="containsBlanks" dxfId="10" priority="1067">
      <formula>LEN(TRIM(J213))=0</formula>
    </cfRule>
  </conditionalFormatting>
  <conditionalFormatting sqref="E213:E214 E397">
    <cfRule type="containsText" dxfId="1" priority="1068" operator="containsText" text="Lapsed">
      <formula>NOT(ISERROR(SEARCH(("Lapsed"),(E213))))</formula>
    </cfRule>
  </conditionalFormatting>
  <conditionalFormatting sqref="E213:E214 E397">
    <cfRule type="containsText" dxfId="2" priority="1069" operator="containsText" text="Active">
      <formula>NOT(ISERROR(SEARCH(("Active"),(E213))))</formula>
    </cfRule>
  </conditionalFormatting>
  <conditionalFormatting sqref="D213:D214 D397">
    <cfRule type="containsText" dxfId="3" priority="1070" operator="containsText" text="Youth">
      <formula>NOT(ISERROR(SEARCH(("Youth"),(D213))))</formula>
    </cfRule>
  </conditionalFormatting>
  <conditionalFormatting sqref="J213:J214 L397">
    <cfRule type="containsBlanks" dxfId="8" priority="1071">
      <formula>LEN(TRIM(J213))=0</formula>
    </cfRule>
  </conditionalFormatting>
  <conditionalFormatting sqref="J213:J214 L397">
    <cfRule type="containsBlanks" dxfId="10" priority="1072">
      <formula>LEN(TRIM(J213))=0</formula>
    </cfRule>
  </conditionalFormatting>
  <conditionalFormatting sqref="E213:E214 E395:E396">
    <cfRule type="containsText" dxfId="1" priority="1073" operator="containsText" text="Lapsed">
      <formula>NOT(ISERROR(SEARCH(("Lapsed"),(E213))))</formula>
    </cfRule>
  </conditionalFormatting>
  <conditionalFormatting sqref="E213:E214 E395:E396">
    <cfRule type="containsText" dxfId="2" priority="1074" operator="containsText" text="Active">
      <formula>NOT(ISERROR(SEARCH(("Active"),(E213))))</formula>
    </cfRule>
  </conditionalFormatting>
  <conditionalFormatting sqref="D213:D214 D395:D396">
    <cfRule type="containsText" dxfId="3" priority="1075" operator="containsText" text="Youth">
      <formula>NOT(ISERROR(SEARCH(("Youth"),(D213))))</formula>
    </cfRule>
  </conditionalFormatting>
  <conditionalFormatting sqref="J213:J214 L395:L396">
    <cfRule type="containsBlanks" dxfId="8" priority="1076">
      <formula>LEN(TRIM(J213))=0</formula>
    </cfRule>
  </conditionalFormatting>
  <conditionalFormatting sqref="J213:J214 L395:L396">
    <cfRule type="containsBlanks" dxfId="10" priority="1077">
      <formula>LEN(TRIM(J213))=0</formula>
    </cfRule>
  </conditionalFormatting>
  <conditionalFormatting sqref="E213:E214 E393:E394">
    <cfRule type="containsText" dxfId="1" priority="1078" operator="containsText" text="Lapsed">
      <formula>NOT(ISERROR(SEARCH(("Lapsed"),(E213))))</formula>
    </cfRule>
  </conditionalFormatting>
  <conditionalFormatting sqref="E213:E214 E393:E394">
    <cfRule type="containsText" dxfId="2" priority="1079" operator="containsText" text="Active">
      <formula>NOT(ISERROR(SEARCH(("Active"),(E213))))</formula>
    </cfRule>
  </conditionalFormatting>
  <conditionalFormatting sqref="D213:D214 D393:D394">
    <cfRule type="containsText" dxfId="3" priority="1080" operator="containsText" text="Youth">
      <formula>NOT(ISERROR(SEARCH(("Youth"),(D213))))</formula>
    </cfRule>
  </conditionalFormatting>
  <conditionalFormatting sqref="J213:J214 L393:L394">
    <cfRule type="containsBlanks" dxfId="8" priority="1081">
      <formula>LEN(TRIM(J213))=0</formula>
    </cfRule>
  </conditionalFormatting>
  <conditionalFormatting sqref="J213:J214 L393:L394">
    <cfRule type="containsBlanks" dxfId="10" priority="1082">
      <formula>LEN(TRIM(J213))=0</formula>
    </cfRule>
  </conditionalFormatting>
  <conditionalFormatting sqref="E213:E214 E392">
    <cfRule type="containsText" dxfId="1" priority="1083" operator="containsText" text="Lapsed">
      <formula>NOT(ISERROR(SEARCH(("Lapsed"),(E213))))</formula>
    </cfRule>
  </conditionalFormatting>
  <conditionalFormatting sqref="E213:E214 E392">
    <cfRule type="containsText" dxfId="2" priority="1084" operator="containsText" text="Active">
      <formula>NOT(ISERROR(SEARCH(("Active"),(E213))))</formula>
    </cfRule>
  </conditionalFormatting>
  <conditionalFormatting sqref="D213:D214 D392">
    <cfRule type="containsText" dxfId="3" priority="1085" operator="containsText" text="Youth">
      <formula>NOT(ISERROR(SEARCH(("Youth"),(D213))))</formula>
    </cfRule>
  </conditionalFormatting>
  <conditionalFormatting sqref="J213:J214 L392">
    <cfRule type="containsBlanks" dxfId="8" priority="1086">
      <formula>LEN(TRIM(J213))=0</formula>
    </cfRule>
  </conditionalFormatting>
  <conditionalFormatting sqref="J213:J214 L392">
    <cfRule type="containsBlanks" dxfId="10" priority="1087">
      <formula>LEN(TRIM(J213))=0</formula>
    </cfRule>
  </conditionalFormatting>
  <conditionalFormatting sqref="E213:E214 E391">
    <cfRule type="containsText" dxfId="1" priority="1088" operator="containsText" text="Lapsed">
      <formula>NOT(ISERROR(SEARCH(("Lapsed"),(E213))))</formula>
    </cfRule>
  </conditionalFormatting>
  <conditionalFormatting sqref="E213:E214 E391">
    <cfRule type="containsText" dxfId="2" priority="1089" operator="containsText" text="Active">
      <formula>NOT(ISERROR(SEARCH(("Active"),(E213))))</formula>
    </cfRule>
  </conditionalFormatting>
  <conditionalFormatting sqref="D213:D214 D391">
    <cfRule type="containsText" dxfId="3" priority="1090" operator="containsText" text="Youth">
      <formula>NOT(ISERROR(SEARCH(("Youth"),(D213))))</formula>
    </cfRule>
  </conditionalFormatting>
  <conditionalFormatting sqref="J213:J214 L391">
    <cfRule type="containsBlanks" dxfId="8" priority="1091">
      <formula>LEN(TRIM(J213))=0</formula>
    </cfRule>
  </conditionalFormatting>
  <conditionalFormatting sqref="J213:J214 L391">
    <cfRule type="containsBlanks" dxfId="10" priority="1092">
      <formula>LEN(TRIM(J213))=0</formula>
    </cfRule>
  </conditionalFormatting>
  <conditionalFormatting sqref="E213:E214 E390">
    <cfRule type="containsText" dxfId="1" priority="1093" operator="containsText" text="Lapsed">
      <formula>NOT(ISERROR(SEARCH(("Lapsed"),(E213))))</formula>
    </cfRule>
  </conditionalFormatting>
  <conditionalFormatting sqref="E213:E214 E390">
    <cfRule type="containsText" dxfId="2" priority="1094" operator="containsText" text="Active">
      <formula>NOT(ISERROR(SEARCH(("Active"),(E213))))</formula>
    </cfRule>
  </conditionalFormatting>
  <conditionalFormatting sqref="D213:D214 D390">
    <cfRule type="containsText" dxfId="3" priority="1095" operator="containsText" text="Youth">
      <formula>NOT(ISERROR(SEARCH(("Youth"),(D213))))</formula>
    </cfRule>
  </conditionalFormatting>
  <conditionalFormatting sqref="J213:J214 L390">
    <cfRule type="containsBlanks" dxfId="8" priority="1096">
      <formula>LEN(TRIM(J213))=0</formula>
    </cfRule>
  </conditionalFormatting>
  <conditionalFormatting sqref="J213:J214 L390">
    <cfRule type="containsBlanks" dxfId="10" priority="1097">
      <formula>LEN(TRIM(J213))=0</formula>
    </cfRule>
  </conditionalFormatting>
  <conditionalFormatting sqref="E213:E214 E388:E389">
    <cfRule type="containsText" dxfId="1" priority="1098" operator="containsText" text="Lapsed">
      <formula>NOT(ISERROR(SEARCH(("Lapsed"),(E213))))</formula>
    </cfRule>
  </conditionalFormatting>
  <conditionalFormatting sqref="E213:E214 E388:E389">
    <cfRule type="containsText" dxfId="2" priority="1099" operator="containsText" text="Active">
      <formula>NOT(ISERROR(SEARCH(("Active"),(E213))))</formula>
    </cfRule>
  </conditionalFormatting>
  <conditionalFormatting sqref="D213:D214 D388:D389">
    <cfRule type="containsText" dxfId="3" priority="1100" operator="containsText" text="Youth">
      <formula>NOT(ISERROR(SEARCH(("Youth"),(D213))))</formula>
    </cfRule>
  </conditionalFormatting>
  <conditionalFormatting sqref="J213:J214 L388:L389">
    <cfRule type="containsBlanks" dxfId="8" priority="1101">
      <formula>LEN(TRIM(J213))=0</formula>
    </cfRule>
  </conditionalFormatting>
  <conditionalFormatting sqref="J213:J214 L388:L389">
    <cfRule type="containsBlanks" dxfId="10" priority="1102">
      <formula>LEN(TRIM(J213))=0</formula>
    </cfRule>
  </conditionalFormatting>
  <conditionalFormatting sqref="E213:E214 E387">
    <cfRule type="containsText" dxfId="1" priority="1103" operator="containsText" text="Lapsed">
      <formula>NOT(ISERROR(SEARCH(("Lapsed"),(E213))))</formula>
    </cfRule>
  </conditionalFormatting>
  <conditionalFormatting sqref="E213:E214 E387">
    <cfRule type="containsText" dxfId="2" priority="1104" operator="containsText" text="Active">
      <formula>NOT(ISERROR(SEARCH(("Active"),(E213))))</formula>
    </cfRule>
  </conditionalFormatting>
  <conditionalFormatting sqref="D213:D214 D387">
    <cfRule type="containsText" dxfId="3" priority="1105" operator="containsText" text="Youth">
      <formula>NOT(ISERROR(SEARCH(("Youth"),(D213))))</formula>
    </cfRule>
  </conditionalFormatting>
  <conditionalFormatting sqref="J213:J214 L387">
    <cfRule type="containsBlanks" dxfId="8" priority="1106">
      <formula>LEN(TRIM(J213))=0</formula>
    </cfRule>
  </conditionalFormatting>
  <conditionalFormatting sqref="J213:J214 L387">
    <cfRule type="containsBlanks" dxfId="10" priority="1107">
      <formula>LEN(TRIM(J213))=0</formula>
    </cfRule>
  </conditionalFormatting>
  <conditionalFormatting sqref="E213:E214 E386">
    <cfRule type="containsText" dxfId="1" priority="1108" operator="containsText" text="Lapsed">
      <formula>NOT(ISERROR(SEARCH(("Lapsed"),(E213))))</formula>
    </cfRule>
  </conditionalFormatting>
  <conditionalFormatting sqref="E213:E214 E386">
    <cfRule type="containsText" dxfId="2" priority="1109" operator="containsText" text="Active">
      <formula>NOT(ISERROR(SEARCH(("Active"),(E213))))</formula>
    </cfRule>
  </conditionalFormatting>
  <conditionalFormatting sqref="D213:D214 D386">
    <cfRule type="containsText" dxfId="3" priority="1110" operator="containsText" text="Youth">
      <formula>NOT(ISERROR(SEARCH(("Youth"),(D213))))</formula>
    </cfRule>
  </conditionalFormatting>
  <conditionalFormatting sqref="J213:J214 L386">
    <cfRule type="containsBlanks" dxfId="8" priority="1111">
      <formula>LEN(TRIM(J213))=0</formula>
    </cfRule>
  </conditionalFormatting>
  <conditionalFormatting sqref="J213:J214 L386">
    <cfRule type="containsBlanks" dxfId="10" priority="1112">
      <formula>LEN(TRIM(J213))=0</formula>
    </cfRule>
  </conditionalFormatting>
  <conditionalFormatting sqref="E213:E214 E385">
    <cfRule type="containsText" dxfId="1" priority="1113" operator="containsText" text="Lapsed">
      <formula>NOT(ISERROR(SEARCH(("Lapsed"),(E213))))</formula>
    </cfRule>
  </conditionalFormatting>
  <conditionalFormatting sqref="E213:E214 E385">
    <cfRule type="containsText" dxfId="2" priority="1114" operator="containsText" text="Active">
      <formula>NOT(ISERROR(SEARCH(("Active"),(E213))))</formula>
    </cfRule>
  </conditionalFormatting>
  <conditionalFormatting sqref="D213:D214 D385">
    <cfRule type="containsText" dxfId="3" priority="1115" operator="containsText" text="Youth">
      <formula>NOT(ISERROR(SEARCH(("Youth"),(D213))))</formula>
    </cfRule>
  </conditionalFormatting>
  <conditionalFormatting sqref="J213:J214 L385">
    <cfRule type="containsBlanks" dxfId="8" priority="1116">
      <formula>LEN(TRIM(J213))=0</formula>
    </cfRule>
  </conditionalFormatting>
  <conditionalFormatting sqref="J213:J214 L385">
    <cfRule type="containsBlanks" dxfId="10" priority="1117">
      <formula>LEN(TRIM(J213))=0</formula>
    </cfRule>
  </conditionalFormatting>
  <conditionalFormatting sqref="E213:E214 E384">
    <cfRule type="containsText" dxfId="1" priority="1118" operator="containsText" text="Lapsed">
      <formula>NOT(ISERROR(SEARCH(("Lapsed"),(E213))))</formula>
    </cfRule>
  </conditionalFormatting>
  <conditionalFormatting sqref="E213:E214 E384">
    <cfRule type="containsText" dxfId="2" priority="1119" operator="containsText" text="Active">
      <formula>NOT(ISERROR(SEARCH(("Active"),(E213))))</formula>
    </cfRule>
  </conditionalFormatting>
  <conditionalFormatting sqref="D213:D214 D384">
    <cfRule type="containsText" dxfId="3" priority="1120" operator="containsText" text="Youth">
      <formula>NOT(ISERROR(SEARCH(("Youth"),(D213))))</formula>
    </cfRule>
  </conditionalFormatting>
  <conditionalFormatting sqref="J213:J214 L384">
    <cfRule type="containsBlanks" dxfId="8" priority="1121">
      <formula>LEN(TRIM(J213))=0</formula>
    </cfRule>
  </conditionalFormatting>
  <conditionalFormatting sqref="J213:J214 L384">
    <cfRule type="containsBlanks" dxfId="10" priority="1122">
      <formula>LEN(TRIM(J213))=0</formula>
    </cfRule>
  </conditionalFormatting>
  <conditionalFormatting sqref="E213:E214 E383">
    <cfRule type="containsText" dxfId="1" priority="1123" operator="containsText" text="Lapsed">
      <formula>NOT(ISERROR(SEARCH(("Lapsed"),(E213))))</formula>
    </cfRule>
  </conditionalFormatting>
  <conditionalFormatting sqref="E213:E214 E383">
    <cfRule type="containsText" dxfId="2" priority="1124" operator="containsText" text="Active">
      <formula>NOT(ISERROR(SEARCH(("Active"),(E213))))</formula>
    </cfRule>
  </conditionalFormatting>
  <conditionalFormatting sqref="D213:D214 D383">
    <cfRule type="containsText" dxfId="3" priority="1125" operator="containsText" text="Youth">
      <formula>NOT(ISERROR(SEARCH(("Youth"),(D213))))</formula>
    </cfRule>
  </conditionalFormatting>
  <conditionalFormatting sqref="J213:J214 L383">
    <cfRule type="containsBlanks" dxfId="8" priority="1126">
      <formula>LEN(TRIM(J213))=0</formula>
    </cfRule>
  </conditionalFormatting>
  <conditionalFormatting sqref="J213:J214 L383">
    <cfRule type="containsBlanks" dxfId="10" priority="1127">
      <formula>LEN(TRIM(J213))=0</formula>
    </cfRule>
  </conditionalFormatting>
  <conditionalFormatting sqref="E213:E214 E382">
    <cfRule type="containsText" dxfId="1" priority="1128" operator="containsText" text="Lapsed">
      <formula>NOT(ISERROR(SEARCH(("Lapsed"),(E213))))</formula>
    </cfRule>
  </conditionalFormatting>
  <conditionalFormatting sqref="E213:E214 E382">
    <cfRule type="containsText" dxfId="2" priority="1129" operator="containsText" text="Active">
      <formula>NOT(ISERROR(SEARCH(("Active"),(E213))))</formula>
    </cfRule>
  </conditionalFormatting>
  <conditionalFormatting sqref="D213:D214 D382">
    <cfRule type="containsText" dxfId="3" priority="1130" operator="containsText" text="Youth">
      <formula>NOT(ISERROR(SEARCH(("Youth"),(D213))))</formula>
    </cfRule>
  </conditionalFormatting>
  <conditionalFormatting sqref="J213:J214 L382">
    <cfRule type="containsBlanks" dxfId="8" priority="1131">
      <formula>LEN(TRIM(J213))=0</formula>
    </cfRule>
  </conditionalFormatting>
  <conditionalFormatting sqref="J213:J214 L382">
    <cfRule type="containsBlanks" dxfId="10" priority="1132">
      <formula>LEN(TRIM(J213))=0</formula>
    </cfRule>
  </conditionalFormatting>
  <conditionalFormatting sqref="E213:E214 E381">
    <cfRule type="containsText" dxfId="1" priority="1133" operator="containsText" text="Lapsed">
      <formula>NOT(ISERROR(SEARCH(("Lapsed"),(E213))))</formula>
    </cfRule>
  </conditionalFormatting>
  <conditionalFormatting sqref="E213:E214 E381">
    <cfRule type="containsText" dxfId="2" priority="1134" operator="containsText" text="Active">
      <formula>NOT(ISERROR(SEARCH(("Active"),(E213))))</formula>
    </cfRule>
  </conditionalFormatting>
  <conditionalFormatting sqref="D213:D214 D381">
    <cfRule type="containsText" dxfId="3" priority="1135" operator="containsText" text="Youth">
      <formula>NOT(ISERROR(SEARCH(("Youth"),(D213))))</formula>
    </cfRule>
  </conditionalFormatting>
  <conditionalFormatting sqref="J213:J214 L381">
    <cfRule type="containsBlanks" dxfId="8" priority="1136">
      <formula>LEN(TRIM(J213))=0</formula>
    </cfRule>
  </conditionalFormatting>
  <conditionalFormatting sqref="J213:J214 L381">
    <cfRule type="containsBlanks" dxfId="10" priority="1137">
      <formula>LEN(TRIM(J213))=0</formula>
    </cfRule>
  </conditionalFormatting>
  <conditionalFormatting sqref="E213:E214 E379:E380">
    <cfRule type="containsText" dxfId="1" priority="1138" operator="containsText" text="Lapsed">
      <formula>NOT(ISERROR(SEARCH(("Lapsed"),(E213))))</formula>
    </cfRule>
  </conditionalFormatting>
  <conditionalFormatting sqref="E213:E214 E379:E380">
    <cfRule type="containsText" dxfId="2" priority="1139" operator="containsText" text="Active">
      <formula>NOT(ISERROR(SEARCH(("Active"),(E213))))</formula>
    </cfRule>
  </conditionalFormatting>
  <conditionalFormatting sqref="D213:D214 D379:D380">
    <cfRule type="containsText" dxfId="3" priority="1140" operator="containsText" text="Youth">
      <formula>NOT(ISERROR(SEARCH(("Youth"),(D213))))</formula>
    </cfRule>
  </conditionalFormatting>
  <conditionalFormatting sqref="J213:J214 L379:L380">
    <cfRule type="containsBlanks" dxfId="8" priority="1141">
      <formula>LEN(TRIM(J213))=0</formula>
    </cfRule>
  </conditionalFormatting>
  <conditionalFormatting sqref="J213:J214 L379:L380">
    <cfRule type="containsBlanks" dxfId="10" priority="1142">
      <formula>LEN(TRIM(J213))=0</formula>
    </cfRule>
  </conditionalFormatting>
  <conditionalFormatting sqref="E213:E214 E378">
    <cfRule type="containsText" dxfId="1" priority="1143" operator="containsText" text="Lapsed">
      <formula>NOT(ISERROR(SEARCH(("Lapsed"),(E213))))</formula>
    </cfRule>
  </conditionalFormatting>
  <conditionalFormatting sqref="E213:E214 E378">
    <cfRule type="containsText" dxfId="2" priority="1144" operator="containsText" text="Active">
      <formula>NOT(ISERROR(SEARCH(("Active"),(E213))))</formula>
    </cfRule>
  </conditionalFormatting>
  <conditionalFormatting sqref="D213:D214 D378">
    <cfRule type="containsText" dxfId="3" priority="1145" operator="containsText" text="Youth">
      <formula>NOT(ISERROR(SEARCH(("Youth"),(D213))))</formula>
    </cfRule>
  </conditionalFormatting>
  <conditionalFormatting sqref="J213:J214 L378">
    <cfRule type="containsBlanks" dxfId="8" priority="1146">
      <formula>LEN(TRIM(J213))=0</formula>
    </cfRule>
  </conditionalFormatting>
  <conditionalFormatting sqref="J213:J214 L378">
    <cfRule type="containsBlanks" dxfId="10" priority="1147">
      <formula>LEN(TRIM(J213))=0</formula>
    </cfRule>
  </conditionalFormatting>
  <conditionalFormatting sqref="E213:E214 E377">
    <cfRule type="containsText" dxfId="1" priority="1148" operator="containsText" text="Lapsed">
      <formula>NOT(ISERROR(SEARCH(("Lapsed"),(E213))))</formula>
    </cfRule>
  </conditionalFormatting>
  <conditionalFormatting sqref="E213:E214 E377">
    <cfRule type="containsText" dxfId="2" priority="1149" operator="containsText" text="Active">
      <formula>NOT(ISERROR(SEARCH(("Active"),(E213))))</formula>
    </cfRule>
  </conditionalFormatting>
  <conditionalFormatting sqref="D213:D214 D377">
    <cfRule type="containsText" dxfId="3" priority="1150" operator="containsText" text="Youth">
      <formula>NOT(ISERROR(SEARCH(("Youth"),(D213))))</formula>
    </cfRule>
  </conditionalFormatting>
  <conditionalFormatting sqref="J213:J214 L377">
    <cfRule type="containsBlanks" dxfId="8" priority="1151">
      <formula>LEN(TRIM(J213))=0</formula>
    </cfRule>
  </conditionalFormatting>
  <conditionalFormatting sqref="J213:J214 L377">
    <cfRule type="containsBlanks" dxfId="10" priority="1152">
      <formula>LEN(TRIM(J213))=0</formula>
    </cfRule>
  </conditionalFormatting>
  <conditionalFormatting sqref="E213:E214 E376">
    <cfRule type="containsText" dxfId="1" priority="1153" operator="containsText" text="Lapsed">
      <formula>NOT(ISERROR(SEARCH(("Lapsed"),(E213))))</formula>
    </cfRule>
  </conditionalFormatting>
  <conditionalFormatting sqref="E213:E214 E376">
    <cfRule type="containsText" dxfId="2" priority="1154" operator="containsText" text="Active">
      <formula>NOT(ISERROR(SEARCH(("Active"),(E213))))</formula>
    </cfRule>
  </conditionalFormatting>
  <conditionalFormatting sqref="D213:D214 D376">
    <cfRule type="containsText" dxfId="3" priority="1155" operator="containsText" text="Youth">
      <formula>NOT(ISERROR(SEARCH(("Youth"),(D213))))</formula>
    </cfRule>
  </conditionalFormatting>
  <conditionalFormatting sqref="J213:J214 L376">
    <cfRule type="containsBlanks" dxfId="8" priority="1156">
      <formula>LEN(TRIM(J213))=0</formula>
    </cfRule>
  </conditionalFormatting>
  <conditionalFormatting sqref="J213:J214 L376">
    <cfRule type="containsBlanks" dxfId="10" priority="1157">
      <formula>LEN(TRIM(J213))=0</formula>
    </cfRule>
  </conditionalFormatting>
  <conditionalFormatting sqref="E213:E214 E375">
    <cfRule type="containsText" dxfId="1" priority="1158" operator="containsText" text="Lapsed">
      <formula>NOT(ISERROR(SEARCH(("Lapsed"),(E213))))</formula>
    </cfRule>
  </conditionalFormatting>
  <conditionalFormatting sqref="E213:E214 E375">
    <cfRule type="containsText" dxfId="2" priority="1159" operator="containsText" text="Active">
      <formula>NOT(ISERROR(SEARCH(("Active"),(E213))))</formula>
    </cfRule>
  </conditionalFormatting>
  <conditionalFormatting sqref="D213:D214 D375">
    <cfRule type="containsText" dxfId="3" priority="1160" operator="containsText" text="Youth">
      <formula>NOT(ISERROR(SEARCH(("Youth"),(D213))))</formula>
    </cfRule>
  </conditionalFormatting>
  <conditionalFormatting sqref="J213:J214 L375">
    <cfRule type="containsBlanks" dxfId="8" priority="1161">
      <formula>LEN(TRIM(J213))=0</formula>
    </cfRule>
  </conditionalFormatting>
  <conditionalFormatting sqref="J213:J214 L375">
    <cfRule type="containsBlanks" dxfId="10" priority="1162">
      <formula>LEN(TRIM(J213))=0</formula>
    </cfRule>
  </conditionalFormatting>
  <conditionalFormatting sqref="E213:E214 E374">
    <cfRule type="containsText" dxfId="1" priority="1163" operator="containsText" text="Lapsed">
      <formula>NOT(ISERROR(SEARCH(("Lapsed"),(E213))))</formula>
    </cfRule>
  </conditionalFormatting>
  <conditionalFormatting sqref="E213:E214 E374">
    <cfRule type="containsText" dxfId="2" priority="1164" operator="containsText" text="Active">
      <formula>NOT(ISERROR(SEARCH(("Active"),(E213))))</formula>
    </cfRule>
  </conditionalFormatting>
  <conditionalFormatting sqref="D213:D214 D374">
    <cfRule type="containsText" dxfId="3" priority="1165" operator="containsText" text="Youth">
      <formula>NOT(ISERROR(SEARCH(("Youth"),(D213))))</formula>
    </cfRule>
  </conditionalFormatting>
  <conditionalFormatting sqref="J213:J214 L374">
    <cfRule type="containsBlanks" dxfId="8" priority="1166">
      <formula>LEN(TRIM(J213))=0</formula>
    </cfRule>
  </conditionalFormatting>
  <conditionalFormatting sqref="J213:J214 L374">
    <cfRule type="containsBlanks" dxfId="10" priority="1167">
      <formula>LEN(TRIM(J213))=0</formula>
    </cfRule>
  </conditionalFormatting>
  <conditionalFormatting sqref="E213:E214 E373">
    <cfRule type="containsText" dxfId="1" priority="1168" operator="containsText" text="Lapsed">
      <formula>NOT(ISERROR(SEARCH(("Lapsed"),(E213))))</formula>
    </cfRule>
  </conditionalFormatting>
  <conditionalFormatting sqref="E213:E214 E373">
    <cfRule type="containsText" dxfId="2" priority="1169" operator="containsText" text="Active">
      <formula>NOT(ISERROR(SEARCH(("Active"),(E213))))</formula>
    </cfRule>
  </conditionalFormatting>
  <conditionalFormatting sqref="D213:D214 D373">
    <cfRule type="containsText" dxfId="3" priority="1170" operator="containsText" text="Youth">
      <formula>NOT(ISERROR(SEARCH(("Youth"),(D213))))</formula>
    </cfRule>
  </conditionalFormatting>
  <conditionalFormatting sqref="J213:J214 L373">
    <cfRule type="containsBlanks" dxfId="8" priority="1171">
      <formula>LEN(TRIM(J213))=0</formula>
    </cfRule>
  </conditionalFormatting>
  <conditionalFormatting sqref="J213:J214 L373">
    <cfRule type="containsBlanks" dxfId="10" priority="1172">
      <formula>LEN(TRIM(J213))=0</formula>
    </cfRule>
  </conditionalFormatting>
  <conditionalFormatting sqref="E213:E214 E372">
    <cfRule type="containsText" dxfId="1" priority="1173" operator="containsText" text="Lapsed">
      <formula>NOT(ISERROR(SEARCH(("Lapsed"),(E213))))</formula>
    </cfRule>
  </conditionalFormatting>
  <conditionalFormatting sqref="E213:E214 E372">
    <cfRule type="containsText" dxfId="2" priority="1174" operator="containsText" text="Active">
      <formula>NOT(ISERROR(SEARCH(("Active"),(E213))))</formula>
    </cfRule>
  </conditionalFormatting>
  <conditionalFormatting sqref="D213:D214 D372">
    <cfRule type="containsText" dxfId="3" priority="1175" operator="containsText" text="Youth">
      <formula>NOT(ISERROR(SEARCH(("Youth"),(D213))))</formula>
    </cfRule>
  </conditionalFormatting>
  <conditionalFormatting sqref="J213:J214 L372">
    <cfRule type="containsBlanks" dxfId="8" priority="1176">
      <formula>LEN(TRIM(J213))=0</formula>
    </cfRule>
  </conditionalFormatting>
  <conditionalFormatting sqref="J213:J214 L372">
    <cfRule type="containsBlanks" dxfId="10" priority="1177">
      <formula>LEN(TRIM(J213))=0</formula>
    </cfRule>
  </conditionalFormatting>
  <conditionalFormatting sqref="E213:E214 E371">
    <cfRule type="containsText" dxfId="1" priority="1178" operator="containsText" text="Lapsed">
      <formula>NOT(ISERROR(SEARCH(("Lapsed"),(E213))))</formula>
    </cfRule>
  </conditionalFormatting>
  <conditionalFormatting sqref="E213:E214 E371">
    <cfRule type="containsText" dxfId="2" priority="1179" operator="containsText" text="Active">
      <formula>NOT(ISERROR(SEARCH(("Active"),(E213))))</formula>
    </cfRule>
  </conditionalFormatting>
  <conditionalFormatting sqref="D213:D214 D371">
    <cfRule type="containsText" dxfId="3" priority="1180" operator="containsText" text="Youth">
      <formula>NOT(ISERROR(SEARCH(("Youth"),(D213))))</formula>
    </cfRule>
  </conditionalFormatting>
  <conditionalFormatting sqref="J213:J214 L371">
    <cfRule type="containsBlanks" dxfId="8" priority="1181">
      <formula>LEN(TRIM(J213))=0</formula>
    </cfRule>
  </conditionalFormatting>
  <conditionalFormatting sqref="J213:J214 L371">
    <cfRule type="containsBlanks" dxfId="10" priority="1182">
      <formula>LEN(TRIM(J213))=0</formula>
    </cfRule>
  </conditionalFormatting>
  <conditionalFormatting sqref="E213:E214 E370">
    <cfRule type="containsText" dxfId="1" priority="1183" operator="containsText" text="Lapsed">
      <formula>NOT(ISERROR(SEARCH(("Lapsed"),(E213))))</formula>
    </cfRule>
  </conditionalFormatting>
  <conditionalFormatting sqref="E213:E214 E370">
    <cfRule type="containsText" dxfId="2" priority="1184" operator="containsText" text="Active">
      <formula>NOT(ISERROR(SEARCH(("Active"),(E213))))</formula>
    </cfRule>
  </conditionalFormatting>
  <conditionalFormatting sqref="D213:D214 D370">
    <cfRule type="containsText" dxfId="3" priority="1185" operator="containsText" text="Youth">
      <formula>NOT(ISERROR(SEARCH(("Youth"),(D213))))</formula>
    </cfRule>
  </conditionalFormatting>
  <conditionalFormatting sqref="J213:J214 L370">
    <cfRule type="containsBlanks" dxfId="8" priority="1186">
      <formula>LEN(TRIM(J213))=0</formula>
    </cfRule>
  </conditionalFormatting>
  <conditionalFormatting sqref="J213:J214 L370">
    <cfRule type="containsBlanks" dxfId="10" priority="1187">
      <formula>LEN(TRIM(J213))=0</formula>
    </cfRule>
  </conditionalFormatting>
  <conditionalFormatting sqref="E213:E214 E369">
    <cfRule type="containsText" dxfId="1" priority="1188" operator="containsText" text="Lapsed">
      <formula>NOT(ISERROR(SEARCH(("Lapsed"),(E213))))</formula>
    </cfRule>
  </conditionalFormatting>
  <conditionalFormatting sqref="E213:E214 E369">
    <cfRule type="containsText" dxfId="2" priority="1189" operator="containsText" text="Active">
      <formula>NOT(ISERROR(SEARCH(("Active"),(E213))))</formula>
    </cfRule>
  </conditionalFormatting>
  <conditionalFormatting sqref="D213:D214 D369">
    <cfRule type="containsText" dxfId="3" priority="1190" operator="containsText" text="Youth">
      <formula>NOT(ISERROR(SEARCH(("Youth"),(D213))))</formula>
    </cfRule>
  </conditionalFormatting>
  <conditionalFormatting sqref="J213:J214 L369">
    <cfRule type="containsBlanks" dxfId="8" priority="1191">
      <formula>LEN(TRIM(J213))=0</formula>
    </cfRule>
  </conditionalFormatting>
  <conditionalFormatting sqref="J213:J214 L369">
    <cfRule type="containsBlanks" dxfId="10" priority="1192">
      <formula>LEN(TRIM(J213))=0</formula>
    </cfRule>
  </conditionalFormatting>
  <conditionalFormatting sqref="E213:E214 E367:E368">
    <cfRule type="containsText" dxfId="1" priority="1193" operator="containsText" text="Lapsed">
      <formula>NOT(ISERROR(SEARCH(("Lapsed"),(E213))))</formula>
    </cfRule>
  </conditionalFormatting>
  <conditionalFormatting sqref="E213:E214 E367:E368">
    <cfRule type="containsText" dxfId="2" priority="1194" operator="containsText" text="Active">
      <formula>NOT(ISERROR(SEARCH(("Active"),(E213))))</formula>
    </cfRule>
  </conditionalFormatting>
  <conditionalFormatting sqref="D213:D214 D367:D368">
    <cfRule type="containsText" dxfId="3" priority="1195" operator="containsText" text="Youth">
      <formula>NOT(ISERROR(SEARCH(("Youth"),(D213))))</formula>
    </cfRule>
  </conditionalFormatting>
  <conditionalFormatting sqref="J213:J214 L367:L368">
    <cfRule type="containsBlanks" dxfId="8" priority="1196">
      <formula>LEN(TRIM(J213))=0</formula>
    </cfRule>
  </conditionalFormatting>
  <conditionalFormatting sqref="J213:J214 L367:L368">
    <cfRule type="containsBlanks" dxfId="10" priority="1197">
      <formula>LEN(TRIM(J213))=0</formula>
    </cfRule>
  </conditionalFormatting>
  <conditionalFormatting sqref="E213:E214 E366">
    <cfRule type="containsText" dxfId="1" priority="1198" operator="containsText" text="Lapsed">
      <formula>NOT(ISERROR(SEARCH(("Lapsed"),(E213))))</formula>
    </cfRule>
  </conditionalFormatting>
  <conditionalFormatting sqref="E213:E214 E366">
    <cfRule type="containsText" dxfId="2" priority="1199" operator="containsText" text="Active">
      <formula>NOT(ISERROR(SEARCH(("Active"),(E213))))</formula>
    </cfRule>
  </conditionalFormatting>
  <conditionalFormatting sqref="D213:D214 D366">
    <cfRule type="containsText" dxfId="3" priority="1200" operator="containsText" text="Youth">
      <formula>NOT(ISERROR(SEARCH(("Youth"),(D213))))</formula>
    </cfRule>
  </conditionalFormatting>
  <conditionalFormatting sqref="J213:J214 L366">
    <cfRule type="containsBlanks" dxfId="8" priority="1201">
      <formula>LEN(TRIM(J213))=0</formula>
    </cfRule>
  </conditionalFormatting>
  <conditionalFormatting sqref="J213:J214 L366">
    <cfRule type="containsBlanks" dxfId="10" priority="1202">
      <formula>LEN(TRIM(J213))=0</formula>
    </cfRule>
  </conditionalFormatting>
  <conditionalFormatting sqref="E213:E214 E365">
    <cfRule type="containsText" dxfId="1" priority="1203" operator="containsText" text="Lapsed">
      <formula>NOT(ISERROR(SEARCH(("Lapsed"),(E213))))</formula>
    </cfRule>
  </conditionalFormatting>
  <conditionalFormatting sqref="E213:E214 E365">
    <cfRule type="containsText" dxfId="2" priority="1204" operator="containsText" text="Active">
      <formula>NOT(ISERROR(SEARCH(("Active"),(E213))))</formula>
    </cfRule>
  </conditionalFormatting>
  <conditionalFormatting sqref="D213:D214 D365">
    <cfRule type="containsText" dxfId="3" priority="1205" operator="containsText" text="Youth">
      <formula>NOT(ISERROR(SEARCH(("Youth"),(D213))))</formula>
    </cfRule>
  </conditionalFormatting>
  <conditionalFormatting sqref="J213:J214 L365">
    <cfRule type="containsBlanks" dxfId="8" priority="1206">
      <formula>LEN(TRIM(J213))=0</formula>
    </cfRule>
  </conditionalFormatting>
  <conditionalFormatting sqref="J213:J214 L365">
    <cfRule type="containsBlanks" dxfId="10" priority="1207">
      <formula>LEN(TRIM(J213))=0</formula>
    </cfRule>
  </conditionalFormatting>
  <conditionalFormatting sqref="E213:E214 E364">
    <cfRule type="containsText" dxfId="1" priority="1208" operator="containsText" text="Lapsed">
      <formula>NOT(ISERROR(SEARCH(("Lapsed"),(E213))))</formula>
    </cfRule>
  </conditionalFormatting>
  <conditionalFormatting sqref="E213:E214 E364">
    <cfRule type="containsText" dxfId="2" priority="1209" operator="containsText" text="Active">
      <formula>NOT(ISERROR(SEARCH(("Active"),(E213))))</formula>
    </cfRule>
  </conditionalFormatting>
  <conditionalFormatting sqref="D213:D214 D364">
    <cfRule type="containsText" dxfId="3" priority="1210" operator="containsText" text="Youth">
      <formula>NOT(ISERROR(SEARCH(("Youth"),(D213))))</formula>
    </cfRule>
  </conditionalFormatting>
  <conditionalFormatting sqref="J213:J214 L364">
    <cfRule type="containsBlanks" dxfId="8" priority="1211">
      <formula>LEN(TRIM(J213))=0</formula>
    </cfRule>
  </conditionalFormatting>
  <conditionalFormatting sqref="J213:J214 L364">
    <cfRule type="containsBlanks" dxfId="10" priority="1212">
      <formula>LEN(TRIM(J213))=0</formula>
    </cfRule>
  </conditionalFormatting>
  <conditionalFormatting sqref="E213:E214 E363">
    <cfRule type="containsText" dxfId="1" priority="1213" operator="containsText" text="Lapsed">
      <formula>NOT(ISERROR(SEARCH(("Lapsed"),(E213))))</formula>
    </cfRule>
  </conditionalFormatting>
  <conditionalFormatting sqref="E213:E214 E363">
    <cfRule type="containsText" dxfId="2" priority="1214" operator="containsText" text="Active">
      <formula>NOT(ISERROR(SEARCH(("Active"),(E213))))</formula>
    </cfRule>
  </conditionalFormatting>
  <conditionalFormatting sqref="D213:D214 D363">
    <cfRule type="containsText" dxfId="3" priority="1215" operator="containsText" text="Youth">
      <formula>NOT(ISERROR(SEARCH(("Youth"),(D213))))</formula>
    </cfRule>
  </conditionalFormatting>
  <conditionalFormatting sqref="J213:J214 L363">
    <cfRule type="containsBlanks" dxfId="8" priority="1216">
      <formula>LEN(TRIM(J213))=0</formula>
    </cfRule>
  </conditionalFormatting>
  <conditionalFormatting sqref="J213:J214 L363">
    <cfRule type="containsBlanks" dxfId="10" priority="1217">
      <formula>LEN(TRIM(J213))=0</formula>
    </cfRule>
  </conditionalFormatting>
  <conditionalFormatting sqref="E213:E214 E362">
    <cfRule type="containsText" dxfId="1" priority="1218" operator="containsText" text="Lapsed">
      <formula>NOT(ISERROR(SEARCH(("Lapsed"),(E213))))</formula>
    </cfRule>
  </conditionalFormatting>
  <conditionalFormatting sqref="E213:E214 E362">
    <cfRule type="containsText" dxfId="2" priority="1219" operator="containsText" text="Active">
      <formula>NOT(ISERROR(SEARCH(("Active"),(E213))))</formula>
    </cfRule>
  </conditionalFormatting>
  <conditionalFormatting sqref="D213:D214 D362">
    <cfRule type="containsText" dxfId="3" priority="1220" operator="containsText" text="Youth">
      <formula>NOT(ISERROR(SEARCH(("Youth"),(D213))))</formula>
    </cfRule>
  </conditionalFormatting>
  <conditionalFormatting sqref="J213:J214 L362">
    <cfRule type="containsBlanks" dxfId="8" priority="1221">
      <formula>LEN(TRIM(J213))=0</formula>
    </cfRule>
  </conditionalFormatting>
  <conditionalFormatting sqref="J213:J214 L362">
    <cfRule type="containsBlanks" dxfId="10" priority="1222">
      <formula>LEN(TRIM(J213))=0</formula>
    </cfRule>
  </conditionalFormatting>
  <conditionalFormatting sqref="E213:E214 E361">
    <cfRule type="containsText" dxfId="1" priority="1223" operator="containsText" text="Lapsed">
      <formula>NOT(ISERROR(SEARCH(("Lapsed"),(E213))))</formula>
    </cfRule>
  </conditionalFormatting>
  <conditionalFormatting sqref="E213:E214 E361">
    <cfRule type="containsText" dxfId="2" priority="1224" operator="containsText" text="Active">
      <formula>NOT(ISERROR(SEARCH(("Active"),(E213))))</formula>
    </cfRule>
  </conditionalFormatting>
  <conditionalFormatting sqref="D213:D214 D361">
    <cfRule type="containsText" dxfId="3" priority="1225" operator="containsText" text="Youth">
      <formula>NOT(ISERROR(SEARCH(("Youth"),(D213))))</formula>
    </cfRule>
  </conditionalFormatting>
  <conditionalFormatting sqref="J213:J214 L361">
    <cfRule type="containsBlanks" dxfId="8" priority="1226">
      <formula>LEN(TRIM(J213))=0</formula>
    </cfRule>
  </conditionalFormatting>
  <conditionalFormatting sqref="J213:J214 L361">
    <cfRule type="containsBlanks" dxfId="10" priority="1227">
      <formula>LEN(TRIM(J213))=0</formula>
    </cfRule>
  </conditionalFormatting>
  <conditionalFormatting sqref="E213:E214 E360">
    <cfRule type="containsText" dxfId="1" priority="1228" operator="containsText" text="Lapsed">
      <formula>NOT(ISERROR(SEARCH(("Lapsed"),(E213))))</formula>
    </cfRule>
  </conditionalFormatting>
  <conditionalFormatting sqref="E213:E214 E360">
    <cfRule type="containsText" dxfId="2" priority="1229" operator="containsText" text="Active">
      <formula>NOT(ISERROR(SEARCH(("Active"),(E213))))</formula>
    </cfRule>
  </conditionalFormatting>
  <conditionalFormatting sqref="D213:D214 D360">
    <cfRule type="containsText" dxfId="3" priority="1230" operator="containsText" text="Youth">
      <formula>NOT(ISERROR(SEARCH(("Youth"),(D213))))</formula>
    </cfRule>
  </conditionalFormatting>
  <conditionalFormatting sqref="J213:J214 L360">
    <cfRule type="containsBlanks" dxfId="8" priority="1231">
      <formula>LEN(TRIM(J213))=0</formula>
    </cfRule>
  </conditionalFormatting>
  <conditionalFormatting sqref="J213:J214 L360">
    <cfRule type="containsBlanks" dxfId="10" priority="1232">
      <formula>LEN(TRIM(J213))=0</formula>
    </cfRule>
  </conditionalFormatting>
  <conditionalFormatting sqref="E213:E214 E357:E359">
    <cfRule type="containsText" dxfId="1" priority="1233" operator="containsText" text="Lapsed">
      <formula>NOT(ISERROR(SEARCH(("Lapsed"),(E213))))</formula>
    </cfRule>
  </conditionalFormatting>
  <conditionalFormatting sqref="E213:E214 E357:E359">
    <cfRule type="containsText" dxfId="2" priority="1234" operator="containsText" text="Active">
      <formula>NOT(ISERROR(SEARCH(("Active"),(E213))))</formula>
    </cfRule>
  </conditionalFormatting>
  <conditionalFormatting sqref="D213:D214 D357:D359">
    <cfRule type="containsText" dxfId="3" priority="1235" operator="containsText" text="Youth">
      <formula>NOT(ISERROR(SEARCH(("Youth"),(D213))))</formula>
    </cfRule>
  </conditionalFormatting>
  <conditionalFormatting sqref="J213:J214 L357:L359">
    <cfRule type="containsBlanks" dxfId="8" priority="1236">
      <formula>LEN(TRIM(J213))=0</formula>
    </cfRule>
  </conditionalFormatting>
  <conditionalFormatting sqref="J213:J214 L357:L359">
    <cfRule type="containsBlanks" dxfId="10" priority="1237">
      <formula>LEN(TRIM(J213))=0</formula>
    </cfRule>
  </conditionalFormatting>
  <conditionalFormatting sqref="E213:E214 E356">
    <cfRule type="containsText" dxfId="1" priority="1238" operator="containsText" text="Lapsed">
      <formula>NOT(ISERROR(SEARCH(("Lapsed"),(E213))))</formula>
    </cfRule>
  </conditionalFormatting>
  <conditionalFormatting sqref="E213:E214 E356">
    <cfRule type="containsText" dxfId="2" priority="1239" operator="containsText" text="Active">
      <formula>NOT(ISERROR(SEARCH(("Active"),(E213))))</formula>
    </cfRule>
  </conditionalFormatting>
  <conditionalFormatting sqref="D213:D214 D356">
    <cfRule type="containsText" dxfId="3" priority="1240" operator="containsText" text="Youth">
      <formula>NOT(ISERROR(SEARCH(("Youth"),(D213))))</formula>
    </cfRule>
  </conditionalFormatting>
  <conditionalFormatting sqref="J213:J214 L356">
    <cfRule type="containsBlanks" dxfId="8" priority="1241">
      <formula>LEN(TRIM(J213))=0</formula>
    </cfRule>
  </conditionalFormatting>
  <conditionalFormatting sqref="J213:J214 L356">
    <cfRule type="containsBlanks" dxfId="10" priority="1242">
      <formula>LEN(TRIM(J213))=0</formula>
    </cfRule>
  </conditionalFormatting>
  <conditionalFormatting sqref="E213:E214 E355">
    <cfRule type="containsText" dxfId="1" priority="1243" operator="containsText" text="Lapsed">
      <formula>NOT(ISERROR(SEARCH(("Lapsed"),(E213))))</formula>
    </cfRule>
  </conditionalFormatting>
  <conditionalFormatting sqref="E213:E214 E355">
    <cfRule type="containsText" dxfId="2" priority="1244" operator="containsText" text="Active">
      <formula>NOT(ISERROR(SEARCH(("Active"),(E213))))</formula>
    </cfRule>
  </conditionalFormatting>
  <conditionalFormatting sqref="D213:D214 D355">
    <cfRule type="containsText" dxfId="3" priority="1245" operator="containsText" text="Youth">
      <formula>NOT(ISERROR(SEARCH(("Youth"),(D213))))</formula>
    </cfRule>
  </conditionalFormatting>
  <conditionalFormatting sqref="J213:J214 L355">
    <cfRule type="containsBlanks" dxfId="8" priority="1246">
      <formula>LEN(TRIM(J213))=0</formula>
    </cfRule>
  </conditionalFormatting>
  <conditionalFormatting sqref="J213:J214 L355">
    <cfRule type="containsBlanks" dxfId="10" priority="1247">
      <formula>LEN(TRIM(J213))=0</formula>
    </cfRule>
  </conditionalFormatting>
  <conditionalFormatting sqref="E213:E214 E354">
    <cfRule type="containsText" dxfId="1" priority="1248" operator="containsText" text="Lapsed">
      <formula>NOT(ISERROR(SEARCH(("Lapsed"),(E213))))</formula>
    </cfRule>
  </conditionalFormatting>
  <conditionalFormatting sqref="E213:E214 E354">
    <cfRule type="containsText" dxfId="2" priority="1249" operator="containsText" text="Active">
      <formula>NOT(ISERROR(SEARCH(("Active"),(E213))))</formula>
    </cfRule>
  </conditionalFormatting>
  <conditionalFormatting sqref="D213:D214 D354">
    <cfRule type="containsText" dxfId="3" priority="1250" operator="containsText" text="Youth">
      <formula>NOT(ISERROR(SEARCH(("Youth"),(D213))))</formula>
    </cfRule>
  </conditionalFormatting>
  <conditionalFormatting sqref="J213:J214 L354">
    <cfRule type="containsBlanks" dxfId="8" priority="1251">
      <formula>LEN(TRIM(J213))=0</formula>
    </cfRule>
  </conditionalFormatting>
  <conditionalFormatting sqref="J213:J214 L354">
    <cfRule type="containsBlanks" dxfId="10" priority="1252">
      <formula>LEN(TRIM(J213))=0</formula>
    </cfRule>
  </conditionalFormatting>
  <conditionalFormatting sqref="E213:E214 E353">
    <cfRule type="containsText" dxfId="1" priority="1253" operator="containsText" text="Lapsed">
      <formula>NOT(ISERROR(SEARCH(("Lapsed"),(E213))))</formula>
    </cfRule>
  </conditionalFormatting>
  <conditionalFormatting sqref="E213:E214 E353">
    <cfRule type="containsText" dxfId="2" priority="1254" operator="containsText" text="Active">
      <formula>NOT(ISERROR(SEARCH(("Active"),(E213))))</formula>
    </cfRule>
  </conditionalFormatting>
  <conditionalFormatting sqref="D213:D214 D353">
    <cfRule type="containsText" dxfId="3" priority="1255" operator="containsText" text="Youth">
      <formula>NOT(ISERROR(SEARCH(("Youth"),(D213))))</formula>
    </cfRule>
  </conditionalFormatting>
  <conditionalFormatting sqref="J213:J214 L353">
    <cfRule type="containsBlanks" dxfId="8" priority="1256">
      <formula>LEN(TRIM(J213))=0</formula>
    </cfRule>
  </conditionalFormatting>
  <conditionalFormatting sqref="J213:J214 L353">
    <cfRule type="containsBlanks" dxfId="10" priority="1257">
      <formula>LEN(TRIM(J213))=0</formula>
    </cfRule>
  </conditionalFormatting>
  <conditionalFormatting sqref="E213:E214 E351:E352">
    <cfRule type="containsText" dxfId="1" priority="1258" operator="containsText" text="Lapsed">
      <formula>NOT(ISERROR(SEARCH(("Lapsed"),(E213))))</formula>
    </cfRule>
  </conditionalFormatting>
  <conditionalFormatting sqref="E213:E214 E351:E352">
    <cfRule type="containsText" dxfId="2" priority="1259" operator="containsText" text="Active">
      <formula>NOT(ISERROR(SEARCH(("Active"),(E213))))</formula>
    </cfRule>
  </conditionalFormatting>
  <conditionalFormatting sqref="D213:D214 D351:D352">
    <cfRule type="containsText" dxfId="3" priority="1260" operator="containsText" text="Youth">
      <formula>NOT(ISERROR(SEARCH(("Youth"),(D213))))</formula>
    </cfRule>
  </conditionalFormatting>
  <conditionalFormatting sqref="J213:J214 L351:L352">
    <cfRule type="containsBlanks" dxfId="8" priority="1261">
      <formula>LEN(TRIM(J213))=0</formula>
    </cfRule>
  </conditionalFormatting>
  <conditionalFormatting sqref="J213:J214 L351:L352">
    <cfRule type="containsBlanks" dxfId="10" priority="1262">
      <formula>LEN(TRIM(J213))=0</formula>
    </cfRule>
  </conditionalFormatting>
  <conditionalFormatting sqref="E213:E214 E350">
    <cfRule type="containsText" dxfId="1" priority="1263" operator="containsText" text="Lapsed">
      <formula>NOT(ISERROR(SEARCH(("Lapsed"),(E213))))</formula>
    </cfRule>
  </conditionalFormatting>
  <conditionalFormatting sqref="E213:E214 E350">
    <cfRule type="containsText" dxfId="2" priority="1264" operator="containsText" text="Active">
      <formula>NOT(ISERROR(SEARCH(("Active"),(E213))))</formula>
    </cfRule>
  </conditionalFormatting>
  <conditionalFormatting sqref="D213:D214 D350">
    <cfRule type="containsText" dxfId="3" priority="1265" operator="containsText" text="Youth">
      <formula>NOT(ISERROR(SEARCH(("Youth"),(D213))))</formula>
    </cfRule>
  </conditionalFormatting>
  <conditionalFormatting sqref="J213:J214 L350">
    <cfRule type="containsBlanks" dxfId="8" priority="1266">
      <formula>LEN(TRIM(J213))=0</formula>
    </cfRule>
  </conditionalFormatting>
  <conditionalFormatting sqref="J213:J214 L350">
    <cfRule type="containsBlanks" dxfId="10" priority="1267">
      <formula>LEN(TRIM(J213))=0</formula>
    </cfRule>
  </conditionalFormatting>
  <conditionalFormatting sqref="E213:E214 E349">
    <cfRule type="containsText" dxfId="1" priority="1268" operator="containsText" text="Lapsed">
      <formula>NOT(ISERROR(SEARCH(("Lapsed"),(E213))))</formula>
    </cfRule>
  </conditionalFormatting>
  <conditionalFormatting sqref="E213:E214 E349">
    <cfRule type="containsText" dxfId="2" priority="1269" operator="containsText" text="Active">
      <formula>NOT(ISERROR(SEARCH(("Active"),(E213))))</formula>
    </cfRule>
  </conditionalFormatting>
  <conditionalFormatting sqref="D213:D214 D349">
    <cfRule type="containsText" dxfId="3" priority="1270" operator="containsText" text="Youth">
      <formula>NOT(ISERROR(SEARCH(("Youth"),(D213))))</formula>
    </cfRule>
  </conditionalFormatting>
  <conditionalFormatting sqref="J213:J214 L349">
    <cfRule type="containsBlanks" dxfId="8" priority="1271">
      <formula>LEN(TRIM(J213))=0</formula>
    </cfRule>
  </conditionalFormatting>
  <conditionalFormatting sqref="J213:J214 L349">
    <cfRule type="containsBlanks" dxfId="10" priority="1272">
      <formula>LEN(TRIM(J213))=0</formula>
    </cfRule>
  </conditionalFormatting>
  <conditionalFormatting sqref="E213:E214 E348">
    <cfRule type="containsText" dxfId="1" priority="1273" operator="containsText" text="Lapsed">
      <formula>NOT(ISERROR(SEARCH(("Lapsed"),(E213))))</formula>
    </cfRule>
  </conditionalFormatting>
  <conditionalFormatting sqref="E213:E214 E348">
    <cfRule type="containsText" dxfId="2" priority="1274" operator="containsText" text="Active">
      <formula>NOT(ISERROR(SEARCH(("Active"),(E213))))</formula>
    </cfRule>
  </conditionalFormatting>
  <conditionalFormatting sqref="D213:D214 D348">
    <cfRule type="containsText" dxfId="3" priority="1275" operator="containsText" text="Youth">
      <formula>NOT(ISERROR(SEARCH(("Youth"),(D213))))</formula>
    </cfRule>
  </conditionalFormatting>
  <conditionalFormatting sqref="J213:J214 L348">
    <cfRule type="containsBlanks" dxfId="8" priority="1276">
      <formula>LEN(TRIM(J213))=0</formula>
    </cfRule>
  </conditionalFormatting>
  <conditionalFormatting sqref="J213:J214 L348">
    <cfRule type="containsBlanks" dxfId="10" priority="1277">
      <formula>LEN(TRIM(J213))=0</formula>
    </cfRule>
  </conditionalFormatting>
  <conditionalFormatting sqref="E213:E214 E347">
    <cfRule type="containsText" dxfId="1" priority="1278" operator="containsText" text="Lapsed">
      <formula>NOT(ISERROR(SEARCH(("Lapsed"),(E213))))</formula>
    </cfRule>
  </conditionalFormatting>
  <conditionalFormatting sqref="E213:E214 E347">
    <cfRule type="containsText" dxfId="2" priority="1279" operator="containsText" text="Active">
      <formula>NOT(ISERROR(SEARCH(("Active"),(E213))))</formula>
    </cfRule>
  </conditionalFormatting>
  <conditionalFormatting sqref="D213:D214 D347">
    <cfRule type="containsText" dxfId="3" priority="1280" operator="containsText" text="Youth">
      <formula>NOT(ISERROR(SEARCH(("Youth"),(D213))))</formula>
    </cfRule>
  </conditionalFormatting>
  <conditionalFormatting sqref="J213:J214 L347">
    <cfRule type="containsBlanks" dxfId="8" priority="1281">
      <formula>LEN(TRIM(J213))=0</formula>
    </cfRule>
  </conditionalFormatting>
  <conditionalFormatting sqref="J213:J214 L347">
    <cfRule type="containsBlanks" dxfId="10" priority="1282">
      <formula>LEN(TRIM(J213))=0</formula>
    </cfRule>
  </conditionalFormatting>
  <conditionalFormatting sqref="E213:E214 E346">
    <cfRule type="containsText" dxfId="1" priority="1283" operator="containsText" text="Lapsed">
      <formula>NOT(ISERROR(SEARCH(("Lapsed"),(E213))))</formula>
    </cfRule>
  </conditionalFormatting>
  <conditionalFormatting sqref="E213:E214 E346">
    <cfRule type="containsText" dxfId="2" priority="1284" operator="containsText" text="Active">
      <formula>NOT(ISERROR(SEARCH(("Active"),(E213))))</formula>
    </cfRule>
  </conditionalFormatting>
  <conditionalFormatting sqref="D213:D214 D346">
    <cfRule type="containsText" dxfId="3" priority="1285" operator="containsText" text="Youth">
      <formula>NOT(ISERROR(SEARCH(("Youth"),(D213))))</formula>
    </cfRule>
  </conditionalFormatting>
  <conditionalFormatting sqref="J213:J214 L346">
    <cfRule type="containsBlanks" dxfId="8" priority="1286">
      <formula>LEN(TRIM(J213))=0</formula>
    </cfRule>
  </conditionalFormatting>
  <conditionalFormatting sqref="J213:J214 L346">
    <cfRule type="containsBlanks" dxfId="10" priority="1287">
      <formula>LEN(TRIM(J213))=0</formula>
    </cfRule>
  </conditionalFormatting>
  <conditionalFormatting sqref="E213:E214 E343:E345">
    <cfRule type="containsText" dxfId="1" priority="1288" operator="containsText" text="Lapsed">
      <formula>NOT(ISERROR(SEARCH(("Lapsed"),(E213))))</formula>
    </cfRule>
  </conditionalFormatting>
  <conditionalFormatting sqref="E213:E214 E343:E345">
    <cfRule type="containsText" dxfId="2" priority="1289" operator="containsText" text="Active">
      <formula>NOT(ISERROR(SEARCH(("Active"),(E213))))</formula>
    </cfRule>
  </conditionalFormatting>
  <conditionalFormatting sqref="D213:D214 D343:D345">
    <cfRule type="containsText" dxfId="3" priority="1290" operator="containsText" text="Youth">
      <formula>NOT(ISERROR(SEARCH(("Youth"),(D213))))</formula>
    </cfRule>
  </conditionalFormatting>
  <conditionalFormatting sqref="J213:J214 L343:L345">
    <cfRule type="containsBlanks" dxfId="8" priority="1291">
      <formula>LEN(TRIM(J213))=0</formula>
    </cfRule>
  </conditionalFormatting>
  <conditionalFormatting sqref="J213:J214 L343:L345">
    <cfRule type="containsBlanks" dxfId="10" priority="1292">
      <formula>LEN(TRIM(J213))=0</formula>
    </cfRule>
  </conditionalFormatting>
  <conditionalFormatting sqref="E213:E214 E339:E342">
    <cfRule type="containsText" dxfId="1" priority="1293" operator="containsText" text="Lapsed">
      <formula>NOT(ISERROR(SEARCH(("Lapsed"),(E213))))</formula>
    </cfRule>
  </conditionalFormatting>
  <conditionalFormatting sqref="E213:E214 E339:E342">
    <cfRule type="containsText" dxfId="2" priority="1294" operator="containsText" text="Active">
      <formula>NOT(ISERROR(SEARCH(("Active"),(E213))))</formula>
    </cfRule>
  </conditionalFormatting>
  <conditionalFormatting sqref="D213:D214 D339:D342">
    <cfRule type="containsText" dxfId="3" priority="1295" operator="containsText" text="Youth">
      <formula>NOT(ISERROR(SEARCH(("Youth"),(D213))))</formula>
    </cfRule>
  </conditionalFormatting>
  <conditionalFormatting sqref="J213:J214 L339:L342">
    <cfRule type="containsBlanks" dxfId="8" priority="1296">
      <formula>LEN(TRIM(J213))=0</formula>
    </cfRule>
  </conditionalFormatting>
  <conditionalFormatting sqref="J213:J214 L339:L342">
    <cfRule type="containsBlanks" dxfId="10" priority="1297">
      <formula>LEN(TRIM(J213))=0</formula>
    </cfRule>
  </conditionalFormatting>
  <conditionalFormatting sqref="E213:E214 E337:E338">
    <cfRule type="containsText" dxfId="1" priority="1298" operator="containsText" text="Lapsed">
      <formula>NOT(ISERROR(SEARCH(("Lapsed"),(E213))))</formula>
    </cfRule>
  </conditionalFormatting>
  <conditionalFormatting sqref="E213:E214 E337:E338">
    <cfRule type="containsText" dxfId="2" priority="1299" operator="containsText" text="Active">
      <formula>NOT(ISERROR(SEARCH(("Active"),(E213))))</formula>
    </cfRule>
  </conditionalFormatting>
  <conditionalFormatting sqref="D213:D214 D337:D338">
    <cfRule type="containsText" dxfId="3" priority="1300" operator="containsText" text="Youth">
      <formula>NOT(ISERROR(SEARCH(("Youth"),(D213))))</formula>
    </cfRule>
  </conditionalFormatting>
  <conditionalFormatting sqref="J213:J214 L337:L338">
    <cfRule type="containsBlanks" dxfId="8" priority="1301">
      <formula>LEN(TRIM(J213))=0</formula>
    </cfRule>
  </conditionalFormatting>
  <conditionalFormatting sqref="J213:J214 L337:L338">
    <cfRule type="containsBlanks" dxfId="10" priority="1302">
      <formula>LEN(TRIM(J213))=0</formula>
    </cfRule>
  </conditionalFormatting>
  <conditionalFormatting sqref="E213:E214 E336">
    <cfRule type="containsText" dxfId="1" priority="1303" operator="containsText" text="Lapsed">
      <formula>NOT(ISERROR(SEARCH(("Lapsed"),(E213))))</formula>
    </cfRule>
  </conditionalFormatting>
  <conditionalFormatting sqref="E213:E214 E336">
    <cfRule type="containsText" dxfId="2" priority="1304" operator="containsText" text="Active">
      <formula>NOT(ISERROR(SEARCH(("Active"),(E213))))</formula>
    </cfRule>
  </conditionalFormatting>
  <conditionalFormatting sqref="D213:D214 D336">
    <cfRule type="containsText" dxfId="3" priority="1305" operator="containsText" text="Youth">
      <formula>NOT(ISERROR(SEARCH(("Youth"),(D213))))</formula>
    </cfRule>
  </conditionalFormatting>
  <conditionalFormatting sqref="J213:J214 L336">
    <cfRule type="containsBlanks" dxfId="8" priority="1306">
      <formula>LEN(TRIM(J213))=0</formula>
    </cfRule>
  </conditionalFormatting>
  <conditionalFormatting sqref="J213:J214 L336">
    <cfRule type="containsBlanks" dxfId="10" priority="1307">
      <formula>LEN(TRIM(J213))=0</formula>
    </cfRule>
  </conditionalFormatting>
  <conditionalFormatting sqref="E213:E214 E335">
    <cfRule type="containsText" dxfId="1" priority="1308" operator="containsText" text="Lapsed">
      <formula>NOT(ISERROR(SEARCH(("Lapsed"),(E213))))</formula>
    </cfRule>
  </conditionalFormatting>
  <conditionalFormatting sqref="E213:E214 E335">
    <cfRule type="containsText" dxfId="2" priority="1309" operator="containsText" text="Active">
      <formula>NOT(ISERROR(SEARCH(("Active"),(E213))))</formula>
    </cfRule>
  </conditionalFormatting>
  <conditionalFormatting sqref="D213:D214 D335">
    <cfRule type="containsText" dxfId="3" priority="1310" operator="containsText" text="Youth">
      <formula>NOT(ISERROR(SEARCH(("Youth"),(D213))))</formula>
    </cfRule>
  </conditionalFormatting>
  <conditionalFormatting sqref="J213:J214 L335">
    <cfRule type="containsBlanks" dxfId="8" priority="1311">
      <formula>LEN(TRIM(J213))=0</formula>
    </cfRule>
  </conditionalFormatting>
  <conditionalFormatting sqref="J213:J214 L335">
    <cfRule type="containsBlanks" dxfId="10" priority="1312">
      <formula>LEN(TRIM(J213))=0</formula>
    </cfRule>
  </conditionalFormatting>
  <conditionalFormatting sqref="E213:E214 E334">
    <cfRule type="containsText" dxfId="1" priority="1313" operator="containsText" text="Lapsed">
      <formula>NOT(ISERROR(SEARCH(("Lapsed"),(E213))))</formula>
    </cfRule>
  </conditionalFormatting>
  <conditionalFormatting sqref="E213:E214 E334">
    <cfRule type="containsText" dxfId="2" priority="1314" operator="containsText" text="Active">
      <formula>NOT(ISERROR(SEARCH(("Active"),(E213))))</formula>
    </cfRule>
  </conditionalFormatting>
  <conditionalFormatting sqref="D213:D214 D334">
    <cfRule type="containsText" dxfId="3" priority="1315" operator="containsText" text="Youth">
      <formula>NOT(ISERROR(SEARCH(("Youth"),(D213))))</formula>
    </cfRule>
  </conditionalFormatting>
  <conditionalFormatting sqref="J213:J214 L334">
    <cfRule type="containsBlanks" dxfId="8" priority="1316">
      <formula>LEN(TRIM(J213))=0</formula>
    </cfRule>
  </conditionalFormatting>
  <conditionalFormatting sqref="J213:J214 L334">
    <cfRule type="containsBlanks" dxfId="10" priority="1317">
      <formula>LEN(TRIM(J213))=0</formula>
    </cfRule>
  </conditionalFormatting>
  <conditionalFormatting sqref="E213:E214 E333">
    <cfRule type="containsText" dxfId="1" priority="1318" operator="containsText" text="Lapsed">
      <formula>NOT(ISERROR(SEARCH(("Lapsed"),(E213))))</formula>
    </cfRule>
  </conditionalFormatting>
  <conditionalFormatting sqref="E213:E214 E333">
    <cfRule type="containsText" dxfId="2" priority="1319" operator="containsText" text="Active">
      <formula>NOT(ISERROR(SEARCH(("Active"),(E213))))</formula>
    </cfRule>
  </conditionalFormatting>
  <conditionalFormatting sqref="D213:D214 D333">
    <cfRule type="containsText" dxfId="3" priority="1320" operator="containsText" text="Youth">
      <formula>NOT(ISERROR(SEARCH(("Youth"),(D213))))</formula>
    </cfRule>
  </conditionalFormatting>
  <conditionalFormatting sqref="J213:J214 L333">
    <cfRule type="containsBlanks" dxfId="8" priority="1321">
      <formula>LEN(TRIM(J213))=0</formula>
    </cfRule>
  </conditionalFormatting>
  <conditionalFormatting sqref="J213:J214 L333">
    <cfRule type="containsBlanks" dxfId="10" priority="1322">
      <formula>LEN(TRIM(J213))=0</formula>
    </cfRule>
  </conditionalFormatting>
  <conditionalFormatting sqref="E213:E214 E332">
    <cfRule type="containsText" dxfId="1" priority="1323" operator="containsText" text="Lapsed">
      <formula>NOT(ISERROR(SEARCH(("Lapsed"),(E213))))</formula>
    </cfRule>
  </conditionalFormatting>
  <conditionalFormatting sqref="E213:E214 E332">
    <cfRule type="containsText" dxfId="2" priority="1324" operator="containsText" text="Active">
      <formula>NOT(ISERROR(SEARCH(("Active"),(E213))))</formula>
    </cfRule>
  </conditionalFormatting>
  <conditionalFormatting sqref="D213:D214 D332">
    <cfRule type="containsText" dxfId="3" priority="1325" operator="containsText" text="Youth">
      <formula>NOT(ISERROR(SEARCH(("Youth"),(D213))))</formula>
    </cfRule>
  </conditionalFormatting>
  <conditionalFormatting sqref="J213:J214 L332">
    <cfRule type="containsBlanks" dxfId="8" priority="1326">
      <formula>LEN(TRIM(J213))=0</formula>
    </cfRule>
  </conditionalFormatting>
  <conditionalFormatting sqref="J213:J214 L332">
    <cfRule type="containsBlanks" dxfId="10" priority="1327">
      <formula>LEN(TRIM(J213))=0</formula>
    </cfRule>
  </conditionalFormatting>
  <conditionalFormatting sqref="E213:E214 E331">
    <cfRule type="containsText" dxfId="1" priority="1328" operator="containsText" text="Lapsed">
      <formula>NOT(ISERROR(SEARCH(("Lapsed"),(E213))))</formula>
    </cfRule>
  </conditionalFormatting>
  <conditionalFormatting sqref="E213:E214 E331">
    <cfRule type="containsText" dxfId="2" priority="1329" operator="containsText" text="Active">
      <formula>NOT(ISERROR(SEARCH(("Active"),(E213))))</formula>
    </cfRule>
  </conditionalFormatting>
  <conditionalFormatting sqref="D213:D214 D331">
    <cfRule type="containsText" dxfId="3" priority="1330" operator="containsText" text="Youth">
      <formula>NOT(ISERROR(SEARCH(("Youth"),(D213))))</formula>
    </cfRule>
  </conditionalFormatting>
  <conditionalFormatting sqref="J213:J214 L331">
    <cfRule type="containsBlanks" dxfId="8" priority="1331">
      <formula>LEN(TRIM(J213))=0</formula>
    </cfRule>
  </conditionalFormatting>
  <conditionalFormatting sqref="J213:J214 L331">
    <cfRule type="containsBlanks" dxfId="10" priority="1332">
      <formula>LEN(TRIM(J213))=0</formula>
    </cfRule>
  </conditionalFormatting>
  <conditionalFormatting sqref="E213:E214 E330">
    <cfRule type="containsText" dxfId="1" priority="1333" operator="containsText" text="Lapsed">
      <formula>NOT(ISERROR(SEARCH(("Lapsed"),(E213))))</formula>
    </cfRule>
  </conditionalFormatting>
  <conditionalFormatting sqref="E213:E214 E330">
    <cfRule type="containsText" dxfId="2" priority="1334" operator="containsText" text="Active">
      <formula>NOT(ISERROR(SEARCH(("Active"),(E213))))</formula>
    </cfRule>
  </conditionalFormatting>
  <conditionalFormatting sqref="D213:D214 D330">
    <cfRule type="containsText" dxfId="3" priority="1335" operator="containsText" text="Youth">
      <formula>NOT(ISERROR(SEARCH(("Youth"),(D213))))</formula>
    </cfRule>
  </conditionalFormatting>
  <conditionalFormatting sqref="J213:J214 L330">
    <cfRule type="containsBlanks" dxfId="8" priority="1336">
      <formula>LEN(TRIM(J213))=0</formula>
    </cfRule>
  </conditionalFormatting>
  <conditionalFormatting sqref="J213:J214 L330">
    <cfRule type="containsBlanks" dxfId="10" priority="1337">
      <formula>LEN(TRIM(J213))=0</formula>
    </cfRule>
  </conditionalFormatting>
  <conditionalFormatting sqref="E213:E214 E328:E329">
    <cfRule type="containsText" dxfId="1" priority="1338" operator="containsText" text="Lapsed">
      <formula>NOT(ISERROR(SEARCH(("Lapsed"),(E213))))</formula>
    </cfRule>
  </conditionalFormatting>
  <conditionalFormatting sqref="E213:E214 E328:E329">
    <cfRule type="containsText" dxfId="2" priority="1339" operator="containsText" text="Active">
      <formula>NOT(ISERROR(SEARCH(("Active"),(E213))))</formula>
    </cfRule>
  </conditionalFormatting>
  <conditionalFormatting sqref="D213:D214 D328:D329">
    <cfRule type="containsText" dxfId="3" priority="1340" operator="containsText" text="Youth">
      <formula>NOT(ISERROR(SEARCH(("Youth"),(D213))))</formula>
    </cfRule>
  </conditionalFormatting>
  <conditionalFormatting sqref="J213:J214 L328:L329">
    <cfRule type="containsBlanks" dxfId="8" priority="1341">
      <formula>LEN(TRIM(J213))=0</formula>
    </cfRule>
  </conditionalFormatting>
  <conditionalFormatting sqref="J213:J214 L328:L329">
    <cfRule type="containsBlanks" dxfId="10" priority="1342">
      <formula>LEN(TRIM(J213))=0</formula>
    </cfRule>
  </conditionalFormatting>
  <conditionalFormatting sqref="E213:E214 E327">
    <cfRule type="containsText" dxfId="1" priority="1343" operator="containsText" text="Lapsed">
      <formula>NOT(ISERROR(SEARCH(("Lapsed"),(E213))))</formula>
    </cfRule>
  </conditionalFormatting>
  <conditionalFormatting sqref="E213:E214 E327">
    <cfRule type="containsText" dxfId="2" priority="1344" operator="containsText" text="Active">
      <formula>NOT(ISERROR(SEARCH(("Active"),(E213))))</formula>
    </cfRule>
  </conditionalFormatting>
  <conditionalFormatting sqref="D213:D214 D327">
    <cfRule type="containsText" dxfId="3" priority="1345" operator="containsText" text="Youth">
      <formula>NOT(ISERROR(SEARCH(("Youth"),(D213))))</formula>
    </cfRule>
  </conditionalFormatting>
  <conditionalFormatting sqref="J213:J214 L327">
    <cfRule type="containsBlanks" dxfId="8" priority="1346">
      <formula>LEN(TRIM(J213))=0</formula>
    </cfRule>
  </conditionalFormatting>
  <conditionalFormatting sqref="J213:J214 L327">
    <cfRule type="containsBlanks" dxfId="10" priority="1347">
      <formula>LEN(TRIM(J213))=0</formula>
    </cfRule>
  </conditionalFormatting>
  <conditionalFormatting sqref="E213:E214 E325:E326">
    <cfRule type="containsText" dxfId="1" priority="1348" operator="containsText" text="Lapsed">
      <formula>NOT(ISERROR(SEARCH(("Lapsed"),(E213))))</formula>
    </cfRule>
  </conditionalFormatting>
  <conditionalFormatting sqref="E213:E214 E325:E326">
    <cfRule type="containsText" dxfId="2" priority="1349" operator="containsText" text="Active">
      <formula>NOT(ISERROR(SEARCH(("Active"),(E213))))</formula>
    </cfRule>
  </conditionalFormatting>
  <conditionalFormatting sqref="D213:D214 D325:D326">
    <cfRule type="containsText" dxfId="3" priority="1350" operator="containsText" text="Youth">
      <formula>NOT(ISERROR(SEARCH(("Youth"),(D213))))</formula>
    </cfRule>
  </conditionalFormatting>
  <conditionalFormatting sqref="J213:J214 L325:L326">
    <cfRule type="containsBlanks" dxfId="8" priority="1351">
      <formula>LEN(TRIM(J213))=0</formula>
    </cfRule>
  </conditionalFormatting>
  <conditionalFormatting sqref="J213:J214 L325:L326">
    <cfRule type="containsBlanks" dxfId="10" priority="1352">
      <formula>LEN(TRIM(J213))=0</formula>
    </cfRule>
  </conditionalFormatting>
  <conditionalFormatting sqref="E213:E214 E322:E324">
    <cfRule type="containsText" dxfId="1" priority="1353" operator="containsText" text="Lapsed">
      <formula>NOT(ISERROR(SEARCH(("Lapsed"),(E213))))</formula>
    </cfRule>
  </conditionalFormatting>
  <conditionalFormatting sqref="E213:E214 E322:E324">
    <cfRule type="containsText" dxfId="2" priority="1354" operator="containsText" text="Active">
      <formula>NOT(ISERROR(SEARCH(("Active"),(E213))))</formula>
    </cfRule>
  </conditionalFormatting>
  <conditionalFormatting sqref="D213:D214 D322:D324">
    <cfRule type="containsText" dxfId="3" priority="1355" operator="containsText" text="Youth">
      <formula>NOT(ISERROR(SEARCH(("Youth"),(D213))))</formula>
    </cfRule>
  </conditionalFormatting>
  <conditionalFormatting sqref="J213:J214 L322:L324">
    <cfRule type="containsBlanks" dxfId="8" priority="1356">
      <formula>LEN(TRIM(J213))=0</formula>
    </cfRule>
  </conditionalFormatting>
  <conditionalFormatting sqref="J213:J214 L322:L324">
    <cfRule type="containsBlanks" dxfId="10" priority="1357">
      <formula>LEN(TRIM(J213))=0</formula>
    </cfRule>
  </conditionalFormatting>
  <conditionalFormatting sqref="E213:E214 E321">
    <cfRule type="containsText" dxfId="1" priority="1358" operator="containsText" text="Lapsed">
      <formula>NOT(ISERROR(SEARCH(("Lapsed"),(E213))))</formula>
    </cfRule>
  </conditionalFormatting>
  <conditionalFormatting sqref="E213:E214 E321">
    <cfRule type="containsText" dxfId="2" priority="1359" operator="containsText" text="Active">
      <formula>NOT(ISERROR(SEARCH(("Active"),(E213))))</formula>
    </cfRule>
  </conditionalFormatting>
  <conditionalFormatting sqref="D213:D214 D321">
    <cfRule type="containsText" dxfId="3" priority="1360" operator="containsText" text="Youth">
      <formula>NOT(ISERROR(SEARCH(("Youth"),(D213))))</formula>
    </cfRule>
  </conditionalFormatting>
  <conditionalFormatting sqref="J213:J214 L321">
    <cfRule type="containsBlanks" dxfId="8" priority="1361">
      <formula>LEN(TRIM(J213))=0</formula>
    </cfRule>
  </conditionalFormatting>
  <conditionalFormatting sqref="J213:J214 L321">
    <cfRule type="containsBlanks" dxfId="10" priority="1362">
      <formula>LEN(TRIM(J213))=0</formula>
    </cfRule>
  </conditionalFormatting>
  <conditionalFormatting sqref="E213:E214 E320">
    <cfRule type="containsText" dxfId="1" priority="1363" operator="containsText" text="Lapsed">
      <formula>NOT(ISERROR(SEARCH(("Lapsed"),(E213))))</formula>
    </cfRule>
  </conditionalFormatting>
  <conditionalFormatting sqref="E213:E214 E320">
    <cfRule type="containsText" dxfId="2" priority="1364" operator="containsText" text="Active">
      <formula>NOT(ISERROR(SEARCH(("Active"),(E213))))</formula>
    </cfRule>
  </conditionalFormatting>
  <conditionalFormatting sqref="D213:D214 D320">
    <cfRule type="containsText" dxfId="3" priority="1365" operator="containsText" text="Youth">
      <formula>NOT(ISERROR(SEARCH(("Youth"),(D213))))</formula>
    </cfRule>
  </conditionalFormatting>
  <conditionalFormatting sqref="J213:J214 L320">
    <cfRule type="containsBlanks" dxfId="8" priority="1366">
      <formula>LEN(TRIM(J213))=0</formula>
    </cfRule>
  </conditionalFormatting>
  <conditionalFormatting sqref="J213:J214 L320">
    <cfRule type="containsBlanks" dxfId="10" priority="1367">
      <formula>LEN(TRIM(J213))=0</formula>
    </cfRule>
  </conditionalFormatting>
  <conditionalFormatting sqref="E213:E214 E318:E319">
    <cfRule type="containsText" dxfId="1" priority="1368" operator="containsText" text="Lapsed">
      <formula>NOT(ISERROR(SEARCH(("Lapsed"),(E213))))</formula>
    </cfRule>
  </conditionalFormatting>
  <conditionalFormatting sqref="E213:E214 E318:E319">
    <cfRule type="containsText" dxfId="2" priority="1369" operator="containsText" text="Active">
      <formula>NOT(ISERROR(SEARCH(("Active"),(E213))))</formula>
    </cfRule>
  </conditionalFormatting>
  <conditionalFormatting sqref="D213:D214 D318:D319">
    <cfRule type="containsText" dxfId="3" priority="1370" operator="containsText" text="Youth">
      <formula>NOT(ISERROR(SEARCH(("Youth"),(D213))))</formula>
    </cfRule>
  </conditionalFormatting>
  <conditionalFormatting sqref="J213:J214 L318:L319">
    <cfRule type="containsBlanks" dxfId="8" priority="1371">
      <formula>LEN(TRIM(J213))=0</formula>
    </cfRule>
  </conditionalFormatting>
  <conditionalFormatting sqref="J213:J214 L318:L319">
    <cfRule type="containsBlanks" dxfId="10" priority="1372">
      <formula>LEN(TRIM(J213))=0</formula>
    </cfRule>
  </conditionalFormatting>
  <conditionalFormatting sqref="E213:E214 E317">
    <cfRule type="containsText" dxfId="1" priority="1373" operator="containsText" text="Lapsed">
      <formula>NOT(ISERROR(SEARCH(("Lapsed"),(E213))))</formula>
    </cfRule>
  </conditionalFormatting>
  <conditionalFormatting sqref="E213:E214 E317">
    <cfRule type="containsText" dxfId="2" priority="1374" operator="containsText" text="Active">
      <formula>NOT(ISERROR(SEARCH(("Active"),(E213))))</formula>
    </cfRule>
  </conditionalFormatting>
  <conditionalFormatting sqref="D213:D214 D317">
    <cfRule type="containsText" dxfId="3" priority="1375" operator="containsText" text="Youth">
      <formula>NOT(ISERROR(SEARCH(("Youth"),(D213))))</formula>
    </cfRule>
  </conditionalFormatting>
  <conditionalFormatting sqref="J213:J214 L317">
    <cfRule type="containsBlanks" dxfId="8" priority="1376">
      <formula>LEN(TRIM(J213))=0</formula>
    </cfRule>
  </conditionalFormatting>
  <conditionalFormatting sqref="J213:J214 L317">
    <cfRule type="containsBlanks" dxfId="10" priority="1377">
      <formula>LEN(TRIM(J213))=0</formula>
    </cfRule>
  </conditionalFormatting>
  <conditionalFormatting sqref="E213:E214 E316">
    <cfRule type="containsText" dxfId="1" priority="1378" operator="containsText" text="Lapsed">
      <formula>NOT(ISERROR(SEARCH(("Lapsed"),(E213))))</formula>
    </cfRule>
  </conditionalFormatting>
  <conditionalFormatting sqref="E213:E214 E316">
    <cfRule type="containsText" dxfId="2" priority="1379" operator="containsText" text="Active">
      <formula>NOT(ISERROR(SEARCH(("Active"),(E213))))</formula>
    </cfRule>
  </conditionalFormatting>
  <conditionalFormatting sqref="D213:D214 D316">
    <cfRule type="containsText" dxfId="3" priority="1380" operator="containsText" text="Youth">
      <formula>NOT(ISERROR(SEARCH(("Youth"),(D213))))</formula>
    </cfRule>
  </conditionalFormatting>
  <conditionalFormatting sqref="J213:J214 L316">
    <cfRule type="containsBlanks" dxfId="8" priority="1381">
      <formula>LEN(TRIM(J213))=0</formula>
    </cfRule>
  </conditionalFormatting>
  <conditionalFormatting sqref="J213:J214 L316">
    <cfRule type="containsBlanks" dxfId="10" priority="1382">
      <formula>LEN(TRIM(J213))=0</formula>
    </cfRule>
  </conditionalFormatting>
  <conditionalFormatting sqref="E213:E214 E315">
    <cfRule type="containsText" dxfId="1" priority="1383" operator="containsText" text="Lapsed">
      <formula>NOT(ISERROR(SEARCH(("Lapsed"),(E213))))</formula>
    </cfRule>
  </conditionalFormatting>
  <conditionalFormatting sqref="E213:E214 E315">
    <cfRule type="containsText" dxfId="2" priority="1384" operator="containsText" text="Active">
      <formula>NOT(ISERROR(SEARCH(("Active"),(E213))))</formula>
    </cfRule>
  </conditionalFormatting>
  <conditionalFormatting sqref="D213:D214 D315">
    <cfRule type="containsText" dxfId="3" priority="1385" operator="containsText" text="Youth">
      <formula>NOT(ISERROR(SEARCH(("Youth"),(D213))))</formula>
    </cfRule>
  </conditionalFormatting>
  <conditionalFormatting sqref="J213:J214 L315">
    <cfRule type="containsBlanks" dxfId="8" priority="1386">
      <formula>LEN(TRIM(J213))=0</formula>
    </cfRule>
  </conditionalFormatting>
  <conditionalFormatting sqref="J213:J214 L315">
    <cfRule type="containsBlanks" dxfId="10" priority="1387">
      <formula>LEN(TRIM(J213))=0</formula>
    </cfRule>
  </conditionalFormatting>
  <conditionalFormatting sqref="E213:E214 E313:E314">
    <cfRule type="containsText" dxfId="1" priority="1388" operator="containsText" text="Lapsed">
      <formula>NOT(ISERROR(SEARCH(("Lapsed"),(E213))))</formula>
    </cfRule>
  </conditionalFormatting>
  <conditionalFormatting sqref="E213:E214 E313:E314">
    <cfRule type="containsText" dxfId="2" priority="1389" operator="containsText" text="Active">
      <formula>NOT(ISERROR(SEARCH(("Active"),(E213))))</formula>
    </cfRule>
  </conditionalFormatting>
  <conditionalFormatting sqref="D213:D214 D313:D314">
    <cfRule type="containsText" dxfId="3" priority="1390" operator="containsText" text="Youth">
      <formula>NOT(ISERROR(SEARCH(("Youth"),(D213))))</formula>
    </cfRule>
  </conditionalFormatting>
  <conditionalFormatting sqref="J213:J214 L313:L314">
    <cfRule type="containsBlanks" dxfId="8" priority="1391">
      <formula>LEN(TRIM(J213))=0</formula>
    </cfRule>
  </conditionalFormatting>
  <conditionalFormatting sqref="J213:J214 L313:L314">
    <cfRule type="containsBlanks" dxfId="10" priority="1392">
      <formula>LEN(TRIM(J213))=0</formula>
    </cfRule>
  </conditionalFormatting>
  <conditionalFormatting sqref="E213:E214 E312">
    <cfRule type="containsText" dxfId="1" priority="1393" operator="containsText" text="Lapsed">
      <formula>NOT(ISERROR(SEARCH(("Lapsed"),(E213))))</formula>
    </cfRule>
  </conditionalFormatting>
  <conditionalFormatting sqref="E213:E214 E312">
    <cfRule type="containsText" dxfId="2" priority="1394" operator="containsText" text="Active">
      <formula>NOT(ISERROR(SEARCH(("Active"),(E213))))</formula>
    </cfRule>
  </conditionalFormatting>
  <conditionalFormatting sqref="D213:D214 D312">
    <cfRule type="containsText" dxfId="3" priority="1395" operator="containsText" text="Youth">
      <formula>NOT(ISERROR(SEARCH(("Youth"),(D213))))</formula>
    </cfRule>
  </conditionalFormatting>
  <conditionalFormatting sqref="J213:J214 L312">
    <cfRule type="containsBlanks" dxfId="8" priority="1396">
      <formula>LEN(TRIM(J213))=0</formula>
    </cfRule>
  </conditionalFormatting>
  <conditionalFormatting sqref="J213:J214 L312">
    <cfRule type="containsBlanks" dxfId="10" priority="1397">
      <formula>LEN(TRIM(J213))=0</formula>
    </cfRule>
  </conditionalFormatting>
  <conditionalFormatting sqref="E213:E214 E311">
    <cfRule type="containsText" dxfId="1" priority="1398" operator="containsText" text="Lapsed">
      <formula>NOT(ISERROR(SEARCH(("Lapsed"),(E213))))</formula>
    </cfRule>
  </conditionalFormatting>
  <conditionalFormatting sqref="E213:E214 E311">
    <cfRule type="containsText" dxfId="2" priority="1399" operator="containsText" text="Active">
      <formula>NOT(ISERROR(SEARCH(("Active"),(E213))))</formula>
    </cfRule>
  </conditionalFormatting>
  <conditionalFormatting sqref="D213:D214 D311">
    <cfRule type="containsText" dxfId="3" priority="1400" operator="containsText" text="Youth">
      <formula>NOT(ISERROR(SEARCH(("Youth"),(D213))))</formula>
    </cfRule>
  </conditionalFormatting>
  <conditionalFormatting sqref="J213:J214 L311">
    <cfRule type="containsBlanks" dxfId="8" priority="1401">
      <formula>LEN(TRIM(J213))=0</formula>
    </cfRule>
  </conditionalFormatting>
  <conditionalFormatting sqref="J213:J214 L311">
    <cfRule type="containsBlanks" dxfId="10" priority="1402">
      <formula>LEN(TRIM(J213))=0</formula>
    </cfRule>
  </conditionalFormatting>
  <conditionalFormatting sqref="E213:E214 E310">
    <cfRule type="containsText" dxfId="1" priority="1403" operator="containsText" text="Lapsed">
      <formula>NOT(ISERROR(SEARCH(("Lapsed"),(E213))))</formula>
    </cfRule>
  </conditionalFormatting>
  <conditionalFormatting sqref="E213:E214 E310">
    <cfRule type="containsText" dxfId="2" priority="1404" operator="containsText" text="Active">
      <formula>NOT(ISERROR(SEARCH(("Active"),(E213))))</formula>
    </cfRule>
  </conditionalFormatting>
  <conditionalFormatting sqref="D213:D214 D310">
    <cfRule type="containsText" dxfId="3" priority="1405" operator="containsText" text="Youth">
      <formula>NOT(ISERROR(SEARCH(("Youth"),(D213))))</formula>
    </cfRule>
  </conditionalFormatting>
  <conditionalFormatting sqref="J213:J214 L310">
    <cfRule type="containsBlanks" dxfId="8" priority="1406">
      <formula>LEN(TRIM(J213))=0</formula>
    </cfRule>
  </conditionalFormatting>
  <conditionalFormatting sqref="J213:J214 L310">
    <cfRule type="containsBlanks" dxfId="10" priority="1407">
      <formula>LEN(TRIM(J213))=0</formula>
    </cfRule>
  </conditionalFormatting>
  <conditionalFormatting sqref="E213:E214 E309">
    <cfRule type="containsText" dxfId="1" priority="1408" operator="containsText" text="Lapsed">
      <formula>NOT(ISERROR(SEARCH(("Lapsed"),(E213))))</formula>
    </cfRule>
  </conditionalFormatting>
  <conditionalFormatting sqref="E213:E214 E309">
    <cfRule type="containsText" dxfId="2" priority="1409" operator="containsText" text="Active">
      <formula>NOT(ISERROR(SEARCH(("Active"),(E213))))</formula>
    </cfRule>
  </conditionalFormatting>
  <conditionalFormatting sqref="D213:D214 D309">
    <cfRule type="containsText" dxfId="3" priority="1410" operator="containsText" text="Youth">
      <formula>NOT(ISERROR(SEARCH(("Youth"),(D213))))</formula>
    </cfRule>
  </conditionalFormatting>
  <conditionalFormatting sqref="J213:J214 L309">
    <cfRule type="containsBlanks" dxfId="8" priority="1411">
      <formula>LEN(TRIM(J213))=0</formula>
    </cfRule>
  </conditionalFormatting>
  <conditionalFormatting sqref="J213:J214 L309">
    <cfRule type="containsBlanks" dxfId="10" priority="1412">
      <formula>LEN(TRIM(J213))=0</formula>
    </cfRule>
  </conditionalFormatting>
  <conditionalFormatting sqref="E213:E214 E307:E308">
    <cfRule type="containsText" dxfId="1" priority="1413" operator="containsText" text="Lapsed">
      <formula>NOT(ISERROR(SEARCH(("Lapsed"),(E213))))</formula>
    </cfRule>
  </conditionalFormatting>
  <conditionalFormatting sqref="E213:E214 E307:E308">
    <cfRule type="containsText" dxfId="2" priority="1414" operator="containsText" text="Active">
      <formula>NOT(ISERROR(SEARCH(("Active"),(E213))))</formula>
    </cfRule>
  </conditionalFormatting>
  <conditionalFormatting sqref="D213:D214 D307:D308">
    <cfRule type="containsText" dxfId="3" priority="1415" operator="containsText" text="Youth">
      <formula>NOT(ISERROR(SEARCH(("Youth"),(D213))))</formula>
    </cfRule>
  </conditionalFormatting>
  <conditionalFormatting sqref="J213:J214 L307:L308">
    <cfRule type="containsBlanks" dxfId="8" priority="1416">
      <formula>LEN(TRIM(J213))=0</formula>
    </cfRule>
  </conditionalFormatting>
  <conditionalFormatting sqref="J213:J214 L307:L308">
    <cfRule type="containsBlanks" dxfId="10" priority="1417">
      <formula>LEN(TRIM(J213))=0</formula>
    </cfRule>
  </conditionalFormatting>
  <conditionalFormatting sqref="E213:E214 E305:E306">
    <cfRule type="containsText" dxfId="1" priority="1418" operator="containsText" text="Lapsed">
      <formula>NOT(ISERROR(SEARCH(("Lapsed"),(E213))))</formula>
    </cfRule>
  </conditionalFormatting>
  <conditionalFormatting sqref="E213:E214 E305:E306">
    <cfRule type="containsText" dxfId="2" priority="1419" operator="containsText" text="Active">
      <formula>NOT(ISERROR(SEARCH(("Active"),(E213))))</formula>
    </cfRule>
  </conditionalFormatting>
  <conditionalFormatting sqref="D213:D214 D305:D306">
    <cfRule type="containsText" dxfId="3" priority="1420" operator="containsText" text="Youth">
      <formula>NOT(ISERROR(SEARCH(("Youth"),(D213))))</formula>
    </cfRule>
  </conditionalFormatting>
  <conditionalFormatting sqref="J213:J214 L305:L306">
    <cfRule type="containsBlanks" dxfId="8" priority="1421">
      <formula>LEN(TRIM(J213))=0</formula>
    </cfRule>
  </conditionalFormatting>
  <conditionalFormatting sqref="J213:J214 L305:L306">
    <cfRule type="containsBlanks" dxfId="10" priority="1422">
      <formula>LEN(TRIM(J213))=0</formula>
    </cfRule>
  </conditionalFormatting>
  <conditionalFormatting sqref="E213:E304">
    <cfRule type="containsText" dxfId="1" priority="1423" operator="containsText" text="Lapsed">
      <formula>NOT(ISERROR(SEARCH(("Lapsed"),(E213))))</formula>
    </cfRule>
  </conditionalFormatting>
  <conditionalFormatting sqref="E213:E304">
    <cfRule type="containsText" dxfId="2" priority="1424" operator="containsText" text="Active">
      <formula>NOT(ISERROR(SEARCH(("Active"),(E213))))</formula>
    </cfRule>
  </conditionalFormatting>
  <conditionalFormatting sqref="D213:D304">
    <cfRule type="containsText" dxfId="3" priority="1425" operator="containsText" text="Youth">
      <formula>NOT(ISERROR(SEARCH(("Youth"),(D213))))</formula>
    </cfRule>
  </conditionalFormatting>
  <conditionalFormatting sqref="J213:J214 L214:L304">
    <cfRule type="containsBlanks" dxfId="8" priority="1426">
      <formula>LEN(TRIM(J213))=0</formula>
    </cfRule>
  </conditionalFormatting>
  <conditionalFormatting sqref="J213:J214 L214:L304">
    <cfRule type="containsBlanks" dxfId="10" priority="1427">
      <formula>LEN(TRIM(J213))=0</formula>
    </cfRule>
  </conditionalFormatting>
  <conditionalFormatting sqref="E212:E214">
    <cfRule type="containsText" dxfId="1" priority="1428" operator="containsText" text="Lapsed">
      <formula>NOT(ISERROR(SEARCH(("Lapsed"),(E212))))</formula>
    </cfRule>
  </conditionalFormatting>
  <conditionalFormatting sqref="E212:E214">
    <cfRule type="containsText" dxfId="2" priority="1429" operator="containsText" text="Active">
      <formula>NOT(ISERROR(SEARCH(("Active"),(E212))))</formula>
    </cfRule>
  </conditionalFormatting>
  <conditionalFormatting sqref="D212:D214">
    <cfRule type="containsText" dxfId="3" priority="1430" operator="containsText" text="Youth">
      <formula>NOT(ISERROR(SEARCH(("Youth"),(D212))))</formula>
    </cfRule>
  </conditionalFormatting>
  <conditionalFormatting sqref="L212:L213 J213:J214">
    <cfRule type="containsBlanks" dxfId="8" priority="1431">
      <formula>LEN(TRIM(L212))=0</formula>
    </cfRule>
  </conditionalFormatting>
  <conditionalFormatting sqref="L212:L213 J213:J214">
    <cfRule type="containsBlanks" dxfId="10" priority="1432">
      <formula>LEN(TRIM(L212))=0</formula>
    </cfRule>
  </conditionalFormatting>
  <conditionalFormatting sqref="B209:B210">
    <cfRule type="expression" dxfId="0" priority="1433">
      <formula>isblank(L:L)</formula>
    </cfRule>
  </conditionalFormatting>
  <conditionalFormatting sqref="A209:A210">
    <cfRule type="expression" dxfId="0" priority="1434">
      <formula>isblank(L:L)</formula>
    </cfRule>
  </conditionalFormatting>
  <conditionalFormatting sqref="B208">
    <cfRule type="expression" dxfId="0" priority="1435">
      <formula>isblank(L:L)</formula>
    </cfRule>
  </conditionalFormatting>
  <conditionalFormatting sqref="A208">
    <cfRule type="expression" dxfId="0" priority="1436">
      <formula>isblank(L:L)</formula>
    </cfRule>
  </conditionalFormatting>
  <conditionalFormatting sqref="B207">
    <cfRule type="expression" dxfId="0" priority="1437">
      <formula>isblank(L:L)</formula>
    </cfRule>
  </conditionalFormatting>
  <conditionalFormatting sqref="E210:E211">
    <cfRule type="containsText" dxfId="1" priority="1438" operator="containsText" text="Lapsed">
      <formula>NOT(ISERROR(SEARCH(("Lapsed"),(E210))))</formula>
    </cfRule>
  </conditionalFormatting>
  <conditionalFormatting sqref="E210:E211">
    <cfRule type="containsText" dxfId="2" priority="1439" operator="containsText" text="Active">
      <formula>NOT(ISERROR(SEARCH(("Active"),(E210))))</formula>
    </cfRule>
  </conditionalFormatting>
  <conditionalFormatting sqref="D210:D211">
    <cfRule type="containsText" dxfId="3" priority="1440" operator="containsText" text="Youth">
      <formula>NOT(ISERROR(SEARCH(("Youth"),(D210))))</formula>
    </cfRule>
  </conditionalFormatting>
  <conditionalFormatting sqref="J210:J211 L210:L211">
    <cfRule type="containsBlanks" dxfId="8" priority="1441">
      <formula>LEN(TRIM(J210))=0</formula>
    </cfRule>
  </conditionalFormatting>
  <conditionalFormatting sqref="J210:J211 L210:L211">
    <cfRule type="containsBlanks" dxfId="10" priority="1442">
      <formula>LEN(TRIM(J210))=0</formula>
    </cfRule>
  </conditionalFormatting>
  <conditionalFormatting sqref="E209:E211">
    <cfRule type="containsText" dxfId="1" priority="1443" operator="containsText" text="Lapsed">
      <formula>NOT(ISERROR(SEARCH(("Lapsed"),(E209))))</formula>
    </cfRule>
  </conditionalFormatting>
  <conditionalFormatting sqref="E209:E211">
    <cfRule type="containsText" dxfId="2" priority="1444" operator="containsText" text="Active">
      <formula>NOT(ISERROR(SEARCH(("Active"),(E209))))</formula>
    </cfRule>
  </conditionalFormatting>
  <conditionalFormatting sqref="D209:D211">
    <cfRule type="containsText" dxfId="3" priority="1445" operator="containsText" text="Youth">
      <formula>NOT(ISERROR(SEARCH(("Youth"),(D209))))</formula>
    </cfRule>
  </conditionalFormatting>
  <conditionalFormatting sqref="L209:L210 J210:J211">
    <cfRule type="containsBlanks" dxfId="8" priority="1446">
      <formula>LEN(TRIM(L209))=0</formula>
    </cfRule>
  </conditionalFormatting>
  <conditionalFormatting sqref="L209:L210 J210:J211">
    <cfRule type="containsBlanks" dxfId="10" priority="1447">
      <formula>LEN(TRIM(L209))=0</formula>
    </cfRule>
  </conditionalFormatting>
  <conditionalFormatting sqref="A205">
    <cfRule type="expression" dxfId="0" priority="1448">
      <formula>isblank(L:L)</formula>
    </cfRule>
  </conditionalFormatting>
  <conditionalFormatting sqref="B204">
    <cfRule type="expression" dxfId="0" priority="1449">
      <formula>isblank(L:L)</formula>
    </cfRule>
  </conditionalFormatting>
  <conditionalFormatting sqref="A204">
    <cfRule type="expression" dxfId="0" priority="1450">
      <formula>isblank(L:L)</formula>
    </cfRule>
  </conditionalFormatting>
  <conditionalFormatting sqref="B203">
    <cfRule type="expression" dxfId="0" priority="1451">
      <formula>isblank(L:L)</formula>
    </cfRule>
  </conditionalFormatting>
  <conditionalFormatting sqref="A203">
    <cfRule type="expression" dxfId="0" priority="1452">
      <formula>isblank(L:L)</formula>
    </cfRule>
  </conditionalFormatting>
  <conditionalFormatting sqref="E208">
    <cfRule type="containsText" dxfId="1" priority="1453" operator="containsText" text="Lapsed">
      <formula>NOT(ISERROR(SEARCH(("Lapsed"),(E208))))</formula>
    </cfRule>
  </conditionalFormatting>
  <conditionalFormatting sqref="E208">
    <cfRule type="containsText" dxfId="2" priority="1454" operator="containsText" text="Active">
      <formula>NOT(ISERROR(SEARCH(("Active"),(E208))))</formula>
    </cfRule>
  </conditionalFormatting>
  <conditionalFormatting sqref="D208">
    <cfRule type="containsText" dxfId="3" priority="1455" operator="containsText" text="Youth">
      <formula>NOT(ISERROR(SEARCH(("Youth"),(D208))))</formula>
    </cfRule>
  </conditionalFormatting>
  <conditionalFormatting sqref="J208 L208">
    <cfRule type="containsBlanks" dxfId="8" priority="1456">
      <formula>LEN(TRIM(J208))=0</formula>
    </cfRule>
  </conditionalFormatting>
  <conditionalFormatting sqref="J208 L208">
    <cfRule type="containsBlanks" dxfId="10" priority="1457">
      <formula>LEN(TRIM(J208))=0</formula>
    </cfRule>
  </conditionalFormatting>
  <conditionalFormatting sqref="B201">
    <cfRule type="expression" dxfId="0" priority="1458">
      <formula>isblank(L:L)</formula>
    </cfRule>
  </conditionalFormatting>
  <conditionalFormatting sqref="A201">
    <cfRule type="expression" dxfId="0" priority="1459">
      <formula>isblank(L:L)</formula>
    </cfRule>
  </conditionalFormatting>
  <conditionalFormatting sqref="B200">
    <cfRule type="expression" dxfId="0" priority="1460">
      <formula>isblank(L:L)</formula>
    </cfRule>
  </conditionalFormatting>
  <conditionalFormatting sqref="A200">
    <cfRule type="expression" dxfId="0" priority="1461">
      <formula>isblank(L:L)</formula>
    </cfRule>
  </conditionalFormatting>
  <conditionalFormatting sqref="E207">
    <cfRule type="containsText" dxfId="1" priority="1462" operator="containsText" text="Lapsed">
      <formula>NOT(ISERROR(SEARCH(("Lapsed"),(E207))))</formula>
    </cfRule>
  </conditionalFormatting>
  <conditionalFormatting sqref="E207">
    <cfRule type="containsText" dxfId="2" priority="1463" operator="containsText" text="Active">
      <formula>NOT(ISERROR(SEARCH(("Active"),(E207))))</formula>
    </cfRule>
  </conditionalFormatting>
  <conditionalFormatting sqref="D207">
    <cfRule type="containsText" dxfId="3" priority="1464" operator="containsText" text="Youth">
      <formula>NOT(ISERROR(SEARCH(("Youth"),(D207))))</formula>
    </cfRule>
  </conditionalFormatting>
  <conditionalFormatting sqref="J207 L207">
    <cfRule type="containsBlanks" dxfId="8" priority="1465">
      <formula>LEN(TRIM(J207))=0</formula>
    </cfRule>
  </conditionalFormatting>
  <conditionalFormatting sqref="J207 L207">
    <cfRule type="containsBlanks" dxfId="10" priority="1466">
      <formula>LEN(TRIM(J207))=0</formula>
    </cfRule>
  </conditionalFormatting>
  <conditionalFormatting sqref="B197:B199">
    <cfRule type="expression" dxfId="0" priority="1467">
      <formula>isblank(L:L)</formula>
    </cfRule>
  </conditionalFormatting>
  <conditionalFormatting sqref="A197:A199">
    <cfRule type="expression" dxfId="0" priority="1468">
      <formula>isblank(L:L)</formula>
    </cfRule>
  </conditionalFormatting>
  <conditionalFormatting sqref="E206">
    <cfRule type="containsText" dxfId="1" priority="1469" operator="containsText" text="Lapsed">
      <formula>NOT(ISERROR(SEARCH(("Lapsed"),(E206))))</formula>
    </cfRule>
  </conditionalFormatting>
  <conditionalFormatting sqref="E206">
    <cfRule type="containsText" dxfId="2" priority="1470" operator="containsText" text="Active">
      <formula>NOT(ISERROR(SEARCH(("Active"),(E206))))</formula>
    </cfRule>
  </conditionalFormatting>
  <conditionalFormatting sqref="D206">
    <cfRule type="containsText" dxfId="3" priority="1471" operator="containsText" text="Youth">
      <formula>NOT(ISERROR(SEARCH(("Youth"),(D206))))</formula>
    </cfRule>
  </conditionalFormatting>
  <conditionalFormatting sqref="J206 L206">
    <cfRule type="containsBlanks" dxfId="8" priority="1472">
      <formula>LEN(TRIM(J206))=0</formula>
    </cfRule>
  </conditionalFormatting>
  <conditionalFormatting sqref="J206 L206">
    <cfRule type="containsBlanks" dxfId="10" priority="1473">
      <formula>LEN(TRIM(J206))=0</formula>
    </cfRule>
  </conditionalFormatting>
  <conditionalFormatting sqref="B194:B196">
    <cfRule type="expression" dxfId="0" priority="1474">
      <formula>isblank(L:L)</formula>
    </cfRule>
  </conditionalFormatting>
  <conditionalFormatting sqref="A194:A196">
    <cfRule type="expression" dxfId="0" priority="1475">
      <formula>isblank(L:L)</formula>
    </cfRule>
  </conditionalFormatting>
  <conditionalFormatting sqref="B192:B193">
    <cfRule type="expression" dxfId="0" priority="1476">
      <formula>isblank(L:L)</formula>
    </cfRule>
  </conditionalFormatting>
  <conditionalFormatting sqref="E205">
    <cfRule type="containsText" dxfId="1" priority="1477" operator="containsText" text="Lapsed">
      <formula>NOT(ISERROR(SEARCH(("Lapsed"),(E205))))</formula>
    </cfRule>
  </conditionalFormatting>
  <conditionalFormatting sqref="E205">
    <cfRule type="containsText" dxfId="2" priority="1478" operator="containsText" text="Active">
      <formula>NOT(ISERROR(SEARCH(("Active"),(E205))))</formula>
    </cfRule>
  </conditionalFormatting>
  <conditionalFormatting sqref="D205">
    <cfRule type="containsText" dxfId="3" priority="1479" operator="containsText" text="Youth">
      <formula>NOT(ISERROR(SEARCH(("Youth"),(D205))))</formula>
    </cfRule>
  </conditionalFormatting>
  <conditionalFormatting sqref="J205 L205">
    <cfRule type="containsBlanks" dxfId="8" priority="1480">
      <formula>LEN(TRIM(J205))=0</formula>
    </cfRule>
  </conditionalFormatting>
  <conditionalFormatting sqref="J205 L205">
    <cfRule type="containsBlanks" dxfId="10" priority="1481">
      <formula>LEN(TRIM(J205))=0</formula>
    </cfRule>
  </conditionalFormatting>
  <conditionalFormatting sqref="A191:A193">
    <cfRule type="expression" dxfId="0" priority="1482">
      <formula>isblank(L:L)</formula>
    </cfRule>
  </conditionalFormatting>
  <conditionalFormatting sqref="B190:B191">
    <cfRule type="expression" dxfId="0" priority="1483">
      <formula>isblank(L:L)</formula>
    </cfRule>
  </conditionalFormatting>
  <conditionalFormatting sqref="A190">
    <cfRule type="expression" dxfId="0" priority="1484">
      <formula>isblank(L:L)</formula>
    </cfRule>
  </conditionalFormatting>
  <conditionalFormatting sqref="E204">
    <cfRule type="containsText" dxfId="1" priority="1485" operator="containsText" text="Lapsed">
      <formula>NOT(ISERROR(SEARCH(("Lapsed"),(E204))))</formula>
    </cfRule>
  </conditionalFormatting>
  <conditionalFormatting sqref="E204">
    <cfRule type="containsText" dxfId="2" priority="1486" operator="containsText" text="Active">
      <formula>NOT(ISERROR(SEARCH(("Active"),(E204))))</formula>
    </cfRule>
  </conditionalFormatting>
  <conditionalFormatting sqref="D204">
    <cfRule type="containsText" dxfId="3" priority="1487" operator="containsText" text="Youth">
      <formula>NOT(ISERROR(SEARCH(("Youth"),(D204))))</formula>
    </cfRule>
  </conditionalFormatting>
  <conditionalFormatting sqref="J204 L204">
    <cfRule type="containsBlanks" dxfId="8" priority="1488">
      <formula>LEN(TRIM(J204))=0</formula>
    </cfRule>
  </conditionalFormatting>
  <conditionalFormatting sqref="J204 L204">
    <cfRule type="containsBlanks" dxfId="10" priority="1489">
      <formula>LEN(TRIM(J204))=0</formula>
    </cfRule>
  </conditionalFormatting>
  <conditionalFormatting sqref="B187:B189">
    <cfRule type="expression" dxfId="0" priority="1490">
      <formula>isblank(L:L)</formula>
    </cfRule>
  </conditionalFormatting>
  <conditionalFormatting sqref="A187:A189">
    <cfRule type="expression" dxfId="0" priority="1491">
      <formula>isblank(L:L)</formula>
    </cfRule>
  </conditionalFormatting>
  <conditionalFormatting sqref="E203">
    <cfRule type="containsText" dxfId="1" priority="1492" operator="containsText" text="Lapsed">
      <formula>NOT(ISERROR(SEARCH(("Lapsed"),(E203))))</formula>
    </cfRule>
  </conditionalFormatting>
  <conditionalFormatting sqref="E203">
    <cfRule type="containsText" dxfId="2" priority="1493" operator="containsText" text="Active">
      <formula>NOT(ISERROR(SEARCH(("Active"),(E203))))</formula>
    </cfRule>
  </conditionalFormatting>
  <conditionalFormatting sqref="D203">
    <cfRule type="containsText" dxfId="3" priority="1494" operator="containsText" text="Youth">
      <formula>NOT(ISERROR(SEARCH(("Youth"),(D203))))</formula>
    </cfRule>
  </conditionalFormatting>
  <conditionalFormatting sqref="J203 L203">
    <cfRule type="containsBlanks" dxfId="8" priority="1495">
      <formula>LEN(TRIM(J203))=0</formula>
    </cfRule>
  </conditionalFormatting>
  <conditionalFormatting sqref="J203 L203">
    <cfRule type="containsBlanks" dxfId="10" priority="1496">
      <formula>LEN(TRIM(J203))=0</formula>
    </cfRule>
  </conditionalFormatting>
  <conditionalFormatting sqref="B185">
    <cfRule type="expression" dxfId="0" priority="1497">
      <formula>isblank(L:L)</formula>
    </cfRule>
  </conditionalFormatting>
  <conditionalFormatting sqref="A185">
    <cfRule type="expression" dxfId="0" priority="1498">
      <formula>isblank(L:L)</formula>
    </cfRule>
  </conditionalFormatting>
  <conditionalFormatting sqref="B183:B184">
    <cfRule type="expression" dxfId="0" priority="1499">
      <formula>isblank(L:L)</formula>
    </cfRule>
  </conditionalFormatting>
  <conditionalFormatting sqref="A183:A184">
    <cfRule type="expression" dxfId="0" priority="1500">
      <formula>isblank(L:L)</formula>
    </cfRule>
  </conditionalFormatting>
  <conditionalFormatting sqref="E202">
    <cfRule type="containsText" dxfId="1" priority="1501" operator="containsText" text="Lapsed">
      <formula>NOT(ISERROR(SEARCH(("Lapsed"),(E202))))</formula>
    </cfRule>
  </conditionalFormatting>
  <conditionalFormatting sqref="E202">
    <cfRule type="containsText" dxfId="2" priority="1502" operator="containsText" text="Active">
      <formula>NOT(ISERROR(SEARCH(("Active"),(E202))))</formula>
    </cfRule>
  </conditionalFormatting>
  <conditionalFormatting sqref="D202">
    <cfRule type="containsText" dxfId="3" priority="1503" operator="containsText" text="Youth">
      <formula>NOT(ISERROR(SEARCH(("Youth"),(D202))))</formula>
    </cfRule>
  </conditionalFormatting>
  <conditionalFormatting sqref="J202 L202">
    <cfRule type="containsBlanks" dxfId="8" priority="1504">
      <formula>LEN(TRIM(J202))=0</formula>
    </cfRule>
  </conditionalFormatting>
  <conditionalFormatting sqref="J202 L202">
    <cfRule type="containsBlanks" dxfId="10" priority="1505">
      <formula>LEN(TRIM(J202))=0</formula>
    </cfRule>
  </conditionalFormatting>
  <conditionalFormatting sqref="B180:B182">
    <cfRule type="expression" dxfId="0" priority="1506">
      <formula>isblank(L:L)</formula>
    </cfRule>
  </conditionalFormatting>
  <conditionalFormatting sqref="A180:A182">
    <cfRule type="expression" dxfId="0" priority="1507">
      <formula>isblank(L:L)</formula>
    </cfRule>
  </conditionalFormatting>
  <conditionalFormatting sqref="E201">
    <cfRule type="containsText" dxfId="1" priority="1508" operator="containsText" text="Lapsed">
      <formula>NOT(ISERROR(SEARCH(("Lapsed"),(E201))))</formula>
    </cfRule>
  </conditionalFormatting>
  <conditionalFormatting sqref="E201">
    <cfRule type="containsText" dxfId="2" priority="1509" operator="containsText" text="Active">
      <formula>NOT(ISERROR(SEARCH(("Active"),(E201))))</formula>
    </cfRule>
  </conditionalFormatting>
  <conditionalFormatting sqref="D201">
    <cfRule type="containsText" dxfId="3" priority="1510" operator="containsText" text="Youth">
      <formula>NOT(ISERROR(SEARCH(("Youth"),(D201))))</formula>
    </cfRule>
  </conditionalFormatting>
  <conditionalFormatting sqref="J201 L201">
    <cfRule type="containsBlanks" dxfId="8" priority="1511">
      <formula>LEN(TRIM(J201))=0</formula>
    </cfRule>
  </conditionalFormatting>
  <conditionalFormatting sqref="J201 L201">
    <cfRule type="containsBlanks" dxfId="10" priority="1512">
      <formula>LEN(TRIM(J201))=0</formula>
    </cfRule>
  </conditionalFormatting>
  <conditionalFormatting sqref="B178">
    <cfRule type="expression" dxfId="0" priority="1513">
      <formula>isblank(L:L)</formula>
    </cfRule>
  </conditionalFormatting>
  <conditionalFormatting sqref="A178">
    <cfRule type="expression" dxfId="0" priority="1514">
      <formula>isblank(L:L)</formula>
    </cfRule>
  </conditionalFormatting>
  <conditionalFormatting sqref="B176:B177">
    <cfRule type="expression" dxfId="0" priority="1515">
      <formula>isblank(L:L)</formula>
    </cfRule>
  </conditionalFormatting>
  <conditionalFormatting sqref="E200">
    <cfRule type="containsText" dxfId="1" priority="1516" operator="containsText" text="Lapsed">
      <formula>NOT(ISERROR(SEARCH(("Lapsed"),(E200))))</formula>
    </cfRule>
  </conditionalFormatting>
  <conditionalFormatting sqref="E200">
    <cfRule type="containsText" dxfId="2" priority="1517" operator="containsText" text="Active">
      <formula>NOT(ISERROR(SEARCH(("Active"),(E200))))</formula>
    </cfRule>
  </conditionalFormatting>
  <conditionalFormatting sqref="D200">
    <cfRule type="containsText" dxfId="3" priority="1518" operator="containsText" text="Youth">
      <formula>NOT(ISERROR(SEARCH(("Youth"),(D200))))</formula>
    </cfRule>
  </conditionalFormatting>
  <conditionalFormatting sqref="J200 L200">
    <cfRule type="containsBlanks" dxfId="8" priority="1519">
      <formula>LEN(TRIM(J200))=0</formula>
    </cfRule>
  </conditionalFormatting>
  <conditionalFormatting sqref="J200 L200">
    <cfRule type="containsBlanks" dxfId="10" priority="1520">
      <formula>LEN(TRIM(J200))=0</formula>
    </cfRule>
  </conditionalFormatting>
  <conditionalFormatting sqref="A175:A177">
    <cfRule type="expression" dxfId="0" priority="1521">
      <formula>isblank(L:L)</formula>
    </cfRule>
  </conditionalFormatting>
  <conditionalFormatting sqref="B174:B175">
    <cfRule type="expression" dxfId="0" priority="1522">
      <formula>isblank(L:L)</formula>
    </cfRule>
  </conditionalFormatting>
  <conditionalFormatting sqref="A174">
    <cfRule type="expression" dxfId="0" priority="1523">
      <formula>isblank(L:L)</formula>
    </cfRule>
  </conditionalFormatting>
  <conditionalFormatting sqref="E198:E199">
    <cfRule type="containsText" dxfId="1" priority="1524" operator="containsText" text="Lapsed">
      <formula>NOT(ISERROR(SEARCH(("Lapsed"),(E198))))</formula>
    </cfRule>
  </conditionalFormatting>
  <conditionalFormatting sqref="E198:E199">
    <cfRule type="containsText" dxfId="2" priority="1525" operator="containsText" text="Active">
      <formula>NOT(ISERROR(SEARCH(("Active"),(E198))))</formula>
    </cfRule>
  </conditionalFormatting>
  <conditionalFormatting sqref="D198:D199">
    <cfRule type="containsText" dxfId="3" priority="1526" operator="containsText" text="Youth">
      <formula>NOT(ISERROR(SEARCH(("Youth"),(D198))))</formula>
    </cfRule>
  </conditionalFormatting>
  <conditionalFormatting sqref="J198:J199 L198:L199">
    <cfRule type="containsBlanks" dxfId="8" priority="1527">
      <formula>LEN(TRIM(J198))=0</formula>
    </cfRule>
  </conditionalFormatting>
  <conditionalFormatting sqref="J198:J199 L198:L199">
    <cfRule type="containsBlanks" dxfId="10" priority="1528">
      <formula>LEN(TRIM(J198))=0</formula>
    </cfRule>
  </conditionalFormatting>
  <conditionalFormatting sqref="E197:E199">
    <cfRule type="containsText" dxfId="1" priority="1529" operator="containsText" text="Lapsed">
      <formula>NOT(ISERROR(SEARCH(("Lapsed"),(E197))))</formula>
    </cfRule>
  </conditionalFormatting>
  <conditionalFormatting sqref="E197:E199">
    <cfRule type="containsText" dxfId="2" priority="1530" operator="containsText" text="Active">
      <formula>NOT(ISERROR(SEARCH(("Active"),(E197))))</formula>
    </cfRule>
  </conditionalFormatting>
  <conditionalFormatting sqref="D197:D199">
    <cfRule type="containsText" dxfId="3" priority="1531" operator="containsText" text="Youth">
      <formula>NOT(ISERROR(SEARCH(("Youth"),(D197))))</formula>
    </cfRule>
  </conditionalFormatting>
  <conditionalFormatting sqref="L197:L198 J198:J199">
    <cfRule type="containsBlanks" dxfId="8" priority="1532">
      <formula>LEN(TRIM(L197))=0</formula>
    </cfRule>
  </conditionalFormatting>
  <conditionalFormatting sqref="L197:L198 J198:J199">
    <cfRule type="containsBlanks" dxfId="10" priority="1533">
      <formula>LEN(TRIM(L197))=0</formula>
    </cfRule>
  </conditionalFormatting>
  <conditionalFormatting sqref="B171">
    <cfRule type="expression" dxfId="0" priority="1534">
      <formula>isblank(L:L)</formula>
    </cfRule>
  </conditionalFormatting>
  <conditionalFormatting sqref="A171">
    <cfRule type="expression" dxfId="0" priority="1535">
      <formula>isblank(L:L)</formula>
    </cfRule>
  </conditionalFormatting>
  <conditionalFormatting sqref="B170">
    <cfRule type="expression" dxfId="0" priority="1536">
      <formula>isblank(L:L)</formula>
    </cfRule>
  </conditionalFormatting>
  <conditionalFormatting sqref="A170">
    <cfRule type="expression" dxfId="0" priority="1537">
      <formula>isblank(L:L)</formula>
    </cfRule>
  </conditionalFormatting>
  <conditionalFormatting sqref="B169">
    <cfRule type="expression" dxfId="0" priority="1538">
      <formula>isblank(L:L)</formula>
    </cfRule>
  </conditionalFormatting>
  <conditionalFormatting sqref="A169">
    <cfRule type="expression" dxfId="0" priority="1539">
      <formula>isblank(L:L)</formula>
    </cfRule>
  </conditionalFormatting>
  <conditionalFormatting sqref="E195:E196">
    <cfRule type="containsText" dxfId="1" priority="1540" operator="containsText" text="Lapsed">
      <formula>NOT(ISERROR(SEARCH(("Lapsed"),(E195))))</formula>
    </cfRule>
  </conditionalFormatting>
  <conditionalFormatting sqref="E195:E196">
    <cfRule type="containsText" dxfId="2" priority="1541" operator="containsText" text="Active">
      <formula>NOT(ISERROR(SEARCH(("Active"),(E195))))</formula>
    </cfRule>
  </conditionalFormatting>
  <conditionalFormatting sqref="D195:D196">
    <cfRule type="containsText" dxfId="3" priority="1542" operator="containsText" text="Youth">
      <formula>NOT(ISERROR(SEARCH(("Youth"),(D195))))</formula>
    </cfRule>
  </conditionalFormatting>
  <conditionalFormatting sqref="J195:J196 L195:L196">
    <cfRule type="containsBlanks" dxfId="8" priority="1543">
      <formula>LEN(TRIM(J195))=0</formula>
    </cfRule>
  </conditionalFormatting>
  <conditionalFormatting sqref="J195:J196 L195:L196">
    <cfRule type="containsBlanks" dxfId="10" priority="1544">
      <formula>LEN(TRIM(J195))=0</formula>
    </cfRule>
  </conditionalFormatting>
  <conditionalFormatting sqref="E194:E196">
    <cfRule type="containsText" dxfId="1" priority="1545" operator="containsText" text="Lapsed">
      <formula>NOT(ISERROR(SEARCH(("Lapsed"),(E194))))</formula>
    </cfRule>
  </conditionalFormatting>
  <conditionalFormatting sqref="E194:E196">
    <cfRule type="containsText" dxfId="2" priority="1546" operator="containsText" text="Active">
      <formula>NOT(ISERROR(SEARCH(("Active"),(E194))))</formula>
    </cfRule>
  </conditionalFormatting>
  <conditionalFormatting sqref="D194:D196">
    <cfRule type="containsText" dxfId="3" priority="1547" operator="containsText" text="Youth">
      <formula>NOT(ISERROR(SEARCH(("Youth"),(D194))))</formula>
    </cfRule>
  </conditionalFormatting>
  <conditionalFormatting sqref="L194:L195 J195:J196">
    <cfRule type="containsBlanks" dxfId="8" priority="1548">
      <formula>LEN(TRIM(L194))=0</formula>
    </cfRule>
  </conditionalFormatting>
  <conditionalFormatting sqref="L194:L195 J195:J196">
    <cfRule type="containsBlanks" dxfId="10" priority="1549">
      <formula>LEN(TRIM(L194))=0</formula>
    </cfRule>
  </conditionalFormatting>
  <conditionalFormatting sqref="B165:B166">
    <cfRule type="expression" dxfId="0" priority="1550">
      <formula>isblank(L:L)</formula>
    </cfRule>
  </conditionalFormatting>
  <conditionalFormatting sqref="A165:A166">
    <cfRule type="expression" dxfId="0" priority="1551">
      <formula>isblank(L:L)</formula>
    </cfRule>
  </conditionalFormatting>
  <conditionalFormatting sqref="B164">
    <cfRule type="expression" dxfId="0" priority="1552">
      <formula>isblank(L:L)</formula>
    </cfRule>
  </conditionalFormatting>
  <conditionalFormatting sqref="A164">
    <cfRule type="expression" dxfId="0" priority="1553">
      <formula>isblank(L:L)</formula>
    </cfRule>
  </conditionalFormatting>
  <conditionalFormatting sqref="B163">
    <cfRule type="expression" dxfId="0" priority="1554">
      <formula>isblank(L:L)</formula>
    </cfRule>
  </conditionalFormatting>
  <conditionalFormatting sqref="E192:E193">
    <cfRule type="containsText" dxfId="1" priority="1555" operator="containsText" text="Lapsed">
      <formula>NOT(ISERROR(SEARCH(("Lapsed"),(E192))))</formula>
    </cfRule>
  </conditionalFormatting>
  <conditionalFormatting sqref="E192:E193">
    <cfRule type="containsText" dxfId="2" priority="1556" operator="containsText" text="Active">
      <formula>NOT(ISERROR(SEARCH(("Active"),(E192))))</formula>
    </cfRule>
  </conditionalFormatting>
  <conditionalFormatting sqref="D192:D193">
    <cfRule type="containsText" dxfId="3" priority="1557" operator="containsText" text="Youth">
      <formula>NOT(ISERROR(SEARCH(("Youth"),(D192))))</formula>
    </cfRule>
  </conditionalFormatting>
  <conditionalFormatting sqref="J192:J193 L192:L193">
    <cfRule type="containsBlanks" dxfId="8" priority="1558">
      <formula>LEN(TRIM(J192))=0</formula>
    </cfRule>
  </conditionalFormatting>
  <conditionalFormatting sqref="J192:J193 L192:L193">
    <cfRule type="containsBlanks" dxfId="10" priority="1559">
      <formula>LEN(TRIM(J192))=0</formula>
    </cfRule>
  </conditionalFormatting>
  <conditionalFormatting sqref="E191:E193">
    <cfRule type="containsText" dxfId="1" priority="1560" operator="containsText" text="Lapsed">
      <formula>NOT(ISERROR(SEARCH(("Lapsed"),(E191))))</formula>
    </cfRule>
  </conditionalFormatting>
  <conditionalFormatting sqref="E191:E193">
    <cfRule type="containsText" dxfId="2" priority="1561" operator="containsText" text="Active">
      <formula>NOT(ISERROR(SEARCH(("Active"),(E191))))</formula>
    </cfRule>
  </conditionalFormatting>
  <conditionalFormatting sqref="D191:D193">
    <cfRule type="containsText" dxfId="3" priority="1562" operator="containsText" text="Youth">
      <formula>NOT(ISERROR(SEARCH(("Youth"),(D191))))</formula>
    </cfRule>
  </conditionalFormatting>
  <conditionalFormatting sqref="L191:L192 J192:J193">
    <cfRule type="containsBlanks" dxfId="8" priority="1563">
      <formula>LEN(TRIM(L191))=0</formula>
    </cfRule>
  </conditionalFormatting>
  <conditionalFormatting sqref="L191:L192 J192:J193">
    <cfRule type="containsBlanks" dxfId="10" priority="1564">
      <formula>LEN(TRIM(L191))=0</formula>
    </cfRule>
  </conditionalFormatting>
  <conditionalFormatting sqref="A161">
    <cfRule type="expression" dxfId="0" priority="1565">
      <formula>isblank(L:L)</formula>
    </cfRule>
  </conditionalFormatting>
  <conditionalFormatting sqref="B160">
    <cfRule type="expression" dxfId="0" priority="1566">
      <formula>isblank(L:L)</formula>
    </cfRule>
  </conditionalFormatting>
  <conditionalFormatting sqref="A160">
    <cfRule type="expression" dxfId="0" priority="1567">
      <formula>isblank(L:L)</formula>
    </cfRule>
  </conditionalFormatting>
  <conditionalFormatting sqref="B159">
    <cfRule type="expression" dxfId="0" priority="1568">
      <formula>isblank(L:L)</formula>
    </cfRule>
  </conditionalFormatting>
  <conditionalFormatting sqref="A159">
    <cfRule type="expression" dxfId="0" priority="1569">
      <formula>isblank(L:L)</formula>
    </cfRule>
  </conditionalFormatting>
  <conditionalFormatting sqref="E190">
    <cfRule type="containsText" dxfId="1" priority="1570" operator="containsText" text="Lapsed">
      <formula>NOT(ISERROR(SEARCH(("Lapsed"),(E190))))</formula>
    </cfRule>
  </conditionalFormatting>
  <conditionalFormatting sqref="E190">
    <cfRule type="containsText" dxfId="2" priority="1571" operator="containsText" text="Active">
      <formula>NOT(ISERROR(SEARCH(("Active"),(E190))))</formula>
    </cfRule>
  </conditionalFormatting>
  <conditionalFormatting sqref="D190">
    <cfRule type="containsText" dxfId="3" priority="1572" operator="containsText" text="Youth">
      <formula>NOT(ISERROR(SEARCH(("Youth"),(D190))))</formula>
    </cfRule>
  </conditionalFormatting>
  <conditionalFormatting sqref="J190 L190">
    <cfRule type="containsBlanks" dxfId="8" priority="1573">
      <formula>LEN(TRIM(J190))=0</formula>
    </cfRule>
  </conditionalFormatting>
  <conditionalFormatting sqref="J190 L190">
    <cfRule type="containsBlanks" dxfId="10" priority="1574">
      <formula>LEN(TRIM(J190))=0</formula>
    </cfRule>
  </conditionalFormatting>
  <conditionalFormatting sqref="B157">
    <cfRule type="expression" dxfId="0" priority="1575">
      <formula>isblank(L:L)</formula>
    </cfRule>
  </conditionalFormatting>
  <conditionalFormatting sqref="A157">
    <cfRule type="expression" dxfId="0" priority="1576">
      <formula>isblank(L:L)</formula>
    </cfRule>
  </conditionalFormatting>
  <conditionalFormatting sqref="B155:B156">
    <cfRule type="expression" dxfId="0" priority="1577">
      <formula>isblank(L:L)</formula>
    </cfRule>
  </conditionalFormatting>
  <conditionalFormatting sqref="A155:A156">
    <cfRule type="expression" dxfId="0" priority="1578">
      <formula>isblank(L:L)</formula>
    </cfRule>
  </conditionalFormatting>
  <conditionalFormatting sqref="E188:E189">
    <cfRule type="containsText" dxfId="1" priority="1579" operator="containsText" text="Lapsed">
      <formula>NOT(ISERROR(SEARCH(("Lapsed"),(E188))))</formula>
    </cfRule>
  </conditionalFormatting>
  <conditionalFormatting sqref="E188:E189">
    <cfRule type="containsText" dxfId="2" priority="1580" operator="containsText" text="Active">
      <formula>NOT(ISERROR(SEARCH(("Active"),(E188))))</formula>
    </cfRule>
  </conditionalFormatting>
  <conditionalFormatting sqref="D188:D189">
    <cfRule type="containsText" dxfId="3" priority="1581" operator="containsText" text="Youth">
      <formula>NOT(ISERROR(SEARCH(("Youth"),(D188))))</formula>
    </cfRule>
  </conditionalFormatting>
  <conditionalFormatting sqref="J188:J189 L188:L189">
    <cfRule type="containsBlanks" dxfId="8" priority="1582">
      <formula>LEN(TRIM(J188))=0</formula>
    </cfRule>
  </conditionalFormatting>
  <conditionalFormatting sqref="J188:J189 L188:L189">
    <cfRule type="containsBlanks" dxfId="10" priority="1583">
      <formula>LEN(TRIM(J188))=0</formula>
    </cfRule>
  </conditionalFormatting>
  <conditionalFormatting sqref="E187:E189">
    <cfRule type="containsText" dxfId="1" priority="1584" operator="containsText" text="Lapsed">
      <formula>NOT(ISERROR(SEARCH(("Lapsed"),(E187))))</formula>
    </cfRule>
  </conditionalFormatting>
  <conditionalFormatting sqref="E187:E189">
    <cfRule type="containsText" dxfId="2" priority="1585" operator="containsText" text="Active">
      <formula>NOT(ISERROR(SEARCH(("Active"),(E187))))</formula>
    </cfRule>
  </conditionalFormatting>
  <conditionalFormatting sqref="D187:D189">
    <cfRule type="containsText" dxfId="3" priority="1586" operator="containsText" text="Youth">
      <formula>NOT(ISERROR(SEARCH(("Youth"),(D187))))</formula>
    </cfRule>
  </conditionalFormatting>
  <conditionalFormatting sqref="L187:L188 J188:J189">
    <cfRule type="containsBlanks" dxfId="8" priority="1587">
      <formula>LEN(TRIM(L187))=0</formula>
    </cfRule>
  </conditionalFormatting>
  <conditionalFormatting sqref="L187:L188 J188:J189">
    <cfRule type="containsBlanks" dxfId="10" priority="1588">
      <formula>LEN(TRIM(L187))=0</formula>
    </cfRule>
  </conditionalFormatting>
  <conditionalFormatting sqref="B152">
    <cfRule type="expression" dxfId="0" priority="1589">
      <formula>isblank(L:L)</formula>
    </cfRule>
  </conditionalFormatting>
  <conditionalFormatting sqref="A152">
    <cfRule type="expression" dxfId="0" priority="1590">
      <formula>isblank(L:L)</formula>
    </cfRule>
  </conditionalFormatting>
  <conditionalFormatting sqref="B151">
    <cfRule type="expression" dxfId="0" priority="1591">
      <formula>isblank(L:L)</formula>
    </cfRule>
  </conditionalFormatting>
  <conditionalFormatting sqref="A151">
    <cfRule type="expression" dxfId="0" priority="1592">
      <formula>isblank(L:L)</formula>
    </cfRule>
  </conditionalFormatting>
  <conditionalFormatting sqref="B150">
    <cfRule type="expression" dxfId="0" priority="1593">
      <formula>isblank(L:L)</formula>
    </cfRule>
  </conditionalFormatting>
  <conditionalFormatting sqref="E186">
    <cfRule type="containsText" dxfId="1" priority="1594" operator="containsText" text="Lapsed">
      <formula>NOT(ISERROR(SEARCH(("Lapsed"),(E186))))</formula>
    </cfRule>
  </conditionalFormatting>
  <conditionalFormatting sqref="E186">
    <cfRule type="containsText" dxfId="2" priority="1595" operator="containsText" text="Active">
      <formula>NOT(ISERROR(SEARCH(("Active"),(E186))))</formula>
    </cfRule>
  </conditionalFormatting>
  <conditionalFormatting sqref="D186">
    <cfRule type="containsText" dxfId="3" priority="1596" operator="containsText" text="Youth">
      <formula>NOT(ISERROR(SEARCH(("Youth"),(D186))))</formula>
    </cfRule>
  </conditionalFormatting>
  <conditionalFormatting sqref="J186 L186">
    <cfRule type="containsBlanks" dxfId="8" priority="1597">
      <formula>LEN(TRIM(J186))=0</formula>
    </cfRule>
  </conditionalFormatting>
  <conditionalFormatting sqref="J186 L186">
    <cfRule type="containsBlanks" dxfId="10" priority="1598">
      <formula>LEN(TRIM(J186))=0</formula>
    </cfRule>
  </conditionalFormatting>
  <conditionalFormatting sqref="A149">
    <cfRule type="expression" dxfId="0" priority="1599">
      <formula>isblank(L:L)</formula>
    </cfRule>
  </conditionalFormatting>
  <conditionalFormatting sqref="B148">
    <cfRule type="expression" dxfId="0" priority="1600">
      <formula>isblank(L:L)</formula>
    </cfRule>
  </conditionalFormatting>
  <conditionalFormatting sqref="A148">
    <cfRule type="expression" dxfId="0" priority="1601">
      <formula>isblank(L:L)</formula>
    </cfRule>
  </conditionalFormatting>
  <conditionalFormatting sqref="E185">
    <cfRule type="containsText" dxfId="1" priority="1602" operator="containsText" text="Lapsed">
      <formula>NOT(ISERROR(SEARCH(("Lapsed"),(E185))))</formula>
    </cfRule>
  </conditionalFormatting>
  <conditionalFormatting sqref="E185">
    <cfRule type="containsText" dxfId="2" priority="1603" operator="containsText" text="Active">
      <formula>NOT(ISERROR(SEARCH(("Active"),(E185))))</formula>
    </cfRule>
  </conditionalFormatting>
  <conditionalFormatting sqref="D185">
    <cfRule type="containsText" dxfId="3" priority="1604" operator="containsText" text="Youth">
      <formula>NOT(ISERROR(SEARCH(("Youth"),(D185))))</formula>
    </cfRule>
  </conditionalFormatting>
  <conditionalFormatting sqref="J185 L185">
    <cfRule type="containsBlanks" dxfId="8" priority="1605">
      <formula>LEN(TRIM(J185))=0</formula>
    </cfRule>
  </conditionalFormatting>
  <conditionalFormatting sqref="J185 L185">
    <cfRule type="containsBlanks" dxfId="10" priority="1606">
      <formula>LEN(TRIM(J185))=0</formula>
    </cfRule>
  </conditionalFormatting>
  <conditionalFormatting sqref="B144:B147">
    <cfRule type="expression" dxfId="0" priority="1607">
      <formula>isblank(L:L)</formula>
    </cfRule>
  </conditionalFormatting>
  <conditionalFormatting sqref="A144:A147">
    <cfRule type="expression" dxfId="0" priority="1608">
      <formula>isblank(L:L)</formula>
    </cfRule>
  </conditionalFormatting>
  <conditionalFormatting sqref="E183:E184">
    <cfRule type="containsText" dxfId="1" priority="1609" operator="containsText" text="Lapsed">
      <formula>NOT(ISERROR(SEARCH(("Lapsed"),(E183))))</formula>
    </cfRule>
  </conditionalFormatting>
  <conditionalFormatting sqref="E183:E184">
    <cfRule type="containsText" dxfId="2" priority="1610" operator="containsText" text="Active">
      <formula>NOT(ISERROR(SEARCH(("Active"),(E183))))</formula>
    </cfRule>
  </conditionalFormatting>
  <conditionalFormatting sqref="D183:D184">
    <cfRule type="containsText" dxfId="3" priority="1611" operator="containsText" text="Youth">
      <formula>NOT(ISERROR(SEARCH(("Youth"),(D183))))</formula>
    </cfRule>
  </conditionalFormatting>
  <conditionalFormatting sqref="J183:J184 L183:L184">
    <cfRule type="containsBlanks" dxfId="8" priority="1612">
      <formula>LEN(TRIM(J183))=0</formula>
    </cfRule>
  </conditionalFormatting>
  <conditionalFormatting sqref="J183:J184 L183:L184">
    <cfRule type="containsBlanks" dxfId="10" priority="1613">
      <formula>LEN(TRIM(J183))=0</formula>
    </cfRule>
  </conditionalFormatting>
  <conditionalFormatting sqref="E181:E184">
    <cfRule type="containsText" dxfId="1" priority="1614" operator="containsText" text="Lapsed">
      <formula>NOT(ISERROR(SEARCH(("Lapsed"),(E181))))</formula>
    </cfRule>
  </conditionalFormatting>
  <conditionalFormatting sqref="E181:E184">
    <cfRule type="containsText" dxfId="2" priority="1615" operator="containsText" text="Active">
      <formula>NOT(ISERROR(SEARCH(("Active"),(E181))))</formula>
    </cfRule>
  </conditionalFormatting>
  <conditionalFormatting sqref="D181:D184">
    <cfRule type="containsText" dxfId="3" priority="1616" operator="containsText" text="Youth">
      <formula>NOT(ISERROR(SEARCH(("Youth"),(D181))))</formula>
    </cfRule>
  </conditionalFormatting>
  <conditionalFormatting sqref="L181:L183 J183:J184">
    <cfRule type="containsBlanks" dxfId="8" priority="1617">
      <formula>LEN(TRIM(L181))=0</formula>
    </cfRule>
  </conditionalFormatting>
  <conditionalFormatting sqref="L181:L183 J183:J184">
    <cfRule type="containsBlanks" dxfId="10" priority="1618">
      <formula>LEN(TRIM(L181))=0</formula>
    </cfRule>
  </conditionalFormatting>
  <conditionalFormatting sqref="B141">
    <cfRule type="expression" dxfId="0" priority="1619">
      <formula>isblank(L:L)</formula>
    </cfRule>
  </conditionalFormatting>
  <conditionalFormatting sqref="A141">
    <cfRule type="expression" dxfId="0" priority="1620">
      <formula>isblank(L:L)</formula>
    </cfRule>
  </conditionalFormatting>
  <conditionalFormatting sqref="B139:B140">
    <cfRule type="expression" dxfId="0" priority="1621">
      <formula>isblank(L:L)</formula>
    </cfRule>
  </conditionalFormatting>
  <conditionalFormatting sqref="A139:A140">
    <cfRule type="expression" dxfId="0" priority="1622">
      <formula>isblank(L:L)</formula>
    </cfRule>
  </conditionalFormatting>
  <conditionalFormatting sqref="E180:E182">
    <cfRule type="containsText" dxfId="1" priority="1623" operator="containsText" text="Lapsed">
      <formula>NOT(ISERROR(SEARCH(("Lapsed"),(E180))))</formula>
    </cfRule>
  </conditionalFormatting>
  <conditionalFormatting sqref="E180:E182">
    <cfRule type="containsText" dxfId="2" priority="1624" operator="containsText" text="Active">
      <formula>NOT(ISERROR(SEARCH(("Active"),(E180))))</formula>
    </cfRule>
  </conditionalFormatting>
  <conditionalFormatting sqref="D180:D182">
    <cfRule type="containsText" dxfId="3" priority="1625" operator="containsText" text="Youth">
      <formula>NOT(ISERROR(SEARCH(("Youth"),(D180))))</formula>
    </cfRule>
  </conditionalFormatting>
  <conditionalFormatting sqref="L180:L181 J181:J182">
    <cfRule type="containsBlanks" dxfId="8" priority="1626">
      <formula>LEN(TRIM(L180))=0</formula>
    </cfRule>
  </conditionalFormatting>
  <conditionalFormatting sqref="L180:L181 J181:J182">
    <cfRule type="containsBlanks" dxfId="10" priority="1627">
      <formula>LEN(TRIM(L180))=0</formula>
    </cfRule>
  </conditionalFormatting>
  <conditionalFormatting sqref="B137:B138">
    <cfRule type="expression" dxfId="0" priority="1628">
      <formula>isblank(L:L)</formula>
    </cfRule>
  </conditionalFormatting>
  <conditionalFormatting sqref="A137:A138">
    <cfRule type="expression" dxfId="0" priority="1629">
      <formula>isblank(L:L)</formula>
    </cfRule>
  </conditionalFormatting>
  <conditionalFormatting sqref="B136">
    <cfRule type="expression" dxfId="0" priority="1630">
      <formula>isblank(L:L)</formula>
    </cfRule>
  </conditionalFormatting>
  <conditionalFormatting sqref="A136">
    <cfRule type="expression" dxfId="0" priority="1631">
      <formula>isblank(L:L)</formula>
    </cfRule>
  </conditionalFormatting>
  <conditionalFormatting sqref="B135">
    <cfRule type="expression" dxfId="0" priority="1632">
      <formula>isblank(L:L)</formula>
    </cfRule>
  </conditionalFormatting>
  <conditionalFormatting sqref="E179">
    <cfRule type="containsText" dxfId="1" priority="1633" operator="containsText" text="Lapsed">
      <formula>NOT(ISERROR(SEARCH(("Lapsed"),(E179))))</formula>
    </cfRule>
  </conditionalFormatting>
  <conditionalFormatting sqref="E179">
    <cfRule type="containsText" dxfId="2" priority="1634" operator="containsText" text="Active">
      <formula>NOT(ISERROR(SEARCH(("Active"),(E179))))</formula>
    </cfRule>
  </conditionalFormatting>
  <conditionalFormatting sqref="D179">
    <cfRule type="containsText" dxfId="3" priority="1635" operator="containsText" text="Youth">
      <formula>NOT(ISERROR(SEARCH(("Youth"),(D179))))</formula>
    </cfRule>
  </conditionalFormatting>
  <conditionalFormatting sqref="J179 L179">
    <cfRule type="containsBlanks" dxfId="8" priority="1636">
      <formula>LEN(TRIM(J179))=0</formula>
    </cfRule>
  </conditionalFormatting>
  <conditionalFormatting sqref="J179 L179">
    <cfRule type="containsBlanks" dxfId="10" priority="1637">
      <formula>LEN(TRIM(J179))=0</formula>
    </cfRule>
  </conditionalFormatting>
  <conditionalFormatting sqref="A134">
    <cfRule type="expression" dxfId="0" priority="1638">
      <formula>isblank(L:L)</formula>
    </cfRule>
  </conditionalFormatting>
  <conditionalFormatting sqref="B131:B133">
    <cfRule type="expression" dxfId="0" priority="1639">
      <formula>isblank(L:L)</formula>
    </cfRule>
  </conditionalFormatting>
  <conditionalFormatting sqref="A131:A133">
    <cfRule type="expression" dxfId="0" priority="1640">
      <formula>isblank(L:L)</formula>
    </cfRule>
  </conditionalFormatting>
  <conditionalFormatting sqref="E178">
    <cfRule type="containsText" dxfId="1" priority="1641" operator="containsText" text="Lapsed">
      <formula>NOT(ISERROR(SEARCH(("Lapsed"),(E178))))</formula>
    </cfRule>
  </conditionalFormatting>
  <conditionalFormatting sqref="E178">
    <cfRule type="containsText" dxfId="2" priority="1642" operator="containsText" text="Active">
      <formula>NOT(ISERROR(SEARCH(("Active"),(E178))))</formula>
    </cfRule>
  </conditionalFormatting>
  <conditionalFormatting sqref="D178">
    <cfRule type="containsText" dxfId="3" priority="1643" operator="containsText" text="Youth">
      <formula>NOT(ISERROR(SEARCH(("Youth"),(D178))))</formula>
    </cfRule>
  </conditionalFormatting>
  <conditionalFormatting sqref="J178 L178">
    <cfRule type="containsBlanks" dxfId="8" priority="1644">
      <formula>LEN(TRIM(J178))=0</formula>
    </cfRule>
  </conditionalFormatting>
  <conditionalFormatting sqref="J178 L178">
    <cfRule type="containsBlanks" dxfId="10" priority="1645">
      <formula>LEN(TRIM(J178))=0</formula>
    </cfRule>
  </conditionalFormatting>
  <conditionalFormatting sqref="B126:B131">
    <cfRule type="expression" dxfId="0" priority="1646">
      <formula>isblank(L:L)</formula>
    </cfRule>
  </conditionalFormatting>
  <conditionalFormatting sqref="A126:A131">
    <cfRule type="expression" dxfId="0" priority="1647">
      <formula>isblank(L:L)</formula>
    </cfRule>
  </conditionalFormatting>
  <conditionalFormatting sqref="E176:E177">
    <cfRule type="containsText" dxfId="1" priority="1648" operator="containsText" text="Lapsed">
      <formula>NOT(ISERROR(SEARCH(("Lapsed"),(E176))))</formula>
    </cfRule>
  </conditionalFormatting>
  <conditionalFormatting sqref="E176:E177">
    <cfRule type="containsText" dxfId="2" priority="1649" operator="containsText" text="Active">
      <formula>NOT(ISERROR(SEARCH(("Active"),(E176))))</formula>
    </cfRule>
  </conditionalFormatting>
  <conditionalFormatting sqref="D176:D177">
    <cfRule type="containsText" dxfId="3" priority="1650" operator="containsText" text="Youth">
      <formula>NOT(ISERROR(SEARCH(("Youth"),(D176))))</formula>
    </cfRule>
  </conditionalFormatting>
  <conditionalFormatting sqref="J176:J177 L176:L177">
    <cfRule type="containsBlanks" dxfId="8" priority="1651">
      <formula>LEN(TRIM(J176))=0</formula>
    </cfRule>
  </conditionalFormatting>
  <conditionalFormatting sqref="J176:J177 L176:L177">
    <cfRule type="containsBlanks" dxfId="10" priority="1652">
      <formula>LEN(TRIM(J176))=0</formula>
    </cfRule>
  </conditionalFormatting>
  <conditionalFormatting sqref="E175:E177">
    <cfRule type="containsText" dxfId="1" priority="1653" operator="containsText" text="Lapsed">
      <formula>NOT(ISERROR(SEARCH(("Lapsed"),(E175))))</formula>
    </cfRule>
  </conditionalFormatting>
  <conditionalFormatting sqref="E175:E177">
    <cfRule type="containsText" dxfId="2" priority="1654" operator="containsText" text="Active">
      <formula>NOT(ISERROR(SEARCH(("Active"),(E175))))</formula>
    </cfRule>
  </conditionalFormatting>
  <conditionalFormatting sqref="D175:D177">
    <cfRule type="containsText" dxfId="3" priority="1655" operator="containsText" text="Youth">
      <formula>NOT(ISERROR(SEARCH(("Youth"),(D175))))</formula>
    </cfRule>
  </conditionalFormatting>
  <conditionalFormatting sqref="L175:L176 J176:J177">
    <cfRule type="containsBlanks" dxfId="8" priority="1656">
      <formula>LEN(TRIM(L175))=0</formula>
    </cfRule>
  </conditionalFormatting>
  <conditionalFormatting sqref="L175:L176 J176:J177">
    <cfRule type="containsBlanks" dxfId="10" priority="1657">
      <formula>LEN(TRIM(L175))=0</formula>
    </cfRule>
  </conditionalFormatting>
  <conditionalFormatting sqref="B122">
    <cfRule type="expression" dxfId="0" priority="1658">
      <formula>isblank(L:L)</formula>
    </cfRule>
  </conditionalFormatting>
  <conditionalFormatting sqref="A122">
    <cfRule type="expression" dxfId="0" priority="1659">
      <formula>isblank(L:L)</formula>
    </cfRule>
  </conditionalFormatting>
  <conditionalFormatting sqref="B121">
    <cfRule type="expression" dxfId="0" priority="1660">
      <formula>isblank(L:L)</formula>
    </cfRule>
  </conditionalFormatting>
  <conditionalFormatting sqref="A121">
    <cfRule type="expression" dxfId="0" priority="1661">
      <formula>isblank(L:L)</formula>
    </cfRule>
  </conditionalFormatting>
  <conditionalFormatting sqref="B120">
    <cfRule type="expression" dxfId="0" priority="1662">
      <formula>isblank(L:L)</formula>
    </cfRule>
  </conditionalFormatting>
  <conditionalFormatting sqref="A120">
    <cfRule type="expression" dxfId="0" priority="1663">
      <formula>isblank(L:L)</formula>
    </cfRule>
  </conditionalFormatting>
  <conditionalFormatting sqref="E174">
    <cfRule type="containsText" dxfId="1" priority="1664" operator="containsText" text="Lapsed">
      <formula>NOT(ISERROR(SEARCH(("Lapsed"),(E174))))</formula>
    </cfRule>
  </conditionalFormatting>
  <conditionalFormatting sqref="E174">
    <cfRule type="containsText" dxfId="2" priority="1665" operator="containsText" text="Active">
      <formula>NOT(ISERROR(SEARCH(("Active"),(E174))))</formula>
    </cfRule>
  </conditionalFormatting>
  <conditionalFormatting sqref="D174">
    <cfRule type="containsText" dxfId="3" priority="1666" operator="containsText" text="Youth">
      <formula>NOT(ISERROR(SEARCH(("Youth"),(D174))))</formula>
    </cfRule>
  </conditionalFormatting>
  <conditionalFormatting sqref="J174 L174">
    <cfRule type="containsBlanks" dxfId="8" priority="1667">
      <formula>LEN(TRIM(J174))=0</formula>
    </cfRule>
  </conditionalFormatting>
  <conditionalFormatting sqref="J174 L174">
    <cfRule type="containsBlanks" dxfId="10" priority="1668">
      <formula>LEN(TRIM(J174))=0</formula>
    </cfRule>
  </conditionalFormatting>
  <conditionalFormatting sqref="B118">
    <cfRule type="expression" dxfId="0" priority="1669">
      <formula>isblank(L:L)</formula>
    </cfRule>
  </conditionalFormatting>
  <conditionalFormatting sqref="A118">
    <cfRule type="expression" dxfId="0" priority="1670">
      <formula>isblank(L:L)</formula>
    </cfRule>
  </conditionalFormatting>
  <conditionalFormatting sqref="B116:B117">
    <cfRule type="expression" dxfId="0" priority="1671">
      <formula>isblank(L:L)</formula>
    </cfRule>
  </conditionalFormatting>
  <conditionalFormatting sqref="E173">
    <cfRule type="containsText" dxfId="1" priority="1672" operator="containsText" text="Lapsed">
      <formula>NOT(ISERROR(SEARCH(("Lapsed"),(E173))))</formula>
    </cfRule>
  </conditionalFormatting>
  <conditionalFormatting sqref="E173">
    <cfRule type="containsText" dxfId="2" priority="1673" operator="containsText" text="Active">
      <formula>NOT(ISERROR(SEARCH(("Active"),(E173))))</formula>
    </cfRule>
  </conditionalFormatting>
  <conditionalFormatting sqref="D173">
    <cfRule type="containsText" dxfId="3" priority="1674" operator="containsText" text="Youth">
      <formula>NOT(ISERROR(SEARCH(("Youth"),(D173))))</formula>
    </cfRule>
  </conditionalFormatting>
  <conditionalFormatting sqref="J173 L173">
    <cfRule type="containsBlanks" dxfId="8" priority="1675">
      <formula>LEN(TRIM(J173))=0</formula>
    </cfRule>
  </conditionalFormatting>
  <conditionalFormatting sqref="J173 L173">
    <cfRule type="containsBlanks" dxfId="10" priority="1676">
      <formula>LEN(TRIM(J173))=0</formula>
    </cfRule>
  </conditionalFormatting>
  <conditionalFormatting sqref="A115:A117">
    <cfRule type="expression" dxfId="0" priority="1677">
      <formula>isblank(L:L)</formula>
    </cfRule>
  </conditionalFormatting>
  <conditionalFormatting sqref="B114:B115">
    <cfRule type="expression" dxfId="0" priority="1678">
      <formula>isblank(L:L)</formula>
    </cfRule>
  </conditionalFormatting>
  <conditionalFormatting sqref="A113:A114">
    <cfRule type="expression" dxfId="0" priority="1679">
      <formula>isblank(L:L)</formula>
    </cfRule>
  </conditionalFormatting>
  <conditionalFormatting sqref="E172">
    <cfRule type="containsText" dxfId="1" priority="1680" operator="containsText" text="Lapsed">
      <formula>NOT(ISERROR(SEARCH(("Lapsed"),(E172))))</formula>
    </cfRule>
  </conditionalFormatting>
  <conditionalFormatting sqref="E172">
    <cfRule type="containsText" dxfId="2" priority="1681" operator="containsText" text="Active">
      <formula>NOT(ISERROR(SEARCH(("Active"),(E172))))</formula>
    </cfRule>
  </conditionalFormatting>
  <conditionalFormatting sqref="D172">
    <cfRule type="containsText" dxfId="3" priority="1682" operator="containsText" text="Youth">
      <formula>NOT(ISERROR(SEARCH(("Youth"),(D172))))</formula>
    </cfRule>
  </conditionalFormatting>
  <conditionalFormatting sqref="J172 L172">
    <cfRule type="containsBlanks" dxfId="8" priority="1683">
      <formula>LEN(TRIM(J172))=0</formula>
    </cfRule>
  </conditionalFormatting>
  <conditionalFormatting sqref="J172 L172">
    <cfRule type="containsBlanks" dxfId="10" priority="1684">
      <formula>LEN(TRIM(J172))=0</formula>
    </cfRule>
  </conditionalFormatting>
  <conditionalFormatting sqref="B109:B112">
    <cfRule type="expression" dxfId="0" priority="1685">
      <formula>isblank(L:L)</formula>
    </cfRule>
  </conditionalFormatting>
  <conditionalFormatting sqref="A109:A112">
    <cfRule type="expression" dxfId="0" priority="1686">
      <formula>isblank(L:L)</formula>
    </cfRule>
  </conditionalFormatting>
  <conditionalFormatting sqref="E171">
    <cfRule type="containsText" dxfId="1" priority="1687" operator="containsText" text="Lapsed">
      <formula>NOT(ISERROR(SEARCH(("Lapsed"),(E171))))</formula>
    </cfRule>
  </conditionalFormatting>
  <conditionalFormatting sqref="E171">
    <cfRule type="containsText" dxfId="2" priority="1688" operator="containsText" text="Active">
      <formula>NOT(ISERROR(SEARCH(("Active"),(E171))))</formula>
    </cfRule>
  </conditionalFormatting>
  <conditionalFormatting sqref="D171">
    <cfRule type="containsText" dxfId="3" priority="1689" operator="containsText" text="Youth">
      <formula>NOT(ISERROR(SEARCH(("Youth"),(D171))))</formula>
    </cfRule>
  </conditionalFormatting>
  <conditionalFormatting sqref="J171 L171">
    <cfRule type="containsBlanks" dxfId="8" priority="1690">
      <formula>LEN(TRIM(J171))=0</formula>
    </cfRule>
  </conditionalFormatting>
  <conditionalFormatting sqref="J171 L171">
    <cfRule type="containsBlanks" dxfId="10" priority="1691">
      <formula>LEN(TRIM(J171))=0</formula>
    </cfRule>
  </conditionalFormatting>
  <conditionalFormatting sqref="B106:B107">
    <cfRule type="expression" dxfId="0" priority="1692">
      <formula>isblank(L:L)</formula>
    </cfRule>
  </conditionalFormatting>
  <conditionalFormatting sqref="A106:A107">
    <cfRule type="expression" dxfId="0" priority="1693">
      <formula>isblank(L:L)</formula>
    </cfRule>
  </conditionalFormatting>
  <conditionalFormatting sqref="B105:B106">
    <cfRule type="expression" dxfId="0" priority="1694">
      <formula>isblank(L:L)</formula>
    </cfRule>
  </conditionalFormatting>
  <conditionalFormatting sqref="A105:A106">
    <cfRule type="expression" dxfId="0" priority="1695">
      <formula>isblank(L:L)</formula>
    </cfRule>
  </conditionalFormatting>
  <conditionalFormatting sqref="E170">
    <cfRule type="containsText" dxfId="1" priority="1696" operator="containsText" text="Lapsed">
      <formula>NOT(ISERROR(SEARCH(("Lapsed"),(E170))))</formula>
    </cfRule>
  </conditionalFormatting>
  <conditionalFormatting sqref="E170">
    <cfRule type="containsText" dxfId="2" priority="1697" operator="containsText" text="Active">
      <formula>NOT(ISERROR(SEARCH(("Active"),(E170))))</formula>
    </cfRule>
  </conditionalFormatting>
  <conditionalFormatting sqref="D170">
    <cfRule type="containsText" dxfId="3" priority="1698" operator="containsText" text="Youth">
      <formula>NOT(ISERROR(SEARCH(("Youth"),(D170))))</formula>
    </cfRule>
  </conditionalFormatting>
  <conditionalFormatting sqref="J170 L170">
    <cfRule type="containsBlanks" dxfId="8" priority="1699">
      <formula>LEN(TRIM(J170))=0</formula>
    </cfRule>
  </conditionalFormatting>
  <conditionalFormatting sqref="J170 L170">
    <cfRule type="containsBlanks" dxfId="10" priority="1700">
      <formula>LEN(TRIM(J170))=0</formula>
    </cfRule>
  </conditionalFormatting>
  <conditionalFormatting sqref="B103">
    <cfRule type="expression" dxfId="0" priority="1701">
      <formula>isblank(L:L)</formula>
    </cfRule>
  </conditionalFormatting>
  <conditionalFormatting sqref="A103">
    <cfRule type="expression" dxfId="0" priority="1702">
      <formula>isblank(L:L)</formula>
    </cfRule>
  </conditionalFormatting>
  <conditionalFormatting sqref="E169">
    <cfRule type="containsText" dxfId="1" priority="1703" operator="containsText" text="Lapsed">
      <formula>NOT(ISERROR(SEARCH(("Lapsed"),(E169))))</formula>
    </cfRule>
  </conditionalFormatting>
  <conditionalFormatting sqref="E169">
    <cfRule type="containsText" dxfId="2" priority="1704" operator="containsText" text="Active">
      <formula>NOT(ISERROR(SEARCH(("Active"),(E169))))</formula>
    </cfRule>
  </conditionalFormatting>
  <conditionalFormatting sqref="D169">
    <cfRule type="containsText" dxfId="3" priority="1705" operator="containsText" text="Youth">
      <formula>NOT(ISERROR(SEARCH(("Youth"),(D169))))</formula>
    </cfRule>
  </conditionalFormatting>
  <conditionalFormatting sqref="J169 L169">
    <cfRule type="containsBlanks" dxfId="8" priority="1706">
      <formula>LEN(TRIM(J169))=0</formula>
    </cfRule>
  </conditionalFormatting>
  <conditionalFormatting sqref="J169 L169">
    <cfRule type="containsBlanks" dxfId="10" priority="1707">
      <formula>LEN(TRIM(J169))=0</formula>
    </cfRule>
  </conditionalFormatting>
  <conditionalFormatting sqref="B100:B102">
    <cfRule type="expression" dxfId="0" priority="1708">
      <formula>isblank(L:L)</formula>
    </cfRule>
  </conditionalFormatting>
  <conditionalFormatting sqref="A100:A102">
    <cfRule type="expression" dxfId="0" priority="1709">
      <formula>isblank(L:L)</formula>
    </cfRule>
  </conditionalFormatting>
  <conditionalFormatting sqref="B99">
    <cfRule type="expression" dxfId="0" priority="1710">
      <formula>isblank(L:L)</formula>
    </cfRule>
  </conditionalFormatting>
  <conditionalFormatting sqref="E167:E168">
    <cfRule type="containsText" dxfId="1" priority="1711" operator="containsText" text="Lapsed">
      <formula>NOT(ISERROR(SEARCH(("Lapsed"),(E167))))</formula>
    </cfRule>
  </conditionalFormatting>
  <conditionalFormatting sqref="E167:E168">
    <cfRule type="containsText" dxfId="2" priority="1712" operator="containsText" text="Active">
      <formula>NOT(ISERROR(SEARCH(("Active"),(E167))))</formula>
    </cfRule>
  </conditionalFormatting>
  <conditionalFormatting sqref="D167:D168">
    <cfRule type="containsText" dxfId="3" priority="1713" operator="containsText" text="Youth">
      <formula>NOT(ISERROR(SEARCH(("Youth"),(D167))))</formula>
    </cfRule>
  </conditionalFormatting>
  <conditionalFormatting sqref="J167:J168 L167:L168">
    <cfRule type="containsBlanks" dxfId="8" priority="1714">
      <formula>LEN(TRIM(J167))=0</formula>
    </cfRule>
  </conditionalFormatting>
  <conditionalFormatting sqref="J167:J168 L167:L168">
    <cfRule type="containsBlanks" dxfId="10" priority="1715">
      <formula>LEN(TRIM(J167))=0</formula>
    </cfRule>
  </conditionalFormatting>
  <conditionalFormatting sqref="E166:E168">
    <cfRule type="containsText" dxfId="1" priority="1716" operator="containsText" text="Lapsed">
      <formula>NOT(ISERROR(SEARCH(("Lapsed"),(E166))))</formula>
    </cfRule>
  </conditionalFormatting>
  <conditionalFormatting sqref="E166:E168">
    <cfRule type="containsText" dxfId="2" priority="1717" operator="containsText" text="Active">
      <formula>NOT(ISERROR(SEARCH(("Active"),(E166))))</formula>
    </cfRule>
  </conditionalFormatting>
  <conditionalFormatting sqref="D166:D168">
    <cfRule type="containsText" dxfId="3" priority="1718" operator="containsText" text="Youth">
      <formula>NOT(ISERROR(SEARCH(("Youth"),(D166))))</formula>
    </cfRule>
  </conditionalFormatting>
  <conditionalFormatting sqref="L166:L167 J167:J168">
    <cfRule type="containsBlanks" dxfId="8" priority="1719">
      <formula>LEN(TRIM(L166))=0</formula>
    </cfRule>
  </conditionalFormatting>
  <conditionalFormatting sqref="L166:L167 J167:J168">
    <cfRule type="containsBlanks" dxfId="10" priority="1720">
      <formula>LEN(TRIM(L166))=0</formula>
    </cfRule>
  </conditionalFormatting>
  <conditionalFormatting sqref="A97">
    <cfRule type="expression" dxfId="0" priority="1721">
      <formula>isblank(L:L)</formula>
    </cfRule>
  </conditionalFormatting>
  <conditionalFormatting sqref="B95:B96">
    <cfRule type="expression" dxfId="0" priority="1722">
      <formula>isblank(L:L)</formula>
    </cfRule>
  </conditionalFormatting>
  <conditionalFormatting sqref="A95:A96">
    <cfRule type="expression" dxfId="0" priority="1723">
      <formula>isblank(L:L)</formula>
    </cfRule>
  </conditionalFormatting>
  <conditionalFormatting sqref="B93:B95">
    <cfRule type="expression" dxfId="0" priority="1724">
      <formula>isblank(L:L)</formula>
    </cfRule>
  </conditionalFormatting>
  <conditionalFormatting sqref="A93:A95">
    <cfRule type="expression" dxfId="0" priority="1725">
      <formula>isblank(L:L)</formula>
    </cfRule>
  </conditionalFormatting>
  <conditionalFormatting sqref="E165">
    <cfRule type="containsText" dxfId="1" priority="1726" operator="containsText" text="Lapsed">
      <formula>NOT(ISERROR(SEARCH(("Lapsed"),(E165))))</formula>
    </cfRule>
  </conditionalFormatting>
  <conditionalFormatting sqref="E165">
    <cfRule type="containsText" dxfId="2" priority="1727" operator="containsText" text="Active">
      <formula>NOT(ISERROR(SEARCH(("Active"),(E165))))</formula>
    </cfRule>
  </conditionalFormatting>
  <conditionalFormatting sqref="D165">
    <cfRule type="containsText" dxfId="3" priority="1728" operator="containsText" text="Youth">
      <formula>NOT(ISERROR(SEARCH(("Youth"),(D165))))</formula>
    </cfRule>
  </conditionalFormatting>
  <conditionalFormatting sqref="J165 L165">
    <cfRule type="containsBlanks" dxfId="8" priority="1729">
      <formula>LEN(TRIM(J165))=0</formula>
    </cfRule>
  </conditionalFormatting>
  <conditionalFormatting sqref="J165 L165">
    <cfRule type="containsBlanks" dxfId="10" priority="1730">
      <formula>LEN(TRIM(J165))=0</formula>
    </cfRule>
  </conditionalFormatting>
  <conditionalFormatting sqref="B1:B92">
    <cfRule type="expression" dxfId="0" priority="1731">
      <formula>isblank(L:L)</formula>
    </cfRule>
  </conditionalFormatting>
  <conditionalFormatting sqref="A1:A92">
    <cfRule type="expression" dxfId="0" priority="1732">
      <formula>isblank(L:L)</formula>
    </cfRule>
  </conditionalFormatting>
  <conditionalFormatting sqref="E213:E214">
    <cfRule type="containsText" dxfId="1" priority="1733" operator="containsText" text="Lapsed">
      <formula>NOT(ISERROR(SEARCH(("Lapsed"),(E213))))</formula>
    </cfRule>
  </conditionalFormatting>
  <conditionalFormatting sqref="E213:E214">
    <cfRule type="containsText" dxfId="2" priority="1734" operator="containsText" text="Active">
      <formula>NOT(ISERROR(SEARCH(("Active"),(E213))))</formula>
    </cfRule>
  </conditionalFormatting>
  <conditionalFormatting sqref="D213:D214">
    <cfRule type="containsText" dxfId="3" priority="1735" operator="containsText" text="Youth">
      <formula>NOT(ISERROR(SEARCH(("Youth"),(D213))))</formula>
    </cfRule>
  </conditionalFormatting>
  <conditionalFormatting sqref="J213:J214">
    <cfRule type="containsBlanks" dxfId="8" priority="1736">
      <formula>LEN(TRIM(J213))=0</formula>
    </cfRule>
  </conditionalFormatting>
  <conditionalFormatting sqref="J213:J214">
    <cfRule type="containsBlanks" dxfId="10" priority="1737">
      <formula>LEN(TRIM(J213))=0</formula>
    </cfRule>
  </conditionalFormatting>
  <conditionalFormatting sqref="E164">
    <cfRule type="containsText" dxfId="1" priority="1738" operator="containsText" text="Lapsed">
      <formula>NOT(ISERROR(SEARCH(("Lapsed"),(E164))))</formula>
    </cfRule>
  </conditionalFormatting>
  <conditionalFormatting sqref="E164">
    <cfRule type="containsText" dxfId="2" priority="1739" operator="containsText" text="Active">
      <formula>NOT(ISERROR(SEARCH(("Active"),(E164))))</formula>
    </cfRule>
  </conditionalFormatting>
  <conditionalFormatting sqref="D164">
    <cfRule type="containsText" dxfId="3" priority="1740" operator="containsText" text="Youth">
      <formula>NOT(ISERROR(SEARCH(("Youth"),(D164))))</formula>
    </cfRule>
  </conditionalFormatting>
  <conditionalFormatting sqref="J164 L164">
    <cfRule type="containsBlanks" dxfId="8" priority="1741">
      <formula>LEN(TRIM(J164))=0</formula>
    </cfRule>
  </conditionalFormatting>
  <conditionalFormatting sqref="J164 L164">
    <cfRule type="containsBlanks" dxfId="10" priority="1742">
      <formula>LEN(TRIM(J164))=0</formula>
    </cfRule>
  </conditionalFormatting>
  <conditionalFormatting sqref="J212">
    <cfRule type="containsBlanks" dxfId="8" priority="1743">
      <formula>LEN(TRIM(J212))=0</formula>
    </cfRule>
  </conditionalFormatting>
  <conditionalFormatting sqref="J212">
    <cfRule type="containsBlanks" dxfId="10" priority="1744">
      <formula>LEN(TRIM(J212))=0</formula>
    </cfRule>
  </conditionalFormatting>
  <conditionalFormatting sqref="B212">
    <cfRule type="expression" dxfId="0" priority="1745">
      <formula>isblank(J:J)</formula>
    </cfRule>
  </conditionalFormatting>
  <conditionalFormatting sqref="A212">
    <cfRule type="expression" dxfId="0" priority="1746">
      <formula>isblank(J:J)</formula>
    </cfRule>
  </conditionalFormatting>
  <conditionalFormatting sqref="E210:E211">
    <cfRule type="containsText" dxfId="1" priority="1747" operator="containsText" text="Lapsed">
      <formula>NOT(ISERROR(SEARCH(("Lapsed"),(E210))))</formula>
    </cfRule>
  </conditionalFormatting>
  <conditionalFormatting sqref="E210:E211">
    <cfRule type="containsText" dxfId="2" priority="1748" operator="containsText" text="Active">
      <formula>NOT(ISERROR(SEARCH(("Active"),(E210))))</formula>
    </cfRule>
  </conditionalFormatting>
  <conditionalFormatting sqref="D210:D211">
    <cfRule type="containsText" dxfId="3" priority="1749" operator="containsText" text="Youth">
      <formula>NOT(ISERROR(SEARCH(("Youth"),(D210))))</formula>
    </cfRule>
  </conditionalFormatting>
  <conditionalFormatting sqref="E163">
    <cfRule type="containsText" dxfId="1" priority="1750" operator="containsText" text="Lapsed">
      <formula>NOT(ISERROR(SEARCH(("Lapsed"),(E163))))</formula>
    </cfRule>
  </conditionalFormatting>
  <conditionalFormatting sqref="E163">
    <cfRule type="containsText" dxfId="2" priority="1751" operator="containsText" text="Active">
      <formula>NOT(ISERROR(SEARCH(("Active"),(E163))))</formula>
    </cfRule>
  </conditionalFormatting>
  <conditionalFormatting sqref="D163">
    <cfRule type="containsText" dxfId="3" priority="1752" operator="containsText" text="Youth">
      <formula>NOT(ISERROR(SEARCH(("Youth"),(D163))))</formula>
    </cfRule>
  </conditionalFormatting>
  <conditionalFormatting sqref="J163 L163">
    <cfRule type="containsBlanks" dxfId="8" priority="1753">
      <formula>LEN(TRIM(J163))=0</formula>
    </cfRule>
  </conditionalFormatting>
  <conditionalFormatting sqref="J163 L163">
    <cfRule type="containsBlanks" dxfId="10" priority="1754">
      <formula>LEN(TRIM(J163))=0</formula>
    </cfRule>
  </conditionalFormatting>
  <conditionalFormatting sqref="E209">
    <cfRule type="containsText" dxfId="2" priority="1755" operator="containsText" text="Active">
      <formula>NOT(ISERROR(SEARCH(("Active"),(E209))))</formula>
    </cfRule>
  </conditionalFormatting>
  <conditionalFormatting sqref="D209">
    <cfRule type="containsText" dxfId="3" priority="1756" operator="containsText" text="Youth">
      <formula>NOT(ISERROR(SEARCH(("Youth"),(D209))))</formula>
    </cfRule>
  </conditionalFormatting>
  <conditionalFormatting sqref="J209">
    <cfRule type="containsBlanks" dxfId="8" priority="1757">
      <formula>LEN(TRIM(J209))=0</formula>
    </cfRule>
  </conditionalFormatting>
  <conditionalFormatting sqref="J209">
    <cfRule type="containsBlanks" dxfId="10" priority="1758">
      <formula>LEN(TRIM(J209))=0</formula>
    </cfRule>
  </conditionalFormatting>
  <conditionalFormatting sqref="B209">
    <cfRule type="expression" dxfId="0" priority="1759">
      <formula>isblank(J:J)</formula>
    </cfRule>
  </conditionalFormatting>
  <conditionalFormatting sqref="A209">
    <cfRule type="expression" dxfId="0" priority="1760">
      <formula>isblank(J:J)</formula>
    </cfRule>
  </conditionalFormatting>
  <conditionalFormatting sqref="E208">
    <cfRule type="containsText" dxfId="1" priority="1761" operator="containsText" text="Lapsed">
      <formula>NOT(ISERROR(SEARCH(("Lapsed"),(E208))))</formula>
    </cfRule>
  </conditionalFormatting>
  <conditionalFormatting sqref="E162">
    <cfRule type="containsText" dxfId="1" priority="1762" operator="containsText" text="Lapsed">
      <formula>NOT(ISERROR(SEARCH(("Lapsed"),(E162))))</formula>
    </cfRule>
  </conditionalFormatting>
  <conditionalFormatting sqref="E162">
    <cfRule type="containsText" dxfId="2" priority="1763" operator="containsText" text="Active">
      <formula>NOT(ISERROR(SEARCH(("Active"),(E162))))</formula>
    </cfRule>
  </conditionalFormatting>
  <conditionalFormatting sqref="D162">
    <cfRule type="containsText" dxfId="3" priority="1764" operator="containsText" text="Youth">
      <formula>NOT(ISERROR(SEARCH(("Youth"),(D162))))</formula>
    </cfRule>
  </conditionalFormatting>
  <conditionalFormatting sqref="J162 L162">
    <cfRule type="containsBlanks" dxfId="8" priority="1765">
      <formula>LEN(TRIM(J162))=0</formula>
    </cfRule>
  </conditionalFormatting>
  <conditionalFormatting sqref="J162 L162">
    <cfRule type="containsBlanks" dxfId="10" priority="1766">
      <formula>LEN(TRIM(J162))=0</formula>
    </cfRule>
  </conditionalFormatting>
  <conditionalFormatting sqref="A208">
    <cfRule type="expression" dxfId="0" priority="1767">
      <formula>isblank(J:J)</formula>
    </cfRule>
  </conditionalFormatting>
  <conditionalFormatting sqref="E207">
    <cfRule type="containsText" dxfId="1" priority="1768" operator="containsText" text="Lapsed">
      <formula>NOT(ISERROR(SEARCH(("Lapsed"),(E207))))</formula>
    </cfRule>
  </conditionalFormatting>
  <conditionalFormatting sqref="E207">
    <cfRule type="containsText" dxfId="2" priority="1769" operator="containsText" text="Active">
      <formula>NOT(ISERROR(SEARCH(("Active"),(E207))))</formula>
    </cfRule>
  </conditionalFormatting>
  <conditionalFormatting sqref="D207">
    <cfRule type="containsText" dxfId="3" priority="1770" operator="containsText" text="Youth">
      <formula>NOT(ISERROR(SEARCH(("Youth"),(D207))))</formula>
    </cfRule>
  </conditionalFormatting>
  <conditionalFormatting sqref="J207">
    <cfRule type="containsBlanks" dxfId="8" priority="1771">
      <formula>LEN(TRIM(J207))=0</formula>
    </cfRule>
  </conditionalFormatting>
  <conditionalFormatting sqref="J207">
    <cfRule type="containsBlanks" dxfId="10" priority="1772">
      <formula>LEN(TRIM(J207))=0</formula>
    </cfRule>
  </conditionalFormatting>
  <conditionalFormatting sqref="B207">
    <cfRule type="expression" dxfId="0" priority="1773">
      <formula>isblank(J:J)</formula>
    </cfRule>
  </conditionalFormatting>
  <conditionalFormatting sqref="E161">
    <cfRule type="containsText" dxfId="1" priority="1774" operator="containsText" text="Lapsed">
      <formula>NOT(ISERROR(SEARCH(("Lapsed"),(E161))))</formula>
    </cfRule>
  </conditionalFormatting>
  <conditionalFormatting sqref="E161">
    <cfRule type="containsText" dxfId="2" priority="1775" operator="containsText" text="Active">
      <formula>NOT(ISERROR(SEARCH(("Active"),(E161))))</formula>
    </cfRule>
  </conditionalFormatting>
  <conditionalFormatting sqref="D161">
    <cfRule type="containsText" dxfId="3" priority="1776" operator="containsText" text="Youth">
      <formula>NOT(ISERROR(SEARCH(("Youth"),(D161))))</formula>
    </cfRule>
  </conditionalFormatting>
  <conditionalFormatting sqref="J161 L161">
    <cfRule type="containsBlanks" dxfId="8" priority="1777">
      <formula>LEN(TRIM(J161))=0</formula>
    </cfRule>
  </conditionalFormatting>
  <conditionalFormatting sqref="J161 L161">
    <cfRule type="containsBlanks" dxfId="10" priority="1778">
      <formula>LEN(TRIM(J161))=0</formula>
    </cfRule>
  </conditionalFormatting>
  <conditionalFormatting sqref="J206">
    <cfRule type="containsBlanks" dxfId="10" priority="1779">
      <formula>LEN(TRIM(J206))=0</formula>
    </cfRule>
  </conditionalFormatting>
  <conditionalFormatting sqref="B206">
    <cfRule type="expression" dxfId="0" priority="1780">
      <formula>isblank(J:J)</formula>
    </cfRule>
  </conditionalFormatting>
  <conditionalFormatting sqref="A206">
    <cfRule type="expression" dxfId="0" priority="1781">
      <formula>isblank(J:J)</formula>
    </cfRule>
  </conditionalFormatting>
  <conditionalFormatting sqref="E205">
    <cfRule type="containsText" dxfId="1" priority="1782" operator="containsText" text="Lapsed">
      <formula>NOT(ISERROR(SEARCH(("Lapsed"),(E205))))</formula>
    </cfRule>
  </conditionalFormatting>
  <conditionalFormatting sqref="E205">
    <cfRule type="containsText" dxfId="2" priority="1783" operator="containsText" text="Active">
      <formula>NOT(ISERROR(SEARCH(("Active"),(E205))))</formula>
    </cfRule>
  </conditionalFormatting>
  <conditionalFormatting sqref="D205">
    <cfRule type="containsText" dxfId="3" priority="1784" operator="containsText" text="Youth">
      <formula>NOT(ISERROR(SEARCH(("Youth"),(D205))))</formula>
    </cfRule>
  </conditionalFormatting>
  <conditionalFormatting sqref="J205">
    <cfRule type="containsBlanks" dxfId="8" priority="1785">
      <formula>LEN(TRIM(J205))=0</formula>
    </cfRule>
  </conditionalFormatting>
  <conditionalFormatting sqref="E160">
    <cfRule type="containsText" dxfId="1" priority="1786" operator="containsText" text="Lapsed">
      <formula>NOT(ISERROR(SEARCH(("Lapsed"),(E160))))</formula>
    </cfRule>
  </conditionalFormatting>
  <conditionalFormatting sqref="E160">
    <cfRule type="containsText" dxfId="2" priority="1787" operator="containsText" text="Active">
      <formula>NOT(ISERROR(SEARCH(("Active"),(E160))))</formula>
    </cfRule>
  </conditionalFormatting>
  <conditionalFormatting sqref="D160">
    <cfRule type="containsText" dxfId="3" priority="1788" operator="containsText" text="Youth">
      <formula>NOT(ISERROR(SEARCH(("Youth"),(D160))))</formula>
    </cfRule>
  </conditionalFormatting>
  <conditionalFormatting sqref="J160 L160">
    <cfRule type="containsBlanks" dxfId="8" priority="1789">
      <formula>LEN(TRIM(J160))=0</formula>
    </cfRule>
  </conditionalFormatting>
  <conditionalFormatting sqref="J160 L160">
    <cfRule type="containsBlanks" dxfId="10" priority="1790">
      <formula>LEN(TRIM(J160))=0</formula>
    </cfRule>
  </conditionalFormatting>
  <conditionalFormatting sqref="D204">
    <cfRule type="containsText" dxfId="3" priority="1791" operator="containsText" text="Youth">
      <formula>NOT(ISERROR(SEARCH(("Youth"),(D204))))</formula>
    </cfRule>
  </conditionalFormatting>
  <conditionalFormatting sqref="J204">
    <cfRule type="containsBlanks" dxfId="8" priority="1792">
      <formula>LEN(TRIM(J204))=0</formula>
    </cfRule>
  </conditionalFormatting>
  <conditionalFormatting sqref="J204">
    <cfRule type="containsBlanks" dxfId="10" priority="1793">
      <formula>LEN(TRIM(J204))=0</formula>
    </cfRule>
  </conditionalFormatting>
  <conditionalFormatting sqref="B204">
    <cfRule type="expression" dxfId="0" priority="1794">
      <formula>isblank(J:J)</formula>
    </cfRule>
  </conditionalFormatting>
  <conditionalFormatting sqref="A204">
    <cfRule type="expression" dxfId="0" priority="1795">
      <formula>isblank(J:J)</formula>
    </cfRule>
  </conditionalFormatting>
  <conditionalFormatting sqref="E203">
    <cfRule type="containsText" dxfId="1" priority="1796" operator="containsText" text="Lapsed">
      <formula>NOT(ISERROR(SEARCH(("Lapsed"),(E203))))</formula>
    </cfRule>
  </conditionalFormatting>
  <conditionalFormatting sqref="E203">
    <cfRule type="containsText" dxfId="2" priority="1797" operator="containsText" text="Active">
      <formula>NOT(ISERROR(SEARCH(("Active"),(E203))))</formula>
    </cfRule>
  </conditionalFormatting>
  <conditionalFormatting sqref="E159">
    <cfRule type="containsText" dxfId="1" priority="1798" operator="containsText" text="Lapsed">
      <formula>NOT(ISERROR(SEARCH(("Lapsed"),(E159))))</formula>
    </cfRule>
  </conditionalFormatting>
  <conditionalFormatting sqref="E159">
    <cfRule type="containsText" dxfId="2" priority="1799" operator="containsText" text="Active">
      <formula>NOT(ISERROR(SEARCH(("Active"),(E159))))</formula>
    </cfRule>
  </conditionalFormatting>
  <conditionalFormatting sqref="D159">
    <cfRule type="containsText" dxfId="3" priority="1800" operator="containsText" text="Youth">
      <formula>NOT(ISERROR(SEARCH(("Youth"),(D159))))</formula>
    </cfRule>
  </conditionalFormatting>
  <conditionalFormatting sqref="J159 L159">
    <cfRule type="containsBlanks" dxfId="8" priority="1801">
      <formula>LEN(TRIM(J159))=0</formula>
    </cfRule>
  </conditionalFormatting>
  <conditionalFormatting sqref="J159 L159">
    <cfRule type="containsBlanks" dxfId="10" priority="1802">
      <formula>LEN(TRIM(J159))=0</formula>
    </cfRule>
  </conditionalFormatting>
  <conditionalFormatting sqref="E202">
    <cfRule type="containsText" dxfId="1" priority="1803" operator="containsText" text="Lapsed">
      <formula>NOT(ISERROR(SEARCH(("Lapsed"),(E202))))</formula>
    </cfRule>
  </conditionalFormatting>
  <conditionalFormatting sqref="E202">
    <cfRule type="containsText" dxfId="2" priority="1804" operator="containsText" text="Active">
      <formula>NOT(ISERROR(SEARCH(("Active"),(E202))))</formula>
    </cfRule>
  </conditionalFormatting>
  <conditionalFormatting sqref="D202">
    <cfRule type="containsText" dxfId="3" priority="1805" operator="containsText" text="Youth">
      <formula>NOT(ISERROR(SEARCH(("Youth"),(D202))))</formula>
    </cfRule>
  </conditionalFormatting>
  <conditionalFormatting sqref="J202">
    <cfRule type="containsBlanks" dxfId="8" priority="1806">
      <formula>LEN(TRIM(J202))=0</formula>
    </cfRule>
  </conditionalFormatting>
  <conditionalFormatting sqref="J202">
    <cfRule type="containsBlanks" dxfId="10" priority="1807">
      <formula>LEN(TRIM(J202))=0</formula>
    </cfRule>
  </conditionalFormatting>
  <conditionalFormatting sqref="B202">
    <cfRule type="expression" dxfId="0" priority="1808">
      <formula>isblank(J:J)</formula>
    </cfRule>
  </conditionalFormatting>
  <conditionalFormatting sqref="A202">
    <cfRule type="expression" dxfId="0" priority="1809">
      <formula>isblank(J:J)</formula>
    </cfRule>
  </conditionalFormatting>
  <conditionalFormatting sqref="E158">
    <cfRule type="containsText" dxfId="1" priority="1810" operator="containsText" text="Lapsed">
      <formula>NOT(ISERROR(SEARCH(("Lapsed"),(E158))))</formula>
    </cfRule>
  </conditionalFormatting>
  <conditionalFormatting sqref="E158">
    <cfRule type="containsText" dxfId="2" priority="1811" operator="containsText" text="Active">
      <formula>NOT(ISERROR(SEARCH(("Active"),(E158))))</formula>
    </cfRule>
  </conditionalFormatting>
  <conditionalFormatting sqref="D158">
    <cfRule type="containsText" dxfId="3" priority="1812" operator="containsText" text="Youth">
      <formula>NOT(ISERROR(SEARCH(("Youth"),(D158))))</formula>
    </cfRule>
  </conditionalFormatting>
  <conditionalFormatting sqref="J158 L158">
    <cfRule type="containsBlanks" dxfId="8" priority="1813">
      <formula>LEN(TRIM(J158))=0</formula>
    </cfRule>
  </conditionalFormatting>
  <conditionalFormatting sqref="J158 L158">
    <cfRule type="containsBlanks" dxfId="10" priority="1814">
      <formula>LEN(TRIM(J158))=0</formula>
    </cfRule>
  </conditionalFormatting>
  <conditionalFormatting sqref="B201">
    <cfRule type="expression" dxfId="0" priority="1815">
      <formula>isblank(J:J)</formula>
    </cfRule>
  </conditionalFormatting>
  <conditionalFormatting sqref="A201">
    <cfRule type="expression" dxfId="0" priority="1816">
      <formula>isblank(J:J)</formula>
    </cfRule>
  </conditionalFormatting>
  <conditionalFormatting sqref="E200">
    <cfRule type="containsText" dxfId="1" priority="1817" operator="containsText" text="Lapsed">
      <formula>NOT(ISERROR(SEARCH(("Lapsed"),(E200))))</formula>
    </cfRule>
  </conditionalFormatting>
  <conditionalFormatting sqref="E200">
    <cfRule type="containsText" dxfId="2" priority="1818" operator="containsText" text="Active">
      <formula>NOT(ISERROR(SEARCH(("Active"),(E200))))</formula>
    </cfRule>
  </conditionalFormatting>
  <conditionalFormatting sqref="D200">
    <cfRule type="containsText" dxfId="3" priority="1819" operator="containsText" text="Youth">
      <formula>NOT(ISERROR(SEARCH(("Youth"),(D200))))</formula>
    </cfRule>
  </conditionalFormatting>
  <conditionalFormatting sqref="J200">
    <cfRule type="containsBlanks" dxfId="8" priority="1820">
      <formula>LEN(TRIM(J200))=0</formula>
    </cfRule>
  </conditionalFormatting>
  <conditionalFormatting sqref="J200">
    <cfRule type="containsBlanks" dxfId="10" priority="1821">
      <formula>LEN(TRIM(J200))=0</formula>
    </cfRule>
  </conditionalFormatting>
  <conditionalFormatting sqref="E157">
    <cfRule type="containsText" dxfId="1" priority="1822" operator="containsText" text="Lapsed">
      <formula>NOT(ISERROR(SEARCH(("Lapsed"),(E157))))</formula>
    </cfRule>
  </conditionalFormatting>
  <conditionalFormatting sqref="E157">
    <cfRule type="containsText" dxfId="2" priority="1823" operator="containsText" text="Active">
      <formula>NOT(ISERROR(SEARCH(("Active"),(E157))))</formula>
    </cfRule>
  </conditionalFormatting>
  <conditionalFormatting sqref="D157">
    <cfRule type="containsText" dxfId="3" priority="1824" operator="containsText" text="Youth">
      <formula>NOT(ISERROR(SEARCH(("Youth"),(D157))))</formula>
    </cfRule>
  </conditionalFormatting>
  <conditionalFormatting sqref="J157 L157">
    <cfRule type="containsBlanks" dxfId="8" priority="1825">
      <formula>LEN(TRIM(J157))=0</formula>
    </cfRule>
  </conditionalFormatting>
  <conditionalFormatting sqref="J157 L157">
    <cfRule type="containsBlanks" dxfId="10" priority="1826">
      <formula>LEN(TRIM(J157))=0</formula>
    </cfRule>
  </conditionalFormatting>
  <conditionalFormatting sqref="J198:J199">
    <cfRule type="containsBlanks" dxfId="8" priority="1827">
      <formula>LEN(TRIM(J198))=0</formula>
    </cfRule>
  </conditionalFormatting>
  <conditionalFormatting sqref="J198:J199">
    <cfRule type="containsBlanks" dxfId="10" priority="1828">
      <formula>LEN(TRIM(J198))=0</formula>
    </cfRule>
  </conditionalFormatting>
  <conditionalFormatting sqref="B198:B199">
    <cfRule type="expression" dxfId="0" priority="1829">
      <formula>isblank(J:J)</formula>
    </cfRule>
  </conditionalFormatting>
  <conditionalFormatting sqref="A198:A199">
    <cfRule type="expression" dxfId="0" priority="1830">
      <formula>isblank(J:J)</formula>
    </cfRule>
  </conditionalFormatting>
  <conditionalFormatting sqref="E197">
    <cfRule type="containsText" dxfId="1" priority="1831" operator="containsText" text="Lapsed">
      <formula>NOT(ISERROR(SEARCH(("Lapsed"),(E197))))</formula>
    </cfRule>
  </conditionalFormatting>
  <conditionalFormatting sqref="E197">
    <cfRule type="containsText" dxfId="2" priority="1832" operator="containsText" text="Active">
      <formula>NOT(ISERROR(SEARCH(("Active"),(E197))))</formula>
    </cfRule>
  </conditionalFormatting>
  <conditionalFormatting sqref="D197">
    <cfRule type="containsText" dxfId="3" priority="1833" operator="containsText" text="Youth">
      <formula>NOT(ISERROR(SEARCH(("Youth"),(D197))))</formula>
    </cfRule>
  </conditionalFormatting>
  <conditionalFormatting sqref="E155:E156">
    <cfRule type="containsText" dxfId="1" priority="1834" operator="containsText" text="Lapsed">
      <formula>NOT(ISERROR(SEARCH(("Lapsed"),(E155))))</formula>
    </cfRule>
  </conditionalFormatting>
  <conditionalFormatting sqref="E155:E156">
    <cfRule type="containsText" dxfId="2" priority="1835" operator="containsText" text="Active">
      <formula>NOT(ISERROR(SEARCH(("Active"),(E155))))</formula>
    </cfRule>
  </conditionalFormatting>
  <conditionalFormatting sqref="D155:D156">
    <cfRule type="containsText" dxfId="3" priority="1836" operator="containsText" text="Youth">
      <formula>NOT(ISERROR(SEARCH(("Youth"),(D155))))</formula>
    </cfRule>
  </conditionalFormatting>
  <conditionalFormatting sqref="J155:J156 L155:L156">
    <cfRule type="containsBlanks" dxfId="8" priority="1837">
      <formula>LEN(TRIM(J155))=0</formula>
    </cfRule>
  </conditionalFormatting>
  <conditionalFormatting sqref="J155:J156 L155:L156">
    <cfRule type="containsBlanks" dxfId="10" priority="1838">
      <formula>LEN(TRIM(J155))=0</formula>
    </cfRule>
  </conditionalFormatting>
  <conditionalFormatting sqref="E154:E156">
    <cfRule type="containsText" dxfId="1" priority="1839" operator="containsText" text="Lapsed">
      <formula>NOT(ISERROR(SEARCH(("Lapsed"),(E154))))</formula>
    </cfRule>
  </conditionalFormatting>
  <conditionalFormatting sqref="E154:E156">
    <cfRule type="containsText" dxfId="2" priority="1840" operator="containsText" text="Active">
      <formula>NOT(ISERROR(SEARCH(("Active"),(E154))))</formula>
    </cfRule>
  </conditionalFormatting>
  <conditionalFormatting sqref="D154:D156">
    <cfRule type="containsText" dxfId="3" priority="1841" operator="containsText" text="Youth">
      <formula>NOT(ISERROR(SEARCH(("Youth"),(D154))))</formula>
    </cfRule>
  </conditionalFormatting>
  <conditionalFormatting sqref="L154:L155 J155:J156">
    <cfRule type="containsBlanks" dxfId="8" priority="1842">
      <formula>LEN(TRIM(L154))=0</formula>
    </cfRule>
  </conditionalFormatting>
  <conditionalFormatting sqref="L154:L155 J155:J156">
    <cfRule type="containsBlanks" dxfId="10" priority="1843">
      <formula>LEN(TRIM(L154))=0</formula>
    </cfRule>
  </conditionalFormatting>
  <conditionalFormatting sqref="A195:A196">
    <cfRule type="expression" dxfId="0" priority="1844">
      <formula>isblank(J:J)</formula>
    </cfRule>
  </conditionalFormatting>
  <conditionalFormatting sqref="E194">
    <cfRule type="containsText" dxfId="1" priority="1845" operator="containsText" text="Lapsed">
      <formula>NOT(ISERROR(SEARCH(("Lapsed"),(E194))))</formula>
    </cfRule>
  </conditionalFormatting>
  <conditionalFormatting sqref="E194">
    <cfRule type="containsText" dxfId="2" priority="1846" operator="containsText" text="Active">
      <formula>NOT(ISERROR(SEARCH(("Active"),(E194))))</formula>
    </cfRule>
  </conditionalFormatting>
  <conditionalFormatting sqref="D194">
    <cfRule type="containsText" dxfId="3" priority="1847" operator="containsText" text="Youth">
      <formula>NOT(ISERROR(SEARCH(("Youth"),(D194))))</formula>
    </cfRule>
  </conditionalFormatting>
  <conditionalFormatting sqref="J194">
    <cfRule type="containsBlanks" dxfId="8" priority="1848">
      <formula>LEN(TRIM(J194))=0</formula>
    </cfRule>
  </conditionalFormatting>
  <conditionalFormatting sqref="J194">
    <cfRule type="containsBlanks" dxfId="10" priority="1849">
      <formula>LEN(TRIM(J194))=0</formula>
    </cfRule>
  </conditionalFormatting>
  <conditionalFormatting sqref="B194">
    <cfRule type="expression" dxfId="0" priority="1850">
      <formula>isblank(J:J)</formula>
    </cfRule>
  </conditionalFormatting>
  <conditionalFormatting sqref="A194">
    <cfRule type="expression" dxfId="0" priority="1851">
      <formula>isblank(J:J)</formula>
    </cfRule>
  </conditionalFormatting>
  <conditionalFormatting sqref="E192:E193">
    <cfRule type="containsText" dxfId="1" priority="1852" operator="containsText" text="Lapsed">
      <formula>NOT(ISERROR(SEARCH(("Lapsed"),(E192))))</formula>
    </cfRule>
  </conditionalFormatting>
  <conditionalFormatting sqref="E192:E193">
    <cfRule type="containsText" dxfId="2" priority="1853" operator="containsText" text="Active">
      <formula>NOT(ISERROR(SEARCH(("Active"),(E192))))</formula>
    </cfRule>
  </conditionalFormatting>
  <conditionalFormatting sqref="D192:D193">
    <cfRule type="containsText" dxfId="3" priority="1854" operator="containsText" text="Youth">
      <formula>NOT(ISERROR(SEARCH(("Youth"),(D192))))</formula>
    </cfRule>
  </conditionalFormatting>
  <conditionalFormatting sqref="J192:J193">
    <cfRule type="containsBlanks" dxfId="8" priority="1855">
      <formula>LEN(TRIM(J192))=0</formula>
    </cfRule>
  </conditionalFormatting>
  <conditionalFormatting sqref="J192:J193">
    <cfRule type="containsBlanks" dxfId="10" priority="1856">
      <formula>LEN(TRIM(J192))=0</formula>
    </cfRule>
  </conditionalFormatting>
  <conditionalFormatting sqref="B192:B193">
    <cfRule type="expression" dxfId="0" priority="1857">
      <formula>isblank(J:J)</formula>
    </cfRule>
  </conditionalFormatting>
  <conditionalFormatting sqref="E153">
    <cfRule type="containsText" dxfId="1" priority="1858" operator="containsText" text="Lapsed">
      <formula>NOT(ISERROR(SEARCH(("Lapsed"),(E153))))</formula>
    </cfRule>
  </conditionalFormatting>
  <conditionalFormatting sqref="E153">
    <cfRule type="containsText" dxfId="2" priority="1859" operator="containsText" text="Active">
      <formula>NOT(ISERROR(SEARCH(("Active"),(E153))))</formula>
    </cfRule>
  </conditionalFormatting>
  <conditionalFormatting sqref="D153">
    <cfRule type="containsText" dxfId="3" priority="1860" operator="containsText" text="Youth">
      <formula>NOT(ISERROR(SEARCH(("Youth"),(D153))))</formula>
    </cfRule>
  </conditionalFormatting>
  <conditionalFormatting sqref="J153 L153">
    <cfRule type="containsBlanks" dxfId="8" priority="1861">
      <formula>LEN(TRIM(J153))=0</formula>
    </cfRule>
  </conditionalFormatting>
  <conditionalFormatting sqref="J153 L153">
    <cfRule type="containsBlanks" dxfId="10" priority="1862">
      <formula>LEN(TRIM(J153))=0</formula>
    </cfRule>
  </conditionalFormatting>
  <conditionalFormatting sqref="J191">
    <cfRule type="containsBlanks" dxfId="10" priority="1863">
      <formula>LEN(TRIM(J191))=0</formula>
    </cfRule>
  </conditionalFormatting>
  <conditionalFormatting sqref="B191">
    <cfRule type="expression" dxfId="0" priority="1864">
      <formula>isblank(J:J)</formula>
    </cfRule>
  </conditionalFormatting>
  <conditionalFormatting sqref="A191">
    <cfRule type="expression" dxfId="0" priority="1865">
      <formula>isblank(J:J)</formula>
    </cfRule>
  </conditionalFormatting>
  <conditionalFormatting sqref="E190">
    <cfRule type="containsText" dxfId="1" priority="1866" operator="containsText" text="Lapsed">
      <formula>NOT(ISERROR(SEARCH(("Lapsed"),(E190))))</formula>
    </cfRule>
  </conditionalFormatting>
  <conditionalFormatting sqref="E190">
    <cfRule type="containsText" dxfId="2" priority="1867" operator="containsText" text="Active">
      <formula>NOT(ISERROR(SEARCH(("Active"),(E190))))</formula>
    </cfRule>
  </conditionalFormatting>
  <conditionalFormatting sqref="D190">
    <cfRule type="containsText" dxfId="3" priority="1868" operator="containsText" text="Youth">
      <formula>NOT(ISERROR(SEARCH(("Youth"),(D190))))</formula>
    </cfRule>
  </conditionalFormatting>
  <conditionalFormatting sqref="J190">
    <cfRule type="containsBlanks" dxfId="8" priority="1869">
      <formula>LEN(TRIM(J190))=0</formula>
    </cfRule>
  </conditionalFormatting>
  <conditionalFormatting sqref="E152">
    <cfRule type="containsText" dxfId="1" priority="1870" operator="containsText" text="Lapsed">
      <formula>NOT(ISERROR(SEARCH(("Lapsed"),(E152))))</formula>
    </cfRule>
  </conditionalFormatting>
  <conditionalFormatting sqref="E152">
    <cfRule type="containsText" dxfId="2" priority="1871" operator="containsText" text="Active">
      <formula>NOT(ISERROR(SEARCH(("Active"),(E152))))</formula>
    </cfRule>
  </conditionalFormatting>
  <conditionalFormatting sqref="D152">
    <cfRule type="containsText" dxfId="3" priority="1872" operator="containsText" text="Youth">
      <formula>NOT(ISERROR(SEARCH(("Youth"),(D152))))</formula>
    </cfRule>
  </conditionalFormatting>
  <conditionalFormatting sqref="J152 L152">
    <cfRule type="containsBlanks" dxfId="8" priority="1873">
      <formula>LEN(TRIM(J152))=0</formula>
    </cfRule>
  </conditionalFormatting>
  <conditionalFormatting sqref="J152 L152">
    <cfRule type="containsBlanks" dxfId="10" priority="1874">
      <formula>LEN(TRIM(J152))=0</formula>
    </cfRule>
  </conditionalFormatting>
  <conditionalFormatting sqref="D188:D189">
    <cfRule type="containsText" dxfId="3" priority="1875" operator="containsText" text="Youth">
      <formula>NOT(ISERROR(SEARCH(("Youth"),(D188))))</formula>
    </cfRule>
  </conditionalFormatting>
  <conditionalFormatting sqref="J188:J189">
    <cfRule type="containsBlanks" dxfId="8" priority="1876">
      <formula>LEN(TRIM(J188))=0</formula>
    </cfRule>
  </conditionalFormatting>
  <conditionalFormatting sqref="J188:J189">
    <cfRule type="containsBlanks" dxfId="10" priority="1877">
      <formula>LEN(TRIM(J188))=0</formula>
    </cfRule>
  </conditionalFormatting>
  <conditionalFormatting sqref="B188:B189">
    <cfRule type="expression" dxfId="0" priority="1878">
      <formula>isblank(J:J)</formula>
    </cfRule>
  </conditionalFormatting>
  <conditionalFormatting sqref="A188:A189">
    <cfRule type="expression" dxfId="0" priority="1879">
      <formula>isblank(J:J)</formula>
    </cfRule>
  </conditionalFormatting>
  <conditionalFormatting sqref="E187">
    <cfRule type="containsText" dxfId="1" priority="1880" operator="containsText" text="Lapsed">
      <formula>NOT(ISERROR(SEARCH(("Lapsed"),(E187))))</formula>
    </cfRule>
  </conditionalFormatting>
  <conditionalFormatting sqref="E187">
    <cfRule type="containsText" dxfId="2" priority="1881" operator="containsText" text="Active">
      <formula>NOT(ISERROR(SEARCH(("Active"),(E187))))</formula>
    </cfRule>
  </conditionalFormatting>
  <conditionalFormatting sqref="E151">
    <cfRule type="containsText" dxfId="1" priority="1882" operator="containsText" text="Lapsed">
      <formula>NOT(ISERROR(SEARCH(("Lapsed"),(E151))))</formula>
    </cfRule>
  </conditionalFormatting>
  <conditionalFormatting sqref="E151">
    <cfRule type="containsText" dxfId="2" priority="1883" operator="containsText" text="Active">
      <formula>NOT(ISERROR(SEARCH(("Active"),(E151))))</formula>
    </cfRule>
  </conditionalFormatting>
  <conditionalFormatting sqref="D151">
    <cfRule type="containsText" dxfId="3" priority="1884" operator="containsText" text="Youth">
      <formula>NOT(ISERROR(SEARCH(("Youth"),(D151))))</formula>
    </cfRule>
  </conditionalFormatting>
  <conditionalFormatting sqref="J151 L151">
    <cfRule type="containsBlanks" dxfId="8" priority="1885">
      <formula>LEN(TRIM(J151))=0</formula>
    </cfRule>
  </conditionalFormatting>
  <conditionalFormatting sqref="J151 L151">
    <cfRule type="containsBlanks" dxfId="10" priority="1886">
      <formula>LEN(TRIM(J151))=0</formula>
    </cfRule>
  </conditionalFormatting>
  <conditionalFormatting sqref="E186">
    <cfRule type="containsText" dxfId="1" priority="1887" operator="containsText" text="Lapsed">
      <formula>NOT(ISERROR(SEARCH(("Lapsed"),(E186))))</formula>
    </cfRule>
  </conditionalFormatting>
  <conditionalFormatting sqref="E186">
    <cfRule type="containsText" dxfId="2" priority="1888" operator="containsText" text="Active">
      <formula>NOT(ISERROR(SEARCH(("Active"),(E186))))</formula>
    </cfRule>
  </conditionalFormatting>
  <conditionalFormatting sqref="D186">
    <cfRule type="containsText" dxfId="3" priority="1889" operator="containsText" text="Youth">
      <formula>NOT(ISERROR(SEARCH(("Youth"),(D186))))</formula>
    </cfRule>
  </conditionalFormatting>
  <conditionalFormatting sqref="J186">
    <cfRule type="containsBlanks" dxfId="8" priority="1890">
      <formula>LEN(TRIM(J186))=0</formula>
    </cfRule>
  </conditionalFormatting>
  <conditionalFormatting sqref="J186">
    <cfRule type="containsBlanks" dxfId="10" priority="1891">
      <formula>LEN(TRIM(J186))=0</formula>
    </cfRule>
  </conditionalFormatting>
  <conditionalFormatting sqref="B186">
    <cfRule type="expression" dxfId="0" priority="1892">
      <formula>isblank(J:J)</formula>
    </cfRule>
  </conditionalFormatting>
  <conditionalFormatting sqref="A186">
    <cfRule type="expression" dxfId="0" priority="1893">
      <formula>isblank(J:J)</formula>
    </cfRule>
  </conditionalFormatting>
  <conditionalFormatting sqref="E150">
    <cfRule type="containsText" dxfId="1" priority="1894" operator="containsText" text="Lapsed">
      <formula>NOT(ISERROR(SEARCH(("Lapsed"),(E150))))</formula>
    </cfRule>
  </conditionalFormatting>
  <conditionalFormatting sqref="E150">
    <cfRule type="containsText" dxfId="2" priority="1895" operator="containsText" text="Active">
      <formula>NOT(ISERROR(SEARCH(("Active"),(E150))))</formula>
    </cfRule>
  </conditionalFormatting>
  <conditionalFormatting sqref="D150">
    <cfRule type="containsText" dxfId="3" priority="1896" operator="containsText" text="Youth">
      <formula>NOT(ISERROR(SEARCH(("Youth"),(D150))))</formula>
    </cfRule>
  </conditionalFormatting>
  <conditionalFormatting sqref="J150 L150">
    <cfRule type="containsBlanks" dxfId="8" priority="1897">
      <formula>LEN(TRIM(J150))=0</formula>
    </cfRule>
  </conditionalFormatting>
  <conditionalFormatting sqref="J150 L150">
    <cfRule type="containsBlanks" dxfId="10" priority="1898">
      <formula>LEN(TRIM(J150))=0</formula>
    </cfRule>
  </conditionalFormatting>
  <conditionalFormatting sqref="B185">
    <cfRule type="expression" dxfId="0" priority="1899">
      <formula>isblank(J:J)</formula>
    </cfRule>
  </conditionalFormatting>
  <conditionalFormatting sqref="A185">
    <cfRule type="expression" dxfId="0" priority="1900">
      <formula>isblank(J:J)</formula>
    </cfRule>
  </conditionalFormatting>
  <conditionalFormatting sqref="E183:E184">
    <cfRule type="containsText" dxfId="1" priority="1901" operator="containsText" text="Lapsed">
      <formula>NOT(ISERROR(SEARCH(("Lapsed"),(E183))))</formula>
    </cfRule>
  </conditionalFormatting>
  <conditionalFormatting sqref="E183:E184">
    <cfRule type="containsText" dxfId="2" priority="1902" operator="containsText" text="Active">
      <formula>NOT(ISERROR(SEARCH(("Active"),(E183))))</formula>
    </cfRule>
  </conditionalFormatting>
  <conditionalFormatting sqref="D183:D184">
    <cfRule type="containsText" dxfId="3" priority="1903" operator="containsText" text="Youth">
      <formula>NOT(ISERROR(SEARCH(("Youth"),(D183))))</formula>
    </cfRule>
  </conditionalFormatting>
  <conditionalFormatting sqref="J183:J184">
    <cfRule type="containsBlanks" dxfId="8" priority="1904">
      <formula>LEN(TRIM(J183))=0</formula>
    </cfRule>
  </conditionalFormatting>
  <conditionalFormatting sqref="J183:J184">
    <cfRule type="containsBlanks" dxfId="10" priority="1905">
      <formula>LEN(TRIM(J183))=0</formula>
    </cfRule>
  </conditionalFormatting>
  <conditionalFormatting sqref="E149">
    <cfRule type="containsText" dxfId="1" priority="1906" operator="containsText" text="Lapsed">
      <formula>NOT(ISERROR(SEARCH(("Lapsed"),(E149))))</formula>
    </cfRule>
  </conditionalFormatting>
  <conditionalFormatting sqref="E149">
    <cfRule type="containsText" dxfId="2" priority="1907" operator="containsText" text="Active">
      <formula>NOT(ISERROR(SEARCH(("Active"),(E149))))</formula>
    </cfRule>
  </conditionalFormatting>
  <conditionalFormatting sqref="D149">
    <cfRule type="containsText" dxfId="3" priority="1908" operator="containsText" text="Youth">
      <formula>NOT(ISERROR(SEARCH(("Youth"),(D149))))</formula>
    </cfRule>
  </conditionalFormatting>
  <conditionalFormatting sqref="J149 L149">
    <cfRule type="containsBlanks" dxfId="8" priority="1909">
      <formula>LEN(TRIM(J149))=0</formula>
    </cfRule>
  </conditionalFormatting>
  <conditionalFormatting sqref="J149 L149">
    <cfRule type="containsBlanks" dxfId="10" priority="1910">
      <formula>LEN(TRIM(J149))=0</formula>
    </cfRule>
  </conditionalFormatting>
  <conditionalFormatting sqref="J181:J182">
    <cfRule type="containsBlanks" dxfId="8" priority="1911">
      <formula>LEN(TRIM(J181))=0</formula>
    </cfRule>
  </conditionalFormatting>
  <conditionalFormatting sqref="J181:J182">
    <cfRule type="containsBlanks" dxfId="10" priority="1912">
      <formula>LEN(TRIM(J181))=0</formula>
    </cfRule>
  </conditionalFormatting>
  <conditionalFormatting sqref="B181:B182">
    <cfRule type="expression" dxfId="0" priority="1913">
      <formula>isblank(J:J)</formula>
    </cfRule>
  </conditionalFormatting>
  <conditionalFormatting sqref="A181:A182">
    <cfRule type="expression" dxfId="0" priority="1914">
      <formula>isblank(J:J)</formula>
    </cfRule>
  </conditionalFormatting>
  <conditionalFormatting sqref="E180">
    <cfRule type="containsText" dxfId="1" priority="1915" operator="containsText" text="Lapsed">
      <formula>NOT(ISERROR(SEARCH(("Lapsed"),(E180))))</formula>
    </cfRule>
  </conditionalFormatting>
  <conditionalFormatting sqref="E180">
    <cfRule type="containsText" dxfId="2" priority="1916" operator="containsText" text="Active">
      <formula>NOT(ISERROR(SEARCH(("Active"),(E180))))</formula>
    </cfRule>
  </conditionalFormatting>
  <conditionalFormatting sqref="D180">
    <cfRule type="containsText" dxfId="3" priority="1917" operator="containsText" text="Youth">
      <formula>NOT(ISERROR(SEARCH(("Youth"),(D180))))</formula>
    </cfRule>
  </conditionalFormatting>
  <conditionalFormatting sqref="E148">
    <cfRule type="containsText" dxfId="1" priority="1918" operator="containsText" text="Lapsed">
      <formula>NOT(ISERROR(SEARCH(("Lapsed"),(E148))))</formula>
    </cfRule>
  </conditionalFormatting>
  <conditionalFormatting sqref="E148">
    <cfRule type="containsText" dxfId="2" priority="1919" operator="containsText" text="Active">
      <formula>NOT(ISERROR(SEARCH(("Active"),(E148))))</formula>
    </cfRule>
  </conditionalFormatting>
  <conditionalFormatting sqref="D148">
    <cfRule type="containsText" dxfId="3" priority="1920" operator="containsText" text="Youth">
      <formula>NOT(ISERROR(SEARCH(("Youth"),(D148))))</formula>
    </cfRule>
  </conditionalFormatting>
  <conditionalFormatting sqref="J148 L148">
    <cfRule type="containsBlanks" dxfId="8" priority="1921">
      <formula>LEN(TRIM(J148))=0</formula>
    </cfRule>
  </conditionalFormatting>
  <conditionalFormatting sqref="J148 L148">
    <cfRule type="containsBlanks" dxfId="10" priority="1922">
      <formula>LEN(TRIM(J148))=0</formula>
    </cfRule>
  </conditionalFormatting>
  <conditionalFormatting sqref="E179">
    <cfRule type="containsText" dxfId="2" priority="1923" operator="containsText" text="Active">
      <formula>NOT(ISERROR(SEARCH(("Active"),(E179))))</formula>
    </cfRule>
  </conditionalFormatting>
  <conditionalFormatting sqref="D179">
    <cfRule type="containsText" dxfId="3" priority="1924" operator="containsText" text="Youth">
      <formula>NOT(ISERROR(SEARCH(("Youth"),(D179))))</formula>
    </cfRule>
  </conditionalFormatting>
  <conditionalFormatting sqref="J179">
    <cfRule type="containsBlanks" dxfId="8" priority="1925">
      <formula>LEN(TRIM(J179))=0</formula>
    </cfRule>
  </conditionalFormatting>
  <conditionalFormatting sqref="J179">
    <cfRule type="containsBlanks" dxfId="10" priority="1926">
      <formula>LEN(TRIM(J179))=0</formula>
    </cfRule>
  </conditionalFormatting>
  <conditionalFormatting sqref="B179">
    <cfRule type="expression" dxfId="0" priority="1927">
      <formula>isblank(J:J)</formula>
    </cfRule>
  </conditionalFormatting>
  <conditionalFormatting sqref="A179">
    <cfRule type="expression" dxfId="0" priority="1928">
      <formula>isblank(J:J)</formula>
    </cfRule>
  </conditionalFormatting>
  <conditionalFormatting sqref="E178">
    <cfRule type="containsText" dxfId="1" priority="1929" operator="containsText" text="Lapsed">
      <formula>NOT(ISERROR(SEARCH(("Lapsed"),(E178))))</formula>
    </cfRule>
  </conditionalFormatting>
  <conditionalFormatting sqref="E145:E147">
    <cfRule type="containsText" dxfId="1" priority="1930" operator="containsText" text="Lapsed">
      <formula>NOT(ISERROR(SEARCH(("Lapsed"),(E145))))</formula>
    </cfRule>
  </conditionalFormatting>
  <conditionalFormatting sqref="E145:E147">
    <cfRule type="containsText" dxfId="2" priority="1931" operator="containsText" text="Active">
      <formula>NOT(ISERROR(SEARCH(("Active"),(E145))))</formula>
    </cfRule>
  </conditionalFormatting>
  <conditionalFormatting sqref="D145:D147">
    <cfRule type="containsText" dxfId="3" priority="1932" operator="containsText" text="Youth">
      <formula>NOT(ISERROR(SEARCH(("Youth"),(D145))))</formula>
    </cfRule>
  </conditionalFormatting>
  <conditionalFormatting sqref="J145:J147 L145:L147">
    <cfRule type="containsBlanks" dxfId="8" priority="1933">
      <formula>LEN(TRIM(J145))=0</formula>
    </cfRule>
  </conditionalFormatting>
  <conditionalFormatting sqref="J145:J147 L145:L147">
    <cfRule type="containsBlanks" dxfId="10" priority="1934">
      <formula>LEN(TRIM(J145))=0</formula>
    </cfRule>
  </conditionalFormatting>
  <conditionalFormatting sqref="E144:E147">
    <cfRule type="containsText" dxfId="1" priority="1935" operator="containsText" text="Lapsed">
      <formula>NOT(ISERROR(SEARCH(("Lapsed"),(E144))))</formula>
    </cfRule>
  </conditionalFormatting>
  <conditionalFormatting sqref="E144:E147">
    <cfRule type="containsText" dxfId="2" priority="1936" operator="containsText" text="Active">
      <formula>NOT(ISERROR(SEARCH(("Active"),(E144))))</formula>
    </cfRule>
  </conditionalFormatting>
  <conditionalFormatting sqref="D144:D147">
    <cfRule type="containsText" dxfId="3" priority="1937" operator="containsText" text="Youth">
      <formula>NOT(ISERROR(SEARCH(("Youth"),(D144))))</formula>
    </cfRule>
  </conditionalFormatting>
  <conditionalFormatting sqref="L144:L146 J145:J147">
    <cfRule type="containsBlanks" dxfId="8" priority="1938">
      <formula>LEN(TRIM(L144))=0</formula>
    </cfRule>
  </conditionalFormatting>
  <conditionalFormatting sqref="L144:L146 J145:J147">
    <cfRule type="containsBlanks" dxfId="10" priority="1939">
      <formula>LEN(TRIM(L144))=0</formula>
    </cfRule>
  </conditionalFormatting>
  <conditionalFormatting sqref="J176:J177">
    <cfRule type="containsBlanks" dxfId="10" priority="1940">
      <formula>LEN(TRIM(J176))=0</formula>
    </cfRule>
  </conditionalFormatting>
  <conditionalFormatting sqref="B176:B177">
    <cfRule type="expression" dxfId="0" priority="1941">
      <formula>isblank(J:J)</formula>
    </cfRule>
  </conditionalFormatting>
  <conditionalFormatting sqref="A176:A177">
    <cfRule type="expression" dxfId="0" priority="1942">
      <formula>isblank(J:J)</formula>
    </cfRule>
  </conditionalFormatting>
  <conditionalFormatting sqref="E175">
    <cfRule type="containsText" dxfId="1" priority="1943" operator="containsText" text="Lapsed">
      <formula>NOT(ISERROR(SEARCH(("Lapsed"),(E175))))</formula>
    </cfRule>
  </conditionalFormatting>
  <conditionalFormatting sqref="E175">
    <cfRule type="containsText" dxfId="2" priority="1944" operator="containsText" text="Active">
      <formula>NOT(ISERROR(SEARCH(("Active"),(E175))))</formula>
    </cfRule>
  </conditionalFormatting>
  <conditionalFormatting sqref="D175">
    <cfRule type="containsText" dxfId="3" priority="1945" operator="containsText" text="Youth">
      <formula>NOT(ISERROR(SEARCH(("Youth"),(D175))))</formula>
    </cfRule>
  </conditionalFormatting>
  <conditionalFormatting sqref="J175">
    <cfRule type="containsBlanks" dxfId="8" priority="1946">
      <formula>LEN(TRIM(J175))=0</formula>
    </cfRule>
  </conditionalFormatting>
  <conditionalFormatting sqref="J175">
    <cfRule type="containsBlanks" dxfId="10" priority="1947">
      <formula>LEN(TRIM(J175))=0</formula>
    </cfRule>
  </conditionalFormatting>
  <conditionalFormatting sqref="B175">
    <cfRule type="expression" dxfId="0" priority="1948">
      <formula>isblank(J:J)</formula>
    </cfRule>
  </conditionalFormatting>
  <conditionalFormatting sqref="A175">
    <cfRule type="expression" dxfId="0" priority="1949">
      <formula>isblank(J:J)</formula>
    </cfRule>
  </conditionalFormatting>
  <conditionalFormatting sqref="E174">
    <cfRule type="containsText" dxfId="1" priority="1950" operator="containsText" text="Lapsed">
      <formula>NOT(ISERROR(SEARCH(("Lapsed"),(E174))))</formula>
    </cfRule>
  </conditionalFormatting>
  <conditionalFormatting sqref="E174">
    <cfRule type="containsText" dxfId="2" priority="1951" operator="containsText" text="Active">
      <formula>NOT(ISERROR(SEARCH(("Active"),(E174))))</formula>
    </cfRule>
  </conditionalFormatting>
  <conditionalFormatting sqref="D174">
    <cfRule type="containsText" dxfId="3" priority="1952" operator="containsText" text="Youth">
      <formula>NOT(ISERROR(SEARCH(("Youth"),(D174))))</formula>
    </cfRule>
  </conditionalFormatting>
  <conditionalFormatting sqref="J174">
    <cfRule type="containsBlanks" dxfId="8" priority="1953">
      <formula>LEN(TRIM(J174))=0</formula>
    </cfRule>
  </conditionalFormatting>
  <conditionalFormatting sqref="E143">
    <cfRule type="containsText" dxfId="1" priority="1954" operator="containsText" text="Lapsed">
      <formula>NOT(ISERROR(SEARCH(("Lapsed"),(E143))))</formula>
    </cfRule>
  </conditionalFormatting>
  <conditionalFormatting sqref="E143">
    <cfRule type="containsText" dxfId="2" priority="1955" operator="containsText" text="Active">
      <formula>NOT(ISERROR(SEARCH(("Active"),(E143))))</formula>
    </cfRule>
  </conditionalFormatting>
  <conditionalFormatting sqref="D143">
    <cfRule type="containsText" dxfId="3" priority="1956" operator="containsText" text="Youth">
      <formula>NOT(ISERROR(SEARCH(("Youth"),(D143))))</formula>
    </cfRule>
  </conditionalFormatting>
  <conditionalFormatting sqref="J143 L143">
    <cfRule type="containsBlanks" dxfId="8" priority="1957">
      <formula>LEN(TRIM(J143))=0</formula>
    </cfRule>
  </conditionalFormatting>
  <conditionalFormatting sqref="J143 L143">
    <cfRule type="containsBlanks" dxfId="10" priority="1958">
      <formula>LEN(TRIM(J143))=0</formula>
    </cfRule>
  </conditionalFormatting>
  <conditionalFormatting sqref="D173">
    <cfRule type="containsText" dxfId="3" priority="1959" operator="containsText" text="Youth">
      <formula>NOT(ISERROR(SEARCH(("Youth"),(D173))))</formula>
    </cfRule>
  </conditionalFormatting>
  <conditionalFormatting sqref="J173">
    <cfRule type="containsBlanks" dxfId="8" priority="1960">
      <formula>LEN(TRIM(J173))=0</formula>
    </cfRule>
  </conditionalFormatting>
  <conditionalFormatting sqref="J173">
    <cfRule type="containsBlanks" dxfId="10" priority="1961">
      <formula>LEN(TRIM(J173))=0</formula>
    </cfRule>
  </conditionalFormatting>
  <conditionalFormatting sqref="B173">
    <cfRule type="expression" dxfId="0" priority="1962">
      <formula>isblank(J:J)</formula>
    </cfRule>
  </conditionalFormatting>
  <conditionalFormatting sqref="A173">
    <cfRule type="expression" dxfId="0" priority="1963">
      <formula>isblank(J:J)</formula>
    </cfRule>
  </conditionalFormatting>
  <conditionalFormatting sqref="E172">
    <cfRule type="containsText" dxfId="1" priority="1964" operator="containsText" text="Lapsed">
      <formula>NOT(ISERROR(SEARCH(("Lapsed"),(E172))))</formula>
    </cfRule>
  </conditionalFormatting>
  <conditionalFormatting sqref="E172">
    <cfRule type="containsText" dxfId="2" priority="1965" operator="containsText" text="Active">
      <formula>NOT(ISERROR(SEARCH(("Active"),(E172))))</formula>
    </cfRule>
  </conditionalFormatting>
  <conditionalFormatting sqref="E142">
    <cfRule type="containsText" dxfId="1" priority="1966" operator="containsText" text="Lapsed">
      <formula>NOT(ISERROR(SEARCH(("Lapsed"),(E142))))</formula>
    </cfRule>
  </conditionalFormatting>
  <conditionalFormatting sqref="E142">
    <cfRule type="containsText" dxfId="2" priority="1967" operator="containsText" text="Active">
      <formula>NOT(ISERROR(SEARCH(("Active"),(E142))))</formula>
    </cfRule>
  </conditionalFormatting>
  <conditionalFormatting sqref="D142">
    <cfRule type="containsText" dxfId="3" priority="1968" operator="containsText" text="Youth">
      <formula>NOT(ISERROR(SEARCH(("Youth"),(D142))))</formula>
    </cfRule>
  </conditionalFormatting>
  <conditionalFormatting sqref="J142 L142">
    <cfRule type="containsBlanks" dxfId="8" priority="1969">
      <formula>LEN(TRIM(J142))=0</formula>
    </cfRule>
  </conditionalFormatting>
  <conditionalFormatting sqref="J142 L142">
    <cfRule type="containsBlanks" dxfId="10" priority="1970">
      <formula>LEN(TRIM(J142))=0</formula>
    </cfRule>
  </conditionalFormatting>
  <conditionalFormatting sqref="E171">
    <cfRule type="containsText" dxfId="1" priority="1971" operator="containsText" text="Lapsed">
      <formula>NOT(ISERROR(SEARCH(("Lapsed"),(E171))))</formula>
    </cfRule>
  </conditionalFormatting>
  <conditionalFormatting sqref="E171">
    <cfRule type="containsText" dxfId="2" priority="1972" operator="containsText" text="Active">
      <formula>NOT(ISERROR(SEARCH(("Active"),(E171))))</formula>
    </cfRule>
  </conditionalFormatting>
  <conditionalFormatting sqref="D171">
    <cfRule type="containsText" dxfId="3" priority="1973" operator="containsText" text="Youth">
      <formula>NOT(ISERROR(SEARCH(("Youth"),(D171))))</formula>
    </cfRule>
  </conditionalFormatting>
  <conditionalFormatting sqref="J171">
    <cfRule type="containsBlanks" dxfId="8" priority="1974">
      <formula>LEN(TRIM(J171))=0</formula>
    </cfRule>
  </conditionalFormatting>
  <conditionalFormatting sqref="J171">
    <cfRule type="containsBlanks" dxfId="10" priority="1975">
      <formula>LEN(TRIM(J171))=0</formula>
    </cfRule>
  </conditionalFormatting>
  <conditionalFormatting sqref="B171">
    <cfRule type="expression" dxfId="0" priority="1976">
      <formula>isblank(J:J)</formula>
    </cfRule>
  </conditionalFormatting>
  <conditionalFormatting sqref="A171">
    <cfRule type="expression" dxfId="0" priority="1977">
      <formula>isblank(J:J)</formula>
    </cfRule>
  </conditionalFormatting>
  <conditionalFormatting sqref="E141">
    <cfRule type="containsText" dxfId="1" priority="1978" operator="containsText" text="Lapsed">
      <formula>NOT(ISERROR(SEARCH(("Lapsed"),(E141))))</formula>
    </cfRule>
  </conditionalFormatting>
  <conditionalFormatting sqref="E141">
    <cfRule type="containsText" dxfId="2" priority="1979" operator="containsText" text="Active">
      <formula>NOT(ISERROR(SEARCH(("Active"),(E141))))</formula>
    </cfRule>
  </conditionalFormatting>
  <conditionalFormatting sqref="D141">
    <cfRule type="containsText" dxfId="3" priority="1980" operator="containsText" text="Youth">
      <formula>NOT(ISERROR(SEARCH(("Youth"),(D141))))</formula>
    </cfRule>
  </conditionalFormatting>
  <conditionalFormatting sqref="J141 L141">
    <cfRule type="containsBlanks" dxfId="8" priority="1981">
      <formula>LEN(TRIM(J141))=0</formula>
    </cfRule>
  </conditionalFormatting>
  <conditionalFormatting sqref="J141 L141">
    <cfRule type="containsBlanks" dxfId="10" priority="1982">
      <formula>LEN(TRIM(J141))=0</formula>
    </cfRule>
  </conditionalFormatting>
  <conditionalFormatting sqref="B170">
    <cfRule type="expression" dxfId="0" priority="1983">
      <formula>isblank(J:J)</formula>
    </cfRule>
  </conditionalFormatting>
  <conditionalFormatting sqref="A170">
    <cfRule type="expression" dxfId="0" priority="1984">
      <formula>isblank(J:J)</formula>
    </cfRule>
  </conditionalFormatting>
  <conditionalFormatting sqref="E169">
    <cfRule type="containsText" dxfId="1" priority="1985" operator="containsText" text="Lapsed">
      <formula>NOT(ISERROR(SEARCH(("Lapsed"),(E169))))</formula>
    </cfRule>
  </conditionalFormatting>
  <conditionalFormatting sqref="E169">
    <cfRule type="containsText" dxfId="2" priority="1986" operator="containsText" text="Active">
      <formula>NOT(ISERROR(SEARCH(("Active"),(E169))))</formula>
    </cfRule>
  </conditionalFormatting>
  <conditionalFormatting sqref="D169">
    <cfRule type="containsText" dxfId="3" priority="1987" operator="containsText" text="Youth">
      <formula>NOT(ISERROR(SEARCH(("Youth"),(D169))))</formula>
    </cfRule>
  </conditionalFormatting>
  <conditionalFormatting sqref="J169">
    <cfRule type="containsBlanks" dxfId="8" priority="1988">
      <formula>LEN(TRIM(J169))=0</formula>
    </cfRule>
  </conditionalFormatting>
  <conditionalFormatting sqref="J169">
    <cfRule type="containsBlanks" dxfId="10" priority="1989">
      <formula>LEN(TRIM(J169))=0</formula>
    </cfRule>
  </conditionalFormatting>
  <conditionalFormatting sqref="E139:E140">
    <cfRule type="containsText" dxfId="1" priority="1990" operator="containsText" text="Lapsed">
      <formula>NOT(ISERROR(SEARCH(("Lapsed"),(E139))))</formula>
    </cfRule>
  </conditionalFormatting>
  <conditionalFormatting sqref="E139:E140">
    <cfRule type="containsText" dxfId="2" priority="1991" operator="containsText" text="Active">
      <formula>NOT(ISERROR(SEARCH(("Active"),(E139))))</formula>
    </cfRule>
  </conditionalFormatting>
  <conditionalFormatting sqref="D139:D140">
    <cfRule type="containsText" dxfId="3" priority="1992" operator="containsText" text="Youth">
      <formula>NOT(ISERROR(SEARCH(("Youth"),(D139))))</formula>
    </cfRule>
  </conditionalFormatting>
  <conditionalFormatting sqref="J139:J140 L139:L140">
    <cfRule type="containsBlanks" dxfId="8" priority="1993">
      <formula>LEN(TRIM(J139))=0</formula>
    </cfRule>
  </conditionalFormatting>
  <conditionalFormatting sqref="J139:J140 L139:L140">
    <cfRule type="containsBlanks" dxfId="10" priority="1994">
      <formula>LEN(TRIM(J139))=0</formula>
    </cfRule>
  </conditionalFormatting>
  <conditionalFormatting sqref="E138:E140">
    <cfRule type="containsText" dxfId="1" priority="1995" operator="containsText" text="Lapsed">
      <formula>NOT(ISERROR(SEARCH(("Lapsed"),(E138))))</formula>
    </cfRule>
  </conditionalFormatting>
  <conditionalFormatting sqref="E138:E140">
    <cfRule type="containsText" dxfId="2" priority="1996" operator="containsText" text="Active">
      <formula>NOT(ISERROR(SEARCH(("Active"),(E138))))</formula>
    </cfRule>
  </conditionalFormatting>
  <conditionalFormatting sqref="D138:D140">
    <cfRule type="containsText" dxfId="3" priority="1997" operator="containsText" text="Youth">
      <formula>NOT(ISERROR(SEARCH(("Youth"),(D138))))</formula>
    </cfRule>
  </conditionalFormatting>
  <conditionalFormatting sqref="L138:L139 J139:J140">
    <cfRule type="containsBlanks" dxfId="8" priority="1998">
      <formula>LEN(TRIM(L138))=0</formula>
    </cfRule>
  </conditionalFormatting>
  <conditionalFormatting sqref="L138:L139 J139:J140">
    <cfRule type="containsBlanks" dxfId="10" priority="1999">
      <formula>LEN(TRIM(L138))=0</formula>
    </cfRule>
  </conditionalFormatting>
  <conditionalFormatting sqref="E166">
    <cfRule type="containsText" dxfId="2" priority="2000" operator="containsText" text="Active">
      <formula>NOT(ISERROR(SEARCH(("Active"),(E166))))</formula>
    </cfRule>
  </conditionalFormatting>
  <conditionalFormatting sqref="D166">
    <cfRule type="containsText" dxfId="3" priority="2001" operator="containsText" text="Youth">
      <formula>NOT(ISERROR(SEARCH(("Youth"),(D166))))</formula>
    </cfRule>
  </conditionalFormatting>
  <conditionalFormatting sqref="J166">
    <cfRule type="containsBlanks" dxfId="8" priority="2002">
      <formula>LEN(TRIM(J166))=0</formula>
    </cfRule>
  </conditionalFormatting>
  <conditionalFormatting sqref="J166">
    <cfRule type="containsBlanks" dxfId="10" priority="2003">
      <formula>LEN(TRIM(J166))=0</formula>
    </cfRule>
  </conditionalFormatting>
  <conditionalFormatting sqref="B166">
    <cfRule type="expression" dxfId="0" priority="2004">
      <formula>isblank(J:J)</formula>
    </cfRule>
  </conditionalFormatting>
  <conditionalFormatting sqref="A166">
    <cfRule type="expression" dxfId="0" priority="2005">
      <formula>isblank(J:J)</formula>
    </cfRule>
  </conditionalFormatting>
  <conditionalFormatting sqref="E165">
    <cfRule type="containsText" dxfId="1" priority="2006" operator="containsText" text="Lapsed">
      <formula>NOT(ISERROR(SEARCH(("Lapsed"),(E165))))</formula>
    </cfRule>
  </conditionalFormatting>
  <conditionalFormatting sqref="E165">
    <cfRule type="containsText" dxfId="2" priority="2007" operator="containsText" text="Active">
      <formula>NOT(ISERROR(SEARCH(("Active"),(E165))))</formula>
    </cfRule>
  </conditionalFormatting>
  <conditionalFormatting sqref="D165">
    <cfRule type="containsText" dxfId="3" priority="2008" operator="containsText" text="Youth">
      <formula>NOT(ISERROR(SEARCH(("Youth"),(D165))))</formula>
    </cfRule>
  </conditionalFormatting>
  <conditionalFormatting sqref="J165">
    <cfRule type="containsBlanks" dxfId="8" priority="2009">
      <formula>LEN(TRIM(J165))=0</formula>
    </cfRule>
  </conditionalFormatting>
  <conditionalFormatting sqref="J165">
    <cfRule type="containsBlanks" dxfId="10" priority="2010">
      <formula>LEN(TRIM(J165))=0</formula>
    </cfRule>
  </conditionalFormatting>
  <conditionalFormatting sqref="B165">
    <cfRule type="expression" dxfId="0" priority="2011">
      <formula>isblank(J:J)</formula>
    </cfRule>
  </conditionalFormatting>
  <conditionalFormatting sqref="A165">
    <cfRule type="expression" dxfId="0" priority="2012">
      <formula>isblank(J:J)</formula>
    </cfRule>
  </conditionalFormatting>
  <conditionalFormatting sqref="E164">
    <cfRule type="containsText" dxfId="1" priority="2013" operator="containsText" text="Lapsed">
      <formula>NOT(ISERROR(SEARCH(("Lapsed"),(E164))))</formula>
    </cfRule>
  </conditionalFormatting>
  <conditionalFormatting sqref="E137">
    <cfRule type="containsText" dxfId="1" priority="2014" operator="containsText" text="Lapsed">
      <formula>NOT(ISERROR(SEARCH(("Lapsed"),(E137))))</formula>
    </cfRule>
  </conditionalFormatting>
  <conditionalFormatting sqref="E137">
    <cfRule type="containsText" dxfId="2" priority="2015" operator="containsText" text="Active">
      <formula>NOT(ISERROR(SEARCH(("Active"),(E137))))</formula>
    </cfRule>
  </conditionalFormatting>
  <conditionalFormatting sqref="D137">
    <cfRule type="containsText" dxfId="3" priority="2016" operator="containsText" text="Youth">
      <formula>NOT(ISERROR(SEARCH(("Youth"),(D137))))</formula>
    </cfRule>
  </conditionalFormatting>
  <conditionalFormatting sqref="J137 L137">
    <cfRule type="containsBlanks" dxfId="8" priority="2017">
      <formula>LEN(TRIM(J137))=0</formula>
    </cfRule>
  </conditionalFormatting>
  <conditionalFormatting sqref="J137 L137">
    <cfRule type="containsBlanks" dxfId="10" priority="2018">
      <formula>LEN(TRIM(J137))=0</formula>
    </cfRule>
  </conditionalFormatting>
  <conditionalFormatting sqref="A164">
    <cfRule type="expression" dxfId="0" priority="2019">
      <formula>isblank(J:J)</formula>
    </cfRule>
  </conditionalFormatting>
  <conditionalFormatting sqref="E163">
    <cfRule type="containsText" dxfId="1" priority="2020" operator="containsText" text="Lapsed">
      <formula>NOT(ISERROR(SEARCH(("Lapsed"),(E163))))</formula>
    </cfRule>
  </conditionalFormatting>
  <conditionalFormatting sqref="E163">
    <cfRule type="containsText" dxfId="2" priority="2021" operator="containsText" text="Active">
      <formula>NOT(ISERROR(SEARCH(("Active"),(E163))))</formula>
    </cfRule>
  </conditionalFormatting>
  <conditionalFormatting sqref="D163">
    <cfRule type="containsText" dxfId="3" priority="2022" operator="containsText" text="Youth">
      <formula>NOT(ISERROR(SEARCH(("Youth"),(D163))))</formula>
    </cfRule>
  </conditionalFormatting>
  <conditionalFormatting sqref="J163">
    <cfRule type="containsBlanks" dxfId="8" priority="2023">
      <formula>LEN(TRIM(J163))=0</formula>
    </cfRule>
  </conditionalFormatting>
  <conditionalFormatting sqref="J163">
    <cfRule type="containsBlanks" dxfId="10" priority="2024">
      <formula>LEN(TRIM(J163))=0</formula>
    </cfRule>
  </conditionalFormatting>
  <conditionalFormatting sqref="B163">
    <cfRule type="expression" dxfId="0" priority="2025">
      <formula>isblank(J:J)</formula>
    </cfRule>
  </conditionalFormatting>
  <conditionalFormatting sqref="E136">
    <cfRule type="containsText" dxfId="1" priority="2026" operator="containsText" text="Lapsed">
      <formula>NOT(ISERROR(SEARCH(("Lapsed"),(E136))))</formula>
    </cfRule>
  </conditionalFormatting>
  <conditionalFormatting sqref="E136">
    <cfRule type="containsText" dxfId="2" priority="2027" operator="containsText" text="Active">
      <formula>NOT(ISERROR(SEARCH(("Active"),(E136))))</formula>
    </cfRule>
  </conditionalFormatting>
  <conditionalFormatting sqref="D136">
    <cfRule type="containsText" dxfId="3" priority="2028" operator="containsText" text="Youth">
      <formula>NOT(ISERROR(SEARCH(("Youth"),(D136))))</formula>
    </cfRule>
  </conditionalFormatting>
  <conditionalFormatting sqref="J136 L136">
    <cfRule type="containsBlanks" dxfId="8" priority="2029">
      <formula>LEN(TRIM(J136))=0</formula>
    </cfRule>
  </conditionalFormatting>
  <conditionalFormatting sqref="J136 L136">
    <cfRule type="containsBlanks" dxfId="10" priority="2030">
      <formula>LEN(TRIM(J136))=0</formula>
    </cfRule>
  </conditionalFormatting>
  <conditionalFormatting sqref="J162">
    <cfRule type="containsBlanks" dxfId="10" priority="2031">
      <formula>LEN(TRIM(J162))=0</formula>
    </cfRule>
  </conditionalFormatting>
  <conditionalFormatting sqref="B162">
    <cfRule type="expression" dxfId="0" priority="2032">
      <formula>isblank(J:J)</formula>
    </cfRule>
  </conditionalFormatting>
  <conditionalFormatting sqref="A162">
    <cfRule type="expression" dxfId="0" priority="2033">
      <formula>isblank(J:J)</formula>
    </cfRule>
  </conditionalFormatting>
  <conditionalFormatting sqref="E161">
    <cfRule type="containsText" dxfId="1" priority="2034" operator="containsText" text="Lapsed">
      <formula>NOT(ISERROR(SEARCH(("Lapsed"),(E161))))</formula>
    </cfRule>
  </conditionalFormatting>
  <conditionalFormatting sqref="E161">
    <cfRule type="containsText" dxfId="2" priority="2035" operator="containsText" text="Active">
      <formula>NOT(ISERROR(SEARCH(("Active"),(E161))))</formula>
    </cfRule>
  </conditionalFormatting>
  <conditionalFormatting sqref="D161">
    <cfRule type="containsText" dxfId="3" priority="2036" operator="containsText" text="Youth">
      <formula>NOT(ISERROR(SEARCH(("Youth"),(D161))))</formula>
    </cfRule>
  </conditionalFormatting>
  <conditionalFormatting sqref="J161">
    <cfRule type="containsBlanks" dxfId="8" priority="2037">
      <formula>LEN(TRIM(J161))=0</formula>
    </cfRule>
  </conditionalFormatting>
  <conditionalFormatting sqref="E135">
    <cfRule type="containsText" dxfId="1" priority="2038" operator="containsText" text="Lapsed">
      <formula>NOT(ISERROR(SEARCH(("Lapsed"),(E135))))</formula>
    </cfRule>
  </conditionalFormatting>
  <conditionalFormatting sqref="E135">
    <cfRule type="containsText" dxfId="2" priority="2039" operator="containsText" text="Active">
      <formula>NOT(ISERROR(SEARCH(("Active"),(E135))))</formula>
    </cfRule>
  </conditionalFormatting>
  <conditionalFormatting sqref="D135">
    <cfRule type="containsText" dxfId="3" priority="2040" operator="containsText" text="Youth">
      <formula>NOT(ISERROR(SEARCH(("Youth"),(D135))))</formula>
    </cfRule>
  </conditionalFormatting>
  <conditionalFormatting sqref="J135 L135">
    <cfRule type="containsBlanks" dxfId="8" priority="2041">
      <formula>LEN(TRIM(J135))=0</formula>
    </cfRule>
  </conditionalFormatting>
  <conditionalFormatting sqref="J135 L135">
    <cfRule type="containsBlanks" dxfId="10" priority="2042">
      <formula>LEN(TRIM(J135))=0</formula>
    </cfRule>
  </conditionalFormatting>
  <conditionalFormatting sqref="D160">
    <cfRule type="containsText" dxfId="3" priority="2043" operator="containsText" text="Youth">
      <formula>NOT(ISERROR(SEARCH(("Youth"),(D160))))</formula>
    </cfRule>
  </conditionalFormatting>
  <conditionalFormatting sqref="J160">
    <cfRule type="containsBlanks" dxfId="8" priority="2044">
      <formula>LEN(TRIM(J160))=0</formula>
    </cfRule>
  </conditionalFormatting>
  <conditionalFormatting sqref="J160">
    <cfRule type="containsBlanks" dxfId="10" priority="2045">
      <formula>LEN(TRIM(J160))=0</formula>
    </cfRule>
  </conditionalFormatting>
  <conditionalFormatting sqref="B160">
    <cfRule type="expression" dxfId="0" priority="2046">
      <formula>isblank(J:J)</formula>
    </cfRule>
  </conditionalFormatting>
  <conditionalFormatting sqref="A160">
    <cfRule type="expression" dxfId="0" priority="2047">
      <formula>isblank(J:J)</formula>
    </cfRule>
  </conditionalFormatting>
  <conditionalFormatting sqref="E159">
    <cfRule type="containsText" dxfId="1" priority="2048" operator="containsText" text="Lapsed">
      <formula>NOT(ISERROR(SEARCH(("Lapsed"),(E159))))</formula>
    </cfRule>
  </conditionalFormatting>
  <conditionalFormatting sqref="E159">
    <cfRule type="containsText" dxfId="2" priority="2049" operator="containsText" text="Active">
      <formula>NOT(ISERROR(SEARCH(("Active"),(E159))))</formula>
    </cfRule>
  </conditionalFormatting>
  <conditionalFormatting sqref="E134">
    <cfRule type="containsText" dxfId="1" priority="2050" operator="containsText" text="Lapsed">
      <formula>NOT(ISERROR(SEARCH(("Lapsed"),(E134))))</formula>
    </cfRule>
  </conditionalFormatting>
  <conditionalFormatting sqref="E134">
    <cfRule type="containsText" dxfId="2" priority="2051" operator="containsText" text="Active">
      <formula>NOT(ISERROR(SEARCH(("Active"),(E134))))</formula>
    </cfRule>
  </conditionalFormatting>
  <conditionalFormatting sqref="D134">
    <cfRule type="containsText" dxfId="3" priority="2052" operator="containsText" text="Youth">
      <formula>NOT(ISERROR(SEARCH(("Youth"),(D134))))</formula>
    </cfRule>
  </conditionalFormatting>
  <conditionalFormatting sqref="J134 L134">
    <cfRule type="containsBlanks" dxfId="8" priority="2053">
      <formula>LEN(TRIM(J134))=0</formula>
    </cfRule>
  </conditionalFormatting>
  <conditionalFormatting sqref="J134 L134">
    <cfRule type="containsBlanks" dxfId="10" priority="2054">
      <formula>LEN(TRIM(J134))=0</formula>
    </cfRule>
  </conditionalFormatting>
  <conditionalFormatting sqref="E158">
    <cfRule type="containsText" dxfId="1" priority="2055" operator="containsText" text="Lapsed">
      <formula>NOT(ISERROR(SEARCH(("Lapsed"),(E158))))</formula>
    </cfRule>
  </conditionalFormatting>
  <conditionalFormatting sqref="E158">
    <cfRule type="containsText" dxfId="2" priority="2056" operator="containsText" text="Active">
      <formula>NOT(ISERROR(SEARCH(("Active"),(E158))))</formula>
    </cfRule>
  </conditionalFormatting>
  <conditionalFormatting sqref="D158">
    <cfRule type="containsText" dxfId="3" priority="2057" operator="containsText" text="Youth">
      <formula>NOT(ISERROR(SEARCH(("Youth"),(D158))))</formula>
    </cfRule>
  </conditionalFormatting>
  <conditionalFormatting sqref="J158">
    <cfRule type="containsBlanks" dxfId="8" priority="2058">
      <formula>LEN(TRIM(J158))=0</formula>
    </cfRule>
  </conditionalFormatting>
  <conditionalFormatting sqref="J158">
    <cfRule type="containsBlanks" dxfId="10" priority="2059">
      <formula>LEN(TRIM(J158))=0</formula>
    </cfRule>
  </conditionalFormatting>
  <conditionalFormatting sqref="B158">
    <cfRule type="expression" dxfId="0" priority="2060">
      <formula>isblank(J:J)</formula>
    </cfRule>
  </conditionalFormatting>
  <conditionalFormatting sqref="A158">
    <cfRule type="expression" dxfId="0" priority="2061">
      <formula>isblank(J:J)</formula>
    </cfRule>
  </conditionalFormatting>
  <conditionalFormatting sqref="E131:E133">
    <cfRule type="containsText" dxfId="1" priority="2062" operator="containsText" text="Lapsed">
      <formula>NOT(ISERROR(SEARCH(("Lapsed"),(E131))))</formula>
    </cfRule>
  </conditionalFormatting>
  <conditionalFormatting sqref="E131:E133">
    <cfRule type="containsText" dxfId="2" priority="2063" operator="containsText" text="Active">
      <formula>NOT(ISERROR(SEARCH(("Active"),(E131))))</formula>
    </cfRule>
  </conditionalFormatting>
  <conditionalFormatting sqref="D131:D133">
    <cfRule type="containsText" dxfId="3" priority="2064" operator="containsText" text="Youth">
      <formula>NOT(ISERROR(SEARCH(("Youth"),(D131))))</formula>
    </cfRule>
  </conditionalFormatting>
  <conditionalFormatting sqref="J131:J133 L131:L133">
    <cfRule type="containsBlanks" dxfId="8" priority="2065">
      <formula>LEN(TRIM(J131))=0</formula>
    </cfRule>
  </conditionalFormatting>
  <conditionalFormatting sqref="J131:J133 L131:L133">
    <cfRule type="containsBlanks" dxfId="10" priority="2066">
      <formula>LEN(TRIM(J131))=0</formula>
    </cfRule>
  </conditionalFormatting>
  <conditionalFormatting sqref="E127:E133">
    <cfRule type="containsText" dxfId="1" priority="2067" operator="containsText" text="Lapsed">
      <formula>NOT(ISERROR(SEARCH(("Lapsed"),(E127))))</formula>
    </cfRule>
  </conditionalFormatting>
  <conditionalFormatting sqref="E127:E133">
    <cfRule type="containsText" dxfId="2" priority="2068" operator="containsText" text="Active">
      <formula>NOT(ISERROR(SEARCH(("Active"),(E127))))</formula>
    </cfRule>
  </conditionalFormatting>
  <conditionalFormatting sqref="D127:D133">
    <cfRule type="containsText" dxfId="3" priority="2069" operator="containsText" text="Youth">
      <formula>NOT(ISERROR(SEARCH(("Youth"),(D127))))</formula>
    </cfRule>
  </conditionalFormatting>
  <conditionalFormatting sqref="L127:L132 J131:J133">
    <cfRule type="containsBlanks" dxfId="8" priority="2070">
      <formula>LEN(TRIM(L127))=0</formula>
    </cfRule>
  </conditionalFormatting>
  <conditionalFormatting sqref="L127:L132 J131:J133">
    <cfRule type="containsBlanks" dxfId="10" priority="2071">
      <formula>LEN(TRIM(L127))=0</formula>
    </cfRule>
  </conditionalFormatting>
  <conditionalFormatting sqref="J155:J156">
    <cfRule type="containsBlanks" dxfId="8" priority="2072">
      <formula>LEN(TRIM(J155))=0</formula>
    </cfRule>
  </conditionalFormatting>
  <conditionalFormatting sqref="J155:J156">
    <cfRule type="containsBlanks" dxfId="10" priority="2073">
      <formula>LEN(TRIM(J155))=0</formula>
    </cfRule>
  </conditionalFormatting>
  <conditionalFormatting sqref="B155:B156">
    <cfRule type="expression" dxfId="0" priority="2074">
      <formula>isblank(J:J)</formula>
    </cfRule>
  </conditionalFormatting>
  <conditionalFormatting sqref="A155:A156">
    <cfRule type="expression" dxfId="0" priority="2075">
      <formula>isblank(J:J)</formula>
    </cfRule>
  </conditionalFormatting>
  <conditionalFormatting sqref="E154">
    <cfRule type="containsText" dxfId="1" priority="2076" operator="containsText" text="Lapsed">
      <formula>NOT(ISERROR(SEARCH(("Lapsed"),(E154))))</formula>
    </cfRule>
  </conditionalFormatting>
  <conditionalFormatting sqref="E154">
    <cfRule type="containsText" dxfId="2" priority="2077" operator="containsText" text="Active">
      <formula>NOT(ISERROR(SEARCH(("Active"),(E154))))</formula>
    </cfRule>
  </conditionalFormatting>
  <conditionalFormatting sqref="D154">
    <cfRule type="containsText" dxfId="3" priority="2078" operator="containsText" text="Youth">
      <formula>NOT(ISERROR(SEARCH(("Youth"),(D154))))</formula>
    </cfRule>
  </conditionalFormatting>
  <conditionalFormatting sqref="E125:E130">
    <cfRule type="containsText" dxfId="1" priority="2079" operator="containsText" text="Lapsed">
      <formula>NOT(ISERROR(SEARCH(("Lapsed"),(E125))))</formula>
    </cfRule>
  </conditionalFormatting>
  <conditionalFormatting sqref="E125:E130">
    <cfRule type="containsText" dxfId="2" priority="2080" operator="containsText" text="Active">
      <formula>NOT(ISERROR(SEARCH(("Active"),(E125))))</formula>
    </cfRule>
  </conditionalFormatting>
  <conditionalFormatting sqref="D125:D130">
    <cfRule type="containsText" dxfId="3" priority="2081" operator="containsText" text="Youth">
      <formula>NOT(ISERROR(SEARCH(("Youth"),(D125))))</formula>
    </cfRule>
  </conditionalFormatting>
  <conditionalFormatting sqref="L125:L129 J127:J130">
    <cfRule type="containsBlanks" dxfId="8" priority="2082">
      <formula>LEN(TRIM(L125))=0</formula>
    </cfRule>
  </conditionalFormatting>
  <conditionalFormatting sqref="L125:L129 J127:J130">
    <cfRule type="containsBlanks" dxfId="10" priority="2083">
      <formula>LEN(TRIM(L125))=0</formula>
    </cfRule>
  </conditionalFormatting>
  <conditionalFormatting sqref="E153">
    <cfRule type="containsText" dxfId="2" priority="2084" operator="containsText" text="Active">
      <formula>NOT(ISERROR(SEARCH(("Active"),(E153))))</formula>
    </cfRule>
  </conditionalFormatting>
  <conditionalFormatting sqref="D153">
    <cfRule type="containsText" dxfId="3" priority="2085" operator="containsText" text="Youth">
      <formula>NOT(ISERROR(SEARCH(("Youth"),(D153))))</formula>
    </cfRule>
  </conditionalFormatting>
  <conditionalFormatting sqref="J153">
    <cfRule type="containsBlanks" dxfId="8" priority="2086">
      <formula>LEN(TRIM(J153))=0</formula>
    </cfRule>
  </conditionalFormatting>
  <conditionalFormatting sqref="J153">
    <cfRule type="containsBlanks" dxfId="10" priority="2087">
      <formula>LEN(TRIM(J153))=0</formula>
    </cfRule>
  </conditionalFormatting>
  <conditionalFormatting sqref="B153">
    <cfRule type="expression" dxfId="0" priority="2088">
      <formula>isblank(J:J)</formula>
    </cfRule>
  </conditionalFormatting>
  <conditionalFormatting sqref="A153">
    <cfRule type="expression" dxfId="0" priority="2089">
      <formula>isblank(J:J)</formula>
    </cfRule>
  </conditionalFormatting>
  <conditionalFormatting sqref="E152">
    <cfRule type="containsText" dxfId="1" priority="2090" operator="containsText" text="Lapsed">
      <formula>NOT(ISERROR(SEARCH(("Lapsed"),(E152))))</formula>
    </cfRule>
  </conditionalFormatting>
  <conditionalFormatting sqref="E124:E126">
    <cfRule type="containsText" dxfId="1" priority="2091" operator="containsText" text="Lapsed">
      <formula>NOT(ISERROR(SEARCH(("Lapsed"),(E124))))</formula>
    </cfRule>
  </conditionalFormatting>
  <conditionalFormatting sqref="E124:E126">
    <cfRule type="containsText" dxfId="2" priority="2092" operator="containsText" text="Active">
      <formula>NOT(ISERROR(SEARCH(("Active"),(E124))))</formula>
    </cfRule>
  </conditionalFormatting>
  <conditionalFormatting sqref="D124:D126">
    <cfRule type="containsText" dxfId="3" priority="2093" operator="containsText" text="Youth">
      <formula>NOT(ISERROR(SEARCH(("Youth"),(D124))))</formula>
    </cfRule>
  </conditionalFormatting>
  <conditionalFormatting sqref="L124:L125 J125:J126">
    <cfRule type="containsBlanks" dxfId="8" priority="2094">
      <formula>LEN(TRIM(L124))=0</formula>
    </cfRule>
  </conditionalFormatting>
  <conditionalFormatting sqref="L124:L125 J125:J126">
    <cfRule type="containsBlanks" dxfId="10" priority="2095">
      <formula>LEN(TRIM(L124))=0</formula>
    </cfRule>
  </conditionalFormatting>
  <conditionalFormatting sqref="A152">
    <cfRule type="expression" dxfId="0" priority="2096">
      <formula>isblank(J:J)</formula>
    </cfRule>
  </conditionalFormatting>
  <conditionalFormatting sqref="E151">
    <cfRule type="containsText" dxfId="1" priority="2097" operator="containsText" text="Lapsed">
      <formula>NOT(ISERROR(SEARCH(("Lapsed"),(E151))))</formula>
    </cfRule>
  </conditionalFormatting>
  <conditionalFormatting sqref="E151">
    <cfRule type="containsText" dxfId="2" priority="2098" operator="containsText" text="Active">
      <formula>NOT(ISERROR(SEARCH(("Active"),(E151))))</formula>
    </cfRule>
  </conditionalFormatting>
  <conditionalFormatting sqref="D151">
    <cfRule type="containsText" dxfId="3" priority="2099" operator="containsText" text="Youth">
      <formula>NOT(ISERROR(SEARCH(("Youth"),(D151))))</formula>
    </cfRule>
  </conditionalFormatting>
  <conditionalFormatting sqref="J151">
    <cfRule type="containsBlanks" dxfId="8" priority="2100">
      <formula>LEN(TRIM(J151))=0</formula>
    </cfRule>
  </conditionalFormatting>
  <conditionalFormatting sqref="J151">
    <cfRule type="containsBlanks" dxfId="10" priority="2101">
      <formula>LEN(TRIM(J151))=0</formula>
    </cfRule>
  </conditionalFormatting>
  <conditionalFormatting sqref="B151">
    <cfRule type="expression" dxfId="0" priority="2102">
      <formula>isblank(J:J)</formula>
    </cfRule>
  </conditionalFormatting>
  <conditionalFormatting sqref="A151">
    <cfRule type="expression" dxfId="0" priority="2103">
      <formula>isblank(J:J)</formula>
    </cfRule>
  </conditionalFormatting>
  <conditionalFormatting sqref="E150">
    <cfRule type="containsText" dxfId="1" priority="2104" operator="containsText" text="Lapsed">
      <formula>NOT(ISERROR(SEARCH(("Lapsed"),(E150))))</formula>
    </cfRule>
  </conditionalFormatting>
  <conditionalFormatting sqref="E150">
    <cfRule type="containsText" dxfId="2" priority="2105" operator="containsText" text="Active">
      <formula>NOT(ISERROR(SEARCH(("Active"),(E150))))</formula>
    </cfRule>
  </conditionalFormatting>
  <conditionalFormatting sqref="D150">
    <cfRule type="containsText" dxfId="3" priority="2106" operator="containsText" text="Youth">
      <formula>NOT(ISERROR(SEARCH(("Youth"),(D150))))</formula>
    </cfRule>
  </conditionalFormatting>
  <conditionalFormatting sqref="J150">
    <cfRule type="containsBlanks" dxfId="8" priority="2107">
      <formula>LEN(TRIM(J150))=0</formula>
    </cfRule>
  </conditionalFormatting>
  <conditionalFormatting sqref="J150">
    <cfRule type="containsBlanks" dxfId="10" priority="2108">
      <formula>LEN(TRIM(J150))=0</formula>
    </cfRule>
  </conditionalFormatting>
  <conditionalFormatting sqref="B150">
    <cfRule type="expression" dxfId="0" priority="2109">
      <formula>isblank(J:J)</formula>
    </cfRule>
  </conditionalFormatting>
  <conditionalFormatting sqref="E123">
    <cfRule type="containsText" dxfId="1" priority="2110" operator="containsText" text="Lapsed">
      <formula>NOT(ISERROR(SEARCH(("Lapsed"),(E123))))</formula>
    </cfRule>
  </conditionalFormatting>
  <conditionalFormatting sqref="E123">
    <cfRule type="containsText" dxfId="2" priority="2111" operator="containsText" text="Active">
      <formula>NOT(ISERROR(SEARCH(("Active"),(E123))))</formula>
    </cfRule>
  </conditionalFormatting>
  <conditionalFormatting sqref="D123">
    <cfRule type="containsText" dxfId="3" priority="2112" operator="containsText" text="Youth">
      <formula>NOT(ISERROR(SEARCH(("Youth"),(D123))))</formula>
    </cfRule>
  </conditionalFormatting>
  <conditionalFormatting sqref="J123 L123">
    <cfRule type="containsBlanks" dxfId="8" priority="2113">
      <formula>LEN(TRIM(J123))=0</formula>
    </cfRule>
  </conditionalFormatting>
  <conditionalFormatting sqref="J123 L123">
    <cfRule type="containsBlanks" dxfId="10" priority="2114">
      <formula>LEN(TRIM(J123))=0</formula>
    </cfRule>
  </conditionalFormatting>
  <conditionalFormatting sqref="J149">
    <cfRule type="containsBlanks" dxfId="10" priority="2115">
      <formula>LEN(TRIM(J149))=0</formula>
    </cfRule>
  </conditionalFormatting>
  <conditionalFormatting sqref="B149">
    <cfRule type="expression" dxfId="0" priority="2116">
      <formula>isblank(J:J)</formula>
    </cfRule>
  </conditionalFormatting>
  <conditionalFormatting sqref="A149">
    <cfRule type="expression" dxfId="0" priority="2117">
      <formula>isblank(J:J)</formula>
    </cfRule>
  </conditionalFormatting>
  <conditionalFormatting sqref="E148">
    <cfRule type="containsText" dxfId="1" priority="2118" operator="containsText" text="Lapsed">
      <formula>NOT(ISERROR(SEARCH(("Lapsed"),(E148))))</formula>
    </cfRule>
  </conditionalFormatting>
  <conditionalFormatting sqref="E148">
    <cfRule type="containsText" dxfId="2" priority="2119" operator="containsText" text="Active">
      <formula>NOT(ISERROR(SEARCH(("Active"),(E148))))</formula>
    </cfRule>
  </conditionalFormatting>
  <conditionalFormatting sqref="D148">
    <cfRule type="containsText" dxfId="3" priority="2120" operator="containsText" text="Youth">
      <formula>NOT(ISERROR(SEARCH(("Youth"),(D148))))</formula>
    </cfRule>
  </conditionalFormatting>
  <conditionalFormatting sqref="J148">
    <cfRule type="containsBlanks" dxfId="8" priority="2121">
      <formula>LEN(TRIM(J148))=0</formula>
    </cfRule>
  </conditionalFormatting>
  <conditionalFormatting sqref="E122">
    <cfRule type="containsText" dxfId="1" priority="2122" operator="containsText" text="Lapsed">
      <formula>NOT(ISERROR(SEARCH(("Lapsed"),(E122))))</formula>
    </cfRule>
  </conditionalFormatting>
  <conditionalFormatting sqref="E122">
    <cfRule type="containsText" dxfId="2" priority="2123" operator="containsText" text="Active">
      <formula>NOT(ISERROR(SEARCH(("Active"),(E122))))</formula>
    </cfRule>
  </conditionalFormatting>
  <conditionalFormatting sqref="D122">
    <cfRule type="containsText" dxfId="3" priority="2124" operator="containsText" text="Youth">
      <formula>NOT(ISERROR(SEARCH(("Youth"),(D122))))</formula>
    </cfRule>
  </conditionalFormatting>
  <conditionalFormatting sqref="J122 L122">
    <cfRule type="containsBlanks" dxfId="8" priority="2125">
      <formula>LEN(TRIM(J122))=0</formula>
    </cfRule>
  </conditionalFormatting>
  <conditionalFormatting sqref="J122 L122">
    <cfRule type="containsBlanks" dxfId="10" priority="2126">
      <formula>LEN(TRIM(J122))=0</formula>
    </cfRule>
  </conditionalFormatting>
  <conditionalFormatting sqref="D145:D147">
    <cfRule type="containsText" dxfId="3" priority="2127" operator="containsText" text="Youth">
      <formula>NOT(ISERROR(SEARCH(("Youth"),(D145))))</formula>
    </cfRule>
  </conditionalFormatting>
  <conditionalFormatting sqref="J145:J147">
    <cfRule type="containsBlanks" dxfId="8" priority="2128">
      <formula>LEN(TRIM(J145))=0</formula>
    </cfRule>
  </conditionalFormatting>
  <conditionalFormatting sqref="J145:J147">
    <cfRule type="containsBlanks" dxfId="10" priority="2129">
      <formula>LEN(TRIM(J145))=0</formula>
    </cfRule>
  </conditionalFormatting>
  <conditionalFormatting sqref="B145:B147">
    <cfRule type="expression" dxfId="0" priority="2130">
      <formula>isblank(J:J)</formula>
    </cfRule>
  </conditionalFormatting>
  <conditionalFormatting sqref="A145:A147">
    <cfRule type="expression" dxfId="0" priority="2131">
      <formula>isblank(J:J)</formula>
    </cfRule>
  </conditionalFormatting>
  <conditionalFormatting sqref="E144">
    <cfRule type="containsText" dxfId="1" priority="2132" operator="containsText" text="Lapsed">
      <formula>NOT(ISERROR(SEARCH(("Lapsed"),(E144))))</formula>
    </cfRule>
  </conditionalFormatting>
  <conditionalFormatting sqref="E144">
    <cfRule type="containsText" dxfId="2" priority="2133" operator="containsText" text="Active">
      <formula>NOT(ISERROR(SEARCH(("Active"),(E144))))</formula>
    </cfRule>
  </conditionalFormatting>
  <conditionalFormatting sqref="E121">
    <cfRule type="containsText" dxfId="1" priority="2134" operator="containsText" text="Lapsed">
      <formula>NOT(ISERROR(SEARCH(("Lapsed"),(E121))))</formula>
    </cfRule>
  </conditionalFormatting>
  <conditionalFormatting sqref="E121">
    <cfRule type="containsText" dxfId="2" priority="2135" operator="containsText" text="Active">
      <formula>NOT(ISERROR(SEARCH(("Active"),(E121))))</formula>
    </cfRule>
  </conditionalFormatting>
  <conditionalFormatting sqref="D121">
    <cfRule type="containsText" dxfId="3" priority="2136" operator="containsText" text="Youth">
      <formula>NOT(ISERROR(SEARCH(("Youth"),(D121))))</formula>
    </cfRule>
  </conditionalFormatting>
  <conditionalFormatting sqref="J121 L121">
    <cfRule type="containsBlanks" dxfId="8" priority="2137">
      <formula>LEN(TRIM(J121))=0</formula>
    </cfRule>
  </conditionalFormatting>
  <conditionalFormatting sqref="J121 L121">
    <cfRule type="containsBlanks" dxfId="10" priority="2138">
      <formula>LEN(TRIM(J121))=0</formula>
    </cfRule>
  </conditionalFormatting>
  <conditionalFormatting sqref="E143">
    <cfRule type="containsText" dxfId="1" priority="2139" operator="containsText" text="Lapsed">
      <formula>NOT(ISERROR(SEARCH(("Lapsed"),(E143))))</formula>
    </cfRule>
  </conditionalFormatting>
  <conditionalFormatting sqref="E143">
    <cfRule type="containsText" dxfId="2" priority="2140" operator="containsText" text="Active">
      <formula>NOT(ISERROR(SEARCH(("Active"),(E143))))</formula>
    </cfRule>
  </conditionalFormatting>
  <conditionalFormatting sqref="D143">
    <cfRule type="containsText" dxfId="3" priority="2141" operator="containsText" text="Youth">
      <formula>NOT(ISERROR(SEARCH(("Youth"),(D143))))</formula>
    </cfRule>
  </conditionalFormatting>
  <conditionalFormatting sqref="J143">
    <cfRule type="containsBlanks" dxfId="8" priority="2142">
      <formula>LEN(TRIM(J143))=0</formula>
    </cfRule>
  </conditionalFormatting>
  <conditionalFormatting sqref="J143">
    <cfRule type="containsBlanks" dxfId="10" priority="2143">
      <formula>LEN(TRIM(J143))=0</formula>
    </cfRule>
  </conditionalFormatting>
  <conditionalFormatting sqref="B143">
    <cfRule type="expression" dxfId="0" priority="2144">
      <formula>isblank(J:J)</formula>
    </cfRule>
  </conditionalFormatting>
  <conditionalFormatting sqref="A143">
    <cfRule type="expression" dxfId="0" priority="2145">
      <formula>isblank(J:J)</formula>
    </cfRule>
  </conditionalFormatting>
  <conditionalFormatting sqref="E120">
    <cfRule type="containsText" dxfId="1" priority="2146" operator="containsText" text="Lapsed">
      <formula>NOT(ISERROR(SEARCH(("Lapsed"),(E120))))</formula>
    </cfRule>
  </conditionalFormatting>
  <conditionalFormatting sqref="E120">
    <cfRule type="containsText" dxfId="2" priority="2147" operator="containsText" text="Active">
      <formula>NOT(ISERROR(SEARCH(("Active"),(E120))))</formula>
    </cfRule>
  </conditionalFormatting>
  <conditionalFormatting sqref="D120">
    <cfRule type="containsText" dxfId="3" priority="2148" operator="containsText" text="Youth">
      <formula>NOT(ISERROR(SEARCH(("Youth"),(D120))))</formula>
    </cfRule>
  </conditionalFormatting>
  <conditionalFormatting sqref="J120 L120">
    <cfRule type="containsBlanks" dxfId="8" priority="2149">
      <formula>LEN(TRIM(J120))=0</formula>
    </cfRule>
  </conditionalFormatting>
  <conditionalFormatting sqref="J120 L120">
    <cfRule type="containsBlanks" dxfId="10" priority="2150">
      <formula>LEN(TRIM(J120))=0</formula>
    </cfRule>
  </conditionalFormatting>
  <conditionalFormatting sqref="B142">
    <cfRule type="expression" dxfId="0" priority="2151">
      <formula>isblank(J:J)</formula>
    </cfRule>
  </conditionalFormatting>
  <conditionalFormatting sqref="A142">
    <cfRule type="expression" dxfId="0" priority="2152">
      <formula>isblank(J:J)</formula>
    </cfRule>
  </conditionalFormatting>
  <conditionalFormatting sqref="E141">
    <cfRule type="containsText" dxfId="1" priority="2153" operator="containsText" text="Lapsed">
      <formula>NOT(ISERROR(SEARCH(("Lapsed"),(E141))))</formula>
    </cfRule>
  </conditionalFormatting>
  <conditionalFormatting sqref="E141">
    <cfRule type="containsText" dxfId="2" priority="2154" operator="containsText" text="Active">
      <formula>NOT(ISERROR(SEARCH(("Active"),(E141))))</formula>
    </cfRule>
  </conditionalFormatting>
  <conditionalFormatting sqref="D141">
    <cfRule type="containsText" dxfId="3" priority="2155" operator="containsText" text="Youth">
      <formula>NOT(ISERROR(SEARCH(("Youth"),(D141))))</formula>
    </cfRule>
  </conditionalFormatting>
  <conditionalFormatting sqref="J141">
    <cfRule type="containsBlanks" dxfId="8" priority="2156">
      <formula>LEN(TRIM(J141))=0</formula>
    </cfRule>
  </conditionalFormatting>
  <conditionalFormatting sqref="J141">
    <cfRule type="containsBlanks" dxfId="10" priority="2157">
      <formula>LEN(TRIM(J141))=0</formula>
    </cfRule>
  </conditionalFormatting>
  <conditionalFormatting sqref="E119">
    <cfRule type="containsText" dxfId="1" priority="2158" operator="containsText" text="Lapsed">
      <formula>NOT(ISERROR(SEARCH(("Lapsed"),(E119))))</formula>
    </cfRule>
  </conditionalFormatting>
  <conditionalFormatting sqref="E119">
    <cfRule type="containsText" dxfId="2" priority="2159" operator="containsText" text="Active">
      <formula>NOT(ISERROR(SEARCH(("Active"),(E119))))</formula>
    </cfRule>
  </conditionalFormatting>
  <conditionalFormatting sqref="D119">
    <cfRule type="containsText" dxfId="3" priority="2160" operator="containsText" text="Youth">
      <formula>NOT(ISERROR(SEARCH(("Youth"),(D119))))</formula>
    </cfRule>
  </conditionalFormatting>
  <conditionalFormatting sqref="J119 L119">
    <cfRule type="containsBlanks" dxfId="8" priority="2161">
      <formula>LEN(TRIM(J119))=0</formula>
    </cfRule>
  </conditionalFormatting>
  <conditionalFormatting sqref="J119 L119">
    <cfRule type="containsBlanks" dxfId="10" priority="2162">
      <formula>LEN(TRIM(J119))=0</formula>
    </cfRule>
  </conditionalFormatting>
  <conditionalFormatting sqref="J139:J140">
    <cfRule type="containsBlanks" dxfId="8" priority="2163">
      <formula>LEN(TRIM(J139))=0</formula>
    </cfRule>
  </conditionalFormatting>
  <conditionalFormatting sqref="J139:J140">
    <cfRule type="containsBlanks" dxfId="10" priority="2164">
      <formula>LEN(TRIM(J139))=0</formula>
    </cfRule>
  </conditionalFormatting>
  <conditionalFormatting sqref="B139:B140">
    <cfRule type="expression" dxfId="0" priority="2165">
      <formula>isblank(J:J)</formula>
    </cfRule>
  </conditionalFormatting>
  <conditionalFormatting sqref="A139:A140">
    <cfRule type="expression" dxfId="0" priority="2166">
      <formula>isblank(J:J)</formula>
    </cfRule>
  </conditionalFormatting>
  <conditionalFormatting sqref="E138">
    <cfRule type="containsText" dxfId="1" priority="2167" operator="containsText" text="Lapsed">
      <formula>NOT(ISERROR(SEARCH(("Lapsed"),(E138))))</formula>
    </cfRule>
  </conditionalFormatting>
  <conditionalFormatting sqref="E138">
    <cfRule type="containsText" dxfId="2" priority="2168" operator="containsText" text="Active">
      <formula>NOT(ISERROR(SEARCH(("Active"),(E138))))</formula>
    </cfRule>
  </conditionalFormatting>
  <conditionalFormatting sqref="D138">
    <cfRule type="containsText" dxfId="3" priority="2169" operator="containsText" text="Youth">
      <formula>NOT(ISERROR(SEARCH(("Youth"),(D138))))</formula>
    </cfRule>
  </conditionalFormatting>
  <conditionalFormatting sqref="E118">
    <cfRule type="containsText" dxfId="1" priority="2170" operator="containsText" text="Lapsed">
      <formula>NOT(ISERROR(SEARCH(("Lapsed"),(E118))))</formula>
    </cfRule>
  </conditionalFormatting>
  <conditionalFormatting sqref="E118">
    <cfRule type="containsText" dxfId="2" priority="2171" operator="containsText" text="Active">
      <formula>NOT(ISERROR(SEARCH(("Active"),(E118))))</formula>
    </cfRule>
  </conditionalFormatting>
  <conditionalFormatting sqref="D118">
    <cfRule type="containsText" dxfId="3" priority="2172" operator="containsText" text="Youth">
      <formula>NOT(ISERROR(SEARCH(("Youth"),(D118))))</formula>
    </cfRule>
  </conditionalFormatting>
  <conditionalFormatting sqref="J118 L118">
    <cfRule type="containsBlanks" dxfId="8" priority="2173">
      <formula>LEN(TRIM(J118))=0</formula>
    </cfRule>
  </conditionalFormatting>
  <conditionalFormatting sqref="J118 L118">
    <cfRule type="containsBlanks" dxfId="10" priority="2174">
      <formula>LEN(TRIM(J118))=0</formula>
    </cfRule>
  </conditionalFormatting>
  <conditionalFormatting sqref="E137">
    <cfRule type="containsText" dxfId="2" priority="2175" operator="containsText" text="Active">
      <formula>NOT(ISERROR(SEARCH(("Active"),(E137))))</formula>
    </cfRule>
  </conditionalFormatting>
  <conditionalFormatting sqref="D137">
    <cfRule type="containsText" dxfId="3" priority="2176" operator="containsText" text="Youth">
      <formula>NOT(ISERROR(SEARCH(("Youth"),(D137))))</formula>
    </cfRule>
  </conditionalFormatting>
  <conditionalFormatting sqref="J137">
    <cfRule type="containsBlanks" dxfId="8" priority="2177">
      <formula>LEN(TRIM(J137))=0</formula>
    </cfRule>
  </conditionalFormatting>
  <conditionalFormatting sqref="J137">
    <cfRule type="containsBlanks" dxfId="10" priority="2178">
      <formula>LEN(TRIM(J137))=0</formula>
    </cfRule>
  </conditionalFormatting>
  <conditionalFormatting sqref="B137">
    <cfRule type="expression" dxfId="0" priority="2179">
      <formula>isblank(J:J)</formula>
    </cfRule>
  </conditionalFormatting>
  <conditionalFormatting sqref="A137">
    <cfRule type="expression" dxfId="0" priority="2180">
      <formula>isblank(J:J)</formula>
    </cfRule>
  </conditionalFormatting>
  <conditionalFormatting sqref="E136">
    <cfRule type="containsText" dxfId="1" priority="2181" operator="containsText" text="Lapsed">
      <formula>NOT(ISERROR(SEARCH(("Lapsed"),(E136))))</formula>
    </cfRule>
  </conditionalFormatting>
  <conditionalFormatting sqref="E116:E117">
    <cfRule type="containsText" dxfId="1" priority="2182" operator="containsText" text="Lapsed">
      <formula>NOT(ISERROR(SEARCH(("Lapsed"),(E116))))</formula>
    </cfRule>
  </conditionalFormatting>
  <conditionalFormatting sqref="E116:E117">
    <cfRule type="containsText" dxfId="2" priority="2183" operator="containsText" text="Active">
      <formula>NOT(ISERROR(SEARCH(("Active"),(E116))))</formula>
    </cfRule>
  </conditionalFormatting>
  <conditionalFormatting sqref="D116:D117">
    <cfRule type="containsText" dxfId="3" priority="2184" operator="containsText" text="Youth">
      <formula>NOT(ISERROR(SEARCH(("Youth"),(D116))))</formula>
    </cfRule>
  </conditionalFormatting>
  <conditionalFormatting sqref="J116:J117 L116:L117">
    <cfRule type="containsBlanks" dxfId="8" priority="2185">
      <formula>LEN(TRIM(J116))=0</formula>
    </cfRule>
  </conditionalFormatting>
  <conditionalFormatting sqref="J116:J117 L116:L117">
    <cfRule type="containsBlanks" dxfId="10" priority="2186">
      <formula>LEN(TRIM(J116))=0</formula>
    </cfRule>
  </conditionalFormatting>
  <conditionalFormatting sqref="E115:E117">
    <cfRule type="containsText" dxfId="1" priority="2187" operator="containsText" text="Lapsed">
      <formula>NOT(ISERROR(SEARCH(("Lapsed"),(E115))))</formula>
    </cfRule>
  </conditionalFormatting>
  <conditionalFormatting sqref="E115:E117">
    <cfRule type="containsText" dxfId="2" priority="2188" operator="containsText" text="Active">
      <formula>NOT(ISERROR(SEARCH(("Active"),(E115))))</formula>
    </cfRule>
  </conditionalFormatting>
  <conditionalFormatting sqref="D115:D117">
    <cfRule type="containsText" dxfId="3" priority="2189" operator="containsText" text="Youth">
      <formula>NOT(ISERROR(SEARCH(("Youth"),(D115))))</formula>
    </cfRule>
  </conditionalFormatting>
  <conditionalFormatting sqref="L115:L116 J116:J117">
    <cfRule type="containsBlanks" dxfId="8" priority="2190">
      <formula>LEN(TRIM(L115))=0</formula>
    </cfRule>
  </conditionalFormatting>
  <conditionalFormatting sqref="L115:L116 J116:J117">
    <cfRule type="containsBlanks" dxfId="10" priority="2191">
      <formula>LEN(TRIM(L115))=0</formula>
    </cfRule>
  </conditionalFormatting>
  <conditionalFormatting sqref="J135">
    <cfRule type="containsBlanks" dxfId="10" priority="2192">
      <formula>LEN(TRIM(J135))=0</formula>
    </cfRule>
  </conditionalFormatting>
  <conditionalFormatting sqref="B135">
    <cfRule type="expression" dxfId="0" priority="2193">
      <formula>isblank(J:J)</formula>
    </cfRule>
  </conditionalFormatting>
  <conditionalFormatting sqref="A135">
    <cfRule type="expression" dxfId="0" priority="2194">
      <formula>isblank(J:J)</formula>
    </cfRule>
  </conditionalFormatting>
  <conditionalFormatting sqref="E134">
    <cfRule type="containsText" dxfId="1" priority="2195" operator="containsText" text="Lapsed">
      <formula>NOT(ISERROR(SEARCH(("Lapsed"),(E134))))</formula>
    </cfRule>
  </conditionalFormatting>
  <conditionalFormatting sqref="E134">
    <cfRule type="containsText" dxfId="2" priority="2196" operator="containsText" text="Active">
      <formula>NOT(ISERROR(SEARCH(("Active"),(E134))))</formula>
    </cfRule>
  </conditionalFormatting>
  <conditionalFormatting sqref="D134">
    <cfRule type="containsText" dxfId="3" priority="2197" operator="containsText" text="Youth">
      <formula>NOT(ISERROR(SEARCH(("Youth"),(D134))))</formula>
    </cfRule>
  </conditionalFormatting>
  <conditionalFormatting sqref="J134">
    <cfRule type="containsBlanks" dxfId="8" priority="2198">
      <formula>LEN(TRIM(J134))=0</formula>
    </cfRule>
  </conditionalFormatting>
  <conditionalFormatting sqref="J134">
    <cfRule type="containsBlanks" dxfId="10" priority="2199">
      <formula>LEN(TRIM(J134))=0</formula>
    </cfRule>
  </conditionalFormatting>
  <conditionalFormatting sqref="B134">
    <cfRule type="expression" dxfId="0" priority="2200">
      <formula>isblank(J:J)</formula>
    </cfRule>
  </conditionalFormatting>
  <conditionalFormatting sqref="A134">
    <cfRule type="expression" dxfId="0" priority="2201">
      <formula>isblank(J:J)</formula>
    </cfRule>
  </conditionalFormatting>
  <conditionalFormatting sqref="E131:E133">
    <cfRule type="containsText" dxfId="1" priority="2202" operator="containsText" text="Lapsed">
      <formula>NOT(ISERROR(SEARCH(("Lapsed"),(E131))))</formula>
    </cfRule>
  </conditionalFormatting>
  <conditionalFormatting sqref="E131:E133">
    <cfRule type="containsText" dxfId="2" priority="2203" operator="containsText" text="Active">
      <formula>NOT(ISERROR(SEARCH(("Active"),(E131))))</formula>
    </cfRule>
  </conditionalFormatting>
  <conditionalFormatting sqref="D131:D133">
    <cfRule type="containsText" dxfId="3" priority="2204" operator="containsText" text="Youth">
      <formula>NOT(ISERROR(SEARCH(("Youth"),(D131))))</formula>
    </cfRule>
  </conditionalFormatting>
  <conditionalFormatting sqref="J131:J133">
    <cfRule type="containsBlanks" dxfId="8" priority="2205">
      <formula>LEN(TRIM(J131))=0</formula>
    </cfRule>
  </conditionalFormatting>
  <conditionalFormatting sqref="E113:E114">
    <cfRule type="containsText" dxfId="1" priority="2206" operator="containsText" text="Lapsed">
      <formula>NOT(ISERROR(SEARCH(("Lapsed"),(E113))))</formula>
    </cfRule>
  </conditionalFormatting>
  <conditionalFormatting sqref="E113:E114">
    <cfRule type="containsText" dxfId="2" priority="2207" operator="containsText" text="Active">
      <formula>NOT(ISERROR(SEARCH(("Active"),(E113))))</formula>
    </cfRule>
  </conditionalFormatting>
  <conditionalFormatting sqref="D113:D114">
    <cfRule type="containsText" dxfId="3" priority="2208" operator="containsText" text="Youth">
      <formula>NOT(ISERROR(SEARCH(("Youth"),(D113))))</formula>
    </cfRule>
  </conditionalFormatting>
  <conditionalFormatting sqref="J113:J114 L113:L114">
    <cfRule type="containsBlanks" dxfId="8" priority="2209">
      <formula>LEN(TRIM(J113))=0</formula>
    </cfRule>
  </conditionalFormatting>
  <conditionalFormatting sqref="J113:J114 L113:L114">
    <cfRule type="containsBlanks" dxfId="10" priority="2210">
      <formula>LEN(TRIM(J113))=0</formula>
    </cfRule>
  </conditionalFormatting>
  <conditionalFormatting sqref="E110:E114">
    <cfRule type="containsText" dxfId="1" priority="2211" operator="containsText" text="Lapsed">
      <formula>NOT(ISERROR(SEARCH(("Lapsed"),(E110))))</formula>
    </cfRule>
  </conditionalFormatting>
  <conditionalFormatting sqref="E110:E114">
    <cfRule type="containsText" dxfId="2" priority="2212" operator="containsText" text="Active">
      <formula>NOT(ISERROR(SEARCH(("Active"),(E110))))</formula>
    </cfRule>
  </conditionalFormatting>
  <conditionalFormatting sqref="D110:D114">
    <cfRule type="containsText" dxfId="3" priority="2213" operator="containsText" text="Youth">
      <formula>NOT(ISERROR(SEARCH(("Youth"),(D110))))</formula>
    </cfRule>
  </conditionalFormatting>
  <conditionalFormatting sqref="L110:L113 J113:J114">
    <cfRule type="containsBlanks" dxfId="8" priority="2214">
      <formula>LEN(TRIM(L110))=0</formula>
    </cfRule>
  </conditionalFormatting>
  <conditionalFormatting sqref="L110:L113 J113:J114">
    <cfRule type="containsBlanks" dxfId="10" priority="2215">
      <formula>LEN(TRIM(L110))=0</formula>
    </cfRule>
  </conditionalFormatting>
  <conditionalFormatting sqref="E125:E126">
    <cfRule type="containsText" dxfId="1" priority="2216" operator="containsText" text="Lapsed">
      <formula>NOT(ISERROR(SEARCH(("Lapsed"),(E125))))</formula>
    </cfRule>
  </conditionalFormatting>
  <conditionalFormatting sqref="E125:E126">
    <cfRule type="containsText" dxfId="2" priority="2217" operator="containsText" text="Active">
      <formula>NOT(ISERROR(SEARCH(("Active"),(E125))))</formula>
    </cfRule>
  </conditionalFormatting>
  <conditionalFormatting sqref="D125:D126">
    <cfRule type="containsText" dxfId="3" priority="2218" operator="containsText" text="Youth">
      <formula>NOT(ISERROR(SEARCH(("Youth"),(D125))))</formula>
    </cfRule>
  </conditionalFormatting>
  <conditionalFormatting sqref="J125:J126">
    <cfRule type="containsBlanks" dxfId="8" priority="2219">
      <formula>LEN(TRIM(J125))=0</formula>
    </cfRule>
  </conditionalFormatting>
  <conditionalFormatting sqref="J125:J126">
    <cfRule type="containsBlanks" dxfId="10" priority="2220">
      <formula>LEN(TRIM(J125))=0</formula>
    </cfRule>
  </conditionalFormatting>
  <conditionalFormatting sqref="B125:B126">
    <cfRule type="expression" dxfId="0" priority="2221">
      <formula>isblank(J:J)</formula>
    </cfRule>
  </conditionalFormatting>
  <conditionalFormatting sqref="A125:A126">
    <cfRule type="expression" dxfId="0" priority="2222">
      <formula>isblank(J:J)</formula>
    </cfRule>
  </conditionalFormatting>
  <conditionalFormatting sqref="E109:E112">
    <cfRule type="containsText" dxfId="1" priority="2223" operator="containsText" text="Lapsed">
      <formula>NOT(ISERROR(SEARCH(("Lapsed"),(E109))))</formula>
    </cfRule>
  </conditionalFormatting>
  <conditionalFormatting sqref="E109:E112">
    <cfRule type="containsText" dxfId="2" priority="2224" operator="containsText" text="Active">
      <formula>NOT(ISERROR(SEARCH(("Active"),(E109))))</formula>
    </cfRule>
  </conditionalFormatting>
  <conditionalFormatting sqref="D109:D112">
    <cfRule type="containsText" dxfId="3" priority="2225" operator="containsText" text="Youth">
      <formula>NOT(ISERROR(SEARCH(("Youth"),(D109))))</formula>
    </cfRule>
  </conditionalFormatting>
  <conditionalFormatting sqref="L109:L111 J110:J112">
    <cfRule type="containsBlanks" dxfId="8" priority="2226">
      <formula>LEN(TRIM(L109))=0</formula>
    </cfRule>
  </conditionalFormatting>
  <conditionalFormatting sqref="L109:L111 J110:J112">
    <cfRule type="containsBlanks" dxfId="10" priority="2227">
      <formula>LEN(TRIM(L109))=0</formula>
    </cfRule>
  </conditionalFormatting>
  <conditionalFormatting sqref="B124">
    <cfRule type="expression" dxfId="0" priority="2228">
      <formula>isblank(J:J)</formula>
    </cfRule>
  </conditionalFormatting>
  <conditionalFormatting sqref="A124">
    <cfRule type="expression" dxfId="0" priority="2229">
      <formula>isblank(J:J)</formula>
    </cfRule>
  </conditionalFormatting>
  <conditionalFormatting sqref="E123">
    <cfRule type="containsText" dxfId="1" priority="2230" operator="containsText" text="Lapsed">
      <formula>NOT(ISERROR(SEARCH(("Lapsed"),(E123))))</formula>
    </cfRule>
  </conditionalFormatting>
  <conditionalFormatting sqref="E123">
    <cfRule type="containsText" dxfId="2" priority="2231" operator="containsText" text="Active">
      <formula>NOT(ISERROR(SEARCH(("Active"),(E123))))</formula>
    </cfRule>
  </conditionalFormatting>
  <conditionalFormatting sqref="D123">
    <cfRule type="containsText" dxfId="3" priority="2232" operator="containsText" text="Youth">
      <formula>NOT(ISERROR(SEARCH(("Youth"),(D123))))</formula>
    </cfRule>
  </conditionalFormatting>
  <conditionalFormatting sqref="J123">
    <cfRule type="containsBlanks" dxfId="8" priority="2233">
      <formula>LEN(TRIM(J123))=0</formula>
    </cfRule>
  </conditionalFormatting>
  <conditionalFormatting sqref="J123">
    <cfRule type="containsBlanks" dxfId="10" priority="2234">
      <formula>LEN(TRIM(J123))=0</formula>
    </cfRule>
  </conditionalFormatting>
  <conditionalFormatting sqref="B123">
    <cfRule type="expression" dxfId="0" priority="2235">
      <formula>isblank(J:J)</formula>
    </cfRule>
  </conditionalFormatting>
  <conditionalFormatting sqref="A123">
    <cfRule type="expression" dxfId="0" priority="2236">
      <formula>isblank(J:J)</formula>
    </cfRule>
  </conditionalFormatting>
  <conditionalFormatting sqref="E122">
    <cfRule type="containsText" dxfId="1" priority="2237" operator="containsText" text="Lapsed">
      <formula>NOT(ISERROR(SEARCH(("Lapsed"),(E122))))</formula>
    </cfRule>
  </conditionalFormatting>
  <conditionalFormatting sqref="E122">
    <cfRule type="containsText" dxfId="2" priority="2238" operator="containsText" text="Active">
      <formula>NOT(ISERROR(SEARCH(("Active"),(E122))))</formula>
    </cfRule>
  </conditionalFormatting>
  <conditionalFormatting sqref="D122">
    <cfRule type="containsText" dxfId="3" priority="2239" operator="containsText" text="Youth">
      <formula>NOT(ISERROR(SEARCH(("Youth"),(D122))))</formula>
    </cfRule>
  </conditionalFormatting>
  <conditionalFormatting sqref="J122">
    <cfRule type="containsBlanks" dxfId="8" priority="2240">
      <formula>LEN(TRIM(J122))=0</formula>
    </cfRule>
  </conditionalFormatting>
  <conditionalFormatting sqref="J122">
    <cfRule type="containsBlanks" dxfId="10" priority="2241">
      <formula>LEN(TRIM(J122))=0</formula>
    </cfRule>
  </conditionalFormatting>
  <conditionalFormatting sqref="E108">
    <cfRule type="containsText" dxfId="1" priority="2242" operator="containsText" text="Lapsed">
      <formula>NOT(ISERROR(SEARCH(("Lapsed"),(E108))))</formula>
    </cfRule>
  </conditionalFormatting>
  <conditionalFormatting sqref="E108">
    <cfRule type="containsText" dxfId="2" priority="2243" operator="containsText" text="Active">
      <formula>NOT(ISERROR(SEARCH(("Active"),(E108))))</formula>
    </cfRule>
  </conditionalFormatting>
  <conditionalFormatting sqref="D108">
    <cfRule type="containsText" dxfId="3" priority="2244" operator="containsText" text="Youth">
      <formula>NOT(ISERROR(SEARCH(("Youth"),(D108))))</formula>
    </cfRule>
  </conditionalFormatting>
  <conditionalFormatting sqref="J108 L108">
    <cfRule type="containsBlanks" dxfId="8" priority="2245">
      <formula>LEN(TRIM(J108))=0</formula>
    </cfRule>
  </conditionalFormatting>
  <conditionalFormatting sqref="J108 L108">
    <cfRule type="containsBlanks" dxfId="10" priority="2246">
      <formula>LEN(TRIM(J108))=0</formula>
    </cfRule>
  </conditionalFormatting>
  <conditionalFormatting sqref="J121">
    <cfRule type="containsBlanks" dxfId="8" priority="2247">
      <formula>LEN(TRIM(J121))=0</formula>
    </cfRule>
  </conditionalFormatting>
  <conditionalFormatting sqref="J121">
    <cfRule type="containsBlanks" dxfId="10" priority="2248">
      <formula>LEN(TRIM(J121))=0</formula>
    </cfRule>
  </conditionalFormatting>
  <conditionalFormatting sqref="B121">
    <cfRule type="expression" dxfId="0" priority="2249">
      <formula>isblank(J:J)</formula>
    </cfRule>
  </conditionalFormatting>
  <conditionalFormatting sqref="A121">
    <cfRule type="expression" dxfId="0" priority="2250">
      <formula>isblank(J:J)</formula>
    </cfRule>
  </conditionalFormatting>
  <conditionalFormatting sqref="E120">
    <cfRule type="containsText" dxfId="1" priority="2251" operator="containsText" text="Lapsed">
      <formula>NOT(ISERROR(SEARCH(("Lapsed"),(E120))))</formula>
    </cfRule>
  </conditionalFormatting>
  <conditionalFormatting sqref="E120">
    <cfRule type="containsText" dxfId="2" priority="2252" operator="containsText" text="Active">
      <formula>NOT(ISERROR(SEARCH(("Active"),(E120))))</formula>
    </cfRule>
  </conditionalFormatting>
  <conditionalFormatting sqref="D120">
    <cfRule type="containsText" dxfId="3" priority="2253" operator="containsText" text="Youth">
      <formula>NOT(ISERROR(SEARCH(("Youth"),(D120))))</formula>
    </cfRule>
  </conditionalFormatting>
  <conditionalFormatting sqref="E106:E107">
    <cfRule type="containsText" dxfId="1" priority="2254" operator="containsText" text="Lapsed">
      <formula>NOT(ISERROR(SEARCH(("Lapsed"),(E106))))</formula>
    </cfRule>
  </conditionalFormatting>
  <conditionalFormatting sqref="E106:E107">
    <cfRule type="containsText" dxfId="2" priority="2255" operator="containsText" text="Active">
      <formula>NOT(ISERROR(SEARCH(("Active"),(E106))))</formula>
    </cfRule>
  </conditionalFormatting>
  <conditionalFormatting sqref="D106:D107">
    <cfRule type="containsText" dxfId="3" priority="2256" operator="containsText" text="Youth">
      <formula>NOT(ISERROR(SEARCH(("Youth"),(D106))))</formula>
    </cfRule>
  </conditionalFormatting>
  <conditionalFormatting sqref="J106:J107 L106:L107">
    <cfRule type="containsBlanks" dxfId="8" priority="2257">
      <formula>LEN(TRIM(J106))=0</formula>
    </cfRule>
  </conditionalFormatting>
  <conditionalFormatting sqref="J106:J107 L106:L107">
    <cfRule type="containsBlanks" dxfId="10" priority="2258">
      <formula>LEN(TRIM(J106))=0</formula>
    </cfRule>
  </conditionalFormatting>
  <conditionalFormatting sqref="E105:E107">
    <cfRule type="containsText" dxfId="1" priority="2259" operator="containsText" text="Lapsed">
      <formula>NOT(ISERROR(SEARCH(("Lapsed"),(E105))))</formula>
    </cfRule>
  </conditionalFormatting>
  <conditionalFormatting sqref="E105:E107">
    <cfRule type="containsText" dxfId="2" priority="2260" operator="containsText" text="Active">
      <formula>NOT(ISERROR(SEARCH(("Active"),(E105))))</formula>
    </cfRule>
  </conditionalFormatting>
  <conditionalFormatting sqref="D105:D107">
    <cfRule type="containsText" dxfId="3" priority="2261" operator="containsText" text="Youth">
      <formula>NOT(ISERROR(SEARCH(("Youth"),(D105))))</formula>
    </cfRule>
  </conditionalFormatting>
  <conditionalFormatting sqref="L105:L106 J106:J107">
    <cfRule type="containsBlanks" dxfId="8" priority="2262">
      <formula>LEN(TRIM(L105))=0</formula>
    </cfRule>
  </conditionalFormatting>
  <conditionalFormatting sqref="L105:L106 J106:J107">
    <cfRule type="containsBlanks" dxfId="10" priority="2263">
      <formula>LEN(TRIM(L105))=0</formula>
    </cfRule>
  </conditionalFormatting>
  <conditionalFormatting sqref="A119">
    <cfRule type="expression" dxfId="0" priority="2264">
      <formula>isblank(J:J)</formula>
    </cfRule>
  </conditionalFormatting>
  <conditionalFormatting sqref="E118">
    <cfRule type="containsText" dxfId="1" priority="2265" operator="containsText" text="Lapsed">
      <formula>NOT(ISERROR(SEARCH(("Lapsed"),(E118))))</formula>
    </cfRule>
  </conditionalFormatting>
  <conditionalFormatting sqref="E118">
    <cfRule type="containsText" dxfId="2" priority="2266" operator="containsText" text="Active">
      <formula>NOT(ISERROR(SEARCH(("Active"),(E118))))</formula>
    </cfRule>
  </conditionalFormatting>
  <conditionalFormatting sqref="D118">
    <cfRule type="containsText" dxfId="3" priority="2267" operator="containsText" text="Youth">
      <formula>NOT(ISERROR(SEARCH(("Youth"),(D118))))</formula>
    </cfRule>
  </conditionalFormatting>
  <conditionalFormatting sqref="J118">
    <cfRule type="containsBlanks" dxfId="8" priority="2268">
      <formula>LEN(TRIM(J118))=0</formula>
    </cfRule>
  </conditionalFormatting>
  <conditionalFormatting sqref="J118">
    <cfRule type="containsBlanks" dxfId="10" priority="2269">
      <formula>LEN(TRIM(J118))=0</formula>
    </cfRule>
  </conditionalFormatting>
  <conditionalFormatting sqref="B118">
    <cfRule type="expression" dxfId="0" priority="2270">
      <formula>isblank(J:J)</formula>
    </cfRule>
  </conditionalFormatting>
  <conditionalFormatting sqref="A118">
    <cfRule type="expression" dxfId="0" priority="2271">
      <formula>isblank(J:J)</formula>
    </cfRule>
  </conditionalFormatting>
  <conditionalFormatting sqref="E116:E117">
    <cfRule type="containsText" dxfId="1" priority="2272" operator="containsText" text="Lapsed">
      <formula>NOT(ISERROR(SEARCH(("Lapsed"),(E116))))</formula>
    </cfRule>
  </conditionalFormatting>
  <conditionalFormatting sqref="E116:E117">
    <cfRule type="containsText" dxfId="2" priority="2273" operator="containsText" text="Active">
      <formula>NOT(ISERROR(SEARCH(("Active"),(E116))))</formula>
    </cfRule>
  </conditionalFormatting>
  <conditionalFormatting sqref="D116:D117">
    <cfRule type="containsText" dxfId="3" priority="2274" operator="containsText" text="Youth">
      <formula>NOT(ISERROR(SEARCH(("Youth"),(D116))))</formula>
    </cfRule>
  </conditionalFormatting>
  <conditionalFormatting sqref="J116:J117">
    <cfRule type="containsBlanks" dxfId="8" priority="2275">
      <formula>LEN(TRIM(J116))=0</formula>
    </cfRule>
  </conditionalFormatting>
  <conditionalFormatting sqref="J116:J117">
    <cfRule type="containsBlanks" dxfId="10" priority="2276">
      <formula>LEN(TRIM(J116))=0</formula>
    </cfRule>
  </conditionalFormatting>
  <conditionalFormatting sqref="B116:B117">
    <cfRule type="expression" dxfId="0" priority="2277">
      <formula>isblank(J:J)</formula>
    </cfRule>
  </conditionalFormatting>
  <conditionalFormatting sqref="E104">
    <cfRule type="containsText" dxfId="1" priority="2278" operator="containsText" text="Lapsed">
      <formula>NOT(ISERROR(SEARCH(("Lapsed"),(E104))))</formula>
    </cfRule>
  </conditionalFormatting>
  <conditionalFormatting sqref="E104">
    <cfRule type="containsText" dxfId="2" priority="2279" operator="containsText" text="Active">
      <formula>NOT(ISERROR(SEARCH(("Active"),(E104))))</formula>
    </cfRule>
  </conditionalFormatting>
  <conditionalFormatting sqref="D104">
    <cfRule type="containsText" dxfId="3" priority="2280" operator="containsText" text="Youth">
      <formula>NOT(ISERROR(SEARCH(("Youth"),(D104))))</formula>
    </cfRule>
  </conditionalFormatting>
  <conditionalFormatting sqref="J104 L104">
    <cfRule type="containsBlanks" dxfId="8" priority="2281">
      <formula>LEN(TRIM(J104))=0</formula>
    </cfRule>
  </conditionalFormatting>
  <conditionalFormatting sqref="J104 L104">
    <cfRule type="containsBlanks" dxfId="10" priority="2282">
      <formula>LEN(TRIM(J104))=0</formula>
    </cfRule>
  </conditionalFormatting>
  <conditionalFormatting sqref="J115">
    <cfRule type="containsBlanks" dxfId="10" priority="2283">
      <formula>LEN(TRIM(J115))=0</formula>
    </cfRule>
  </conditionalFormatting>
  <conditionalFormatting sqref="B115">
    <cfRule type="expression" dxfId="0" priority="2284">
      <formula>isblank(J:J)</formula>
    </cfRule>
  </conditionalFormatting>
  <conditionalFormatting sqref="A115">
    <cfRule type="expression" dxfId="0" priority="2285">
      <formula>isblank(J:J)</formula>
    </cfRule>
  </conditionalFormatting>
  <conditionalFormatting sqref="E113:E114">
    <cfRule type="containsText" dxfId="1" priority="2286" operator="containsText" text="Lapsed">
      <formula>NOT(ISERROR(SEARCH(("Lapsed"),(E113))))</formula>
    </cfRule>
  </conditionalFormatting>
  <conditionalFormatting sqref="E113:E114">
    <cfRule type="containsText" dxfId="2" priority="2287" operator="containsText" text="Active">
      <formula>NOT(ISERROR(SEARCH(("Active"),(E113))))</formula>
    </cfRule>
  </conditionalFormatting>
  <conditionalFormatting sqref="D113:D114">
    <cfRule type="containsText" dxfId="3" priority="2288" operator="containsText" text="Youth">
      <formula>NOT(ISERROR(SEARCH(("Youth"),(D113))))</formula>
    </cfRule>
  </conditionalFormatting>
  <conditionalFormatting sqref="J113:J114">
    <cfRule type="containsBlanks" dxfId="8" priority="2289">
      <formula>LEN(TRIM(J113))=0</formula>
    </cfRule>
  </conditionalFormatting>
  <conditionalFormatting sqref="E103">
    <cfRule type="containsText" dxfId="1" priority="2290" operator="containsText" text="Lapsed">
      <formula>NOT(ISERROR(SEARCH(("Lapsed"),(E103))))</formula>
    </cfRule>
  </conditionalFormatting>
  <conditionalFormatting sqref="E103">
    <cfRule type="containsText" dxfId="2" priority="2291" operator="containsText" text="Active">
      <formula>NOT(ISERROR(SEARCH(("Active"),(E103))))</formula>
    </cfRule>
  </conditionalFormatting>
  <conditionalFormatting sqref="D103">
    <cfRule type="containsText" dxfId="3" priority="2292" operator="containsText" text="Youth">
      <formula>NOT(ISERROR(SEARCH(("Youth"),(D103))))</formula>
    </cfRule>
  </conditionalFormatting>
  <conditionalFormatting sqref="J103 L103">
    <cfRule type="containsBlanks" dxfId="8" priority="2293">
      <formula>LEN(TRIM(J103))=0</formula>
    </cfRule>
  </conditionalFormatting>
  <conditionalFormatting sqref="J103 L103">
    <cfRule type="containsBlanks" dxfId="10" priority="2294">
      <formula>LEN(TRIM(J103))=0</formula>
    </cfRule>
  </conditionalFormatting>
  <conditionalFormatting sqref="D110:D112">
    <cfRule type="containsText" dxfId="3" priority="2295" operator="containsText" text="Youth">
      <formula>NOT(ISERROR(SEARCH(("Youth"),(D110))))</formula>
    </cfRule>
  </conditionalFormatting>
  <conditionalFormatting sqref="J110:J112">
    <cfRule type="containsBlanks" dxfId="8" priority="2296">
      <formula>LEN(TRIM(J110))=0</formula>
    </cfRule>
  </conditionalFormatting>
  <conditionalFormatting sqref="J110:J112">
    <cfRule type="containsBlanks" dxfId="10" priority="2297">
      <formula>LEN(TRIM(J110))=0</formula>
    </cfRule>
  </conditionalFormatting>
  <conditionalFormatting sqref="B110:B112">
    <cfRule type="expression" dxfId="0" priority="2298">
      <formula>isblank(J:J)</formula>
    </cfRule>
  </conditionalFormatting>
  <conditionalFormatting sqref="A110:A112">
    <cfRule type="expression" dxfId="0" priority="2299">
      <formula>isblank(J:J)</formula>
    </cfRule>
  </conditionalFormatting>
  <conditionalFormatting sqref="E109">
    <cfRule type="containsText" dxfId="1" priority="2300" operator="containsText" text="Lapsed">
      <formula>NOT(ISERROR(SEARCH(("Lapsed"),(E109))))</formula>
    </cfRule>
  </conditionalFormatting>
  <conditionalFormatting sqref="E109">
    <cfRule type="containsText" dxfId="2" priority="2301" operator="containsText" text="Active">
      <formula>NOT(ISERROR(SEARCH(("Active"),(E109))))</formula>
    </cfRule>
  </conditionalFormatting>
  <conditionalFormatting sqref="E101:E102">
    <cfRule type="containsText" dxfId="1" priority="2302" operator="containsText" text="Lapsed">
      <formula>NOT(ISERROR(SEARCH(("Lapsed"),(E101))))</formula>
    </cfRule>
  </conditionalFormatting>
  <conditionalFormatting sqref="E101:E102">
    <cfRule type="containsText" dxfId="2" priority="2303" operator="containsText" text="Active">
      <formula>NOT(ISERROR(SEARCH(("Active"),(E101))))</formula>
    </cfRule>
  </conditionalFormatting>
  <conditionalFormatting sqref="D101:D102">
    <cfRule type="containsText" dxfId="3" priority="2304" operator="containsText" text="Youth">
      <formula>NOT(ISERROR(SEARCH(("Youth"),(D101))))</formula>
    </cfRule>
  </conditionalFormatting>
  <conditionalFormatting sqref="J101:J102 L101:L102">
    <cfRule type="containsBlanks" dxfId="8" priority="2305">
      <formula>LEN(TRIM(J101))=0</formula>
    </cfRule>
  </conditionalFormatting>
  <conditionalFormatting sqref="J101:J102 L101:L102">
    <cfRule type="containsBlanks" dxfId="10" priority="2306">
      <formula>LEN(TRIM(J101))=0</formula>
    </cfRule>
  </conditionalFormatting>
  <conditionalFormatting sqref="E100:E102">
    <cfRule type="containsText" dxfId="1" priority="2307" operator="containsText" text="Lapsed">
      <formula>NOT(ISERROR(SEARCH(("Lapsed"),(E100))))</formula>
    </cfRule>
  </conditionalFormatting>
  <conditionalFormatting sqref="E100:E102">
    <cfRule type="containsText" dxfId="2" priority="2308" operator="containsText" text="Active">
      <formula>NOT(ISERROR(SEARCH(("Active"),(E100))))</formula>
    </cfRule>
  </conditionalFormatting>
  <conditionalFormatting sqref="D100:D102">
    <cfRule type="containsText" dxfId="3" priority="2309" operator="containsText" text="Youth">
      <formula>NOT(ISERROR(SEARCH(("Youth"),(D100))))</formula>
    </cfRule>
  </conditionalFormatting>
  <conditionalFormatting sqref="L100:L101 J101:J102">
    <cfRule type="containsBlanks" dxfId="8" priority="2310">
      <formula>LEN(TRIM(L100))=0</formula>
    </cfRule>
  </conditionalFormatting>
  <conditionalFormatting sqref="L100:L101 J101:J102">
    <cfRule type="containsBlanks" dxfId="10" priority="2311">
      <formula>LEN(TRIM(L100))=0</formula>
    </cfRule>
  </conditionalFormatting>
  <conditionalFormatting sqref="B108">
    <cfRule type="expression" dxfId="0" priority="2312">
      <formula>isblank(J:J)</formula>
    </cfRule>
  </conditionalFormatting>
  <conditionalFormatting sqref="A108">
    <cfRule type="expression" dxfId="0" priority="2313">
      <formula>isblank(J:J)</formula>
    </cfRule>
  </conditionalFormatting>
  <conditionalFormatting sqref="E106:E107">
    <cfRule type="containsText" dxfId="1" priority="2314" operator="containsText" text="Lapsed">
      <formula>NOT(ISERROR(SEARCH(("Lapsed"),(E106))))</formula>
    </cfRule>
  </conditionalFormatting>
  <conditionalFormatting sqref="E106:E107">
    <cfRule type="containsText" dxfId="2" priority="2315" operator="containsText" text="Active">
      <formula>NOT(ISERROR(SEARCH(("Active"),(E106))))</formula>
    </cfRule>
  </conditionalFormatting>
  <conditionalFormatting sqref="D106:D107">
    <cfRule type="containsText" dxfId="3" priority="2316" operator="containsText" text="Youth">
      <formula>NOT(ISERROR(SEARCH(("Youth"),(D106))))</formula>
    </cfRule>
  </conditionalFormatting>
  <conditionalFormatting sqref="J106:J107">
    <cfRule type="containsBlanks" dxfId="8" priority="2317">
      <formula>LEN(TRIM(J106))=0</formula>
    </cfRule>
  </conditionalFormatting>
  <conditionalFormatting sqref="J106:J107">
    <cfRule type="containsBlanks" dxfId="10" priority="2318">
      <formula>LEN(TRIM(J106))=0</formula>
    </cfRule>
  </conditionalFormatting>
  <conditionalFormatting sqref="B106:B107">
    <cfRule type="expression" dxfId="0" priority="2319">
      <formula>isblank(J:J)</formula>
    </cfRule>
  </conditionalFormatting>
  <conditionalFormatting sqref="A106:A107">
    <cfRule type="expression" dxfId="0" priority="2320">
      <formula>isblank(J:J)</formula>
    </cfRule>
  </conditionalFormatting>
  <conditionalFormatting sqref="E105">
    <cfRule type="containsText" dxfId="1" priority="2321" operator="containsText" text="Lapsed">
      <formula>NOT(ISERROR(SEARCH(("Lapsed"),(E105))))</formula>
    </cfRule>
  </conditionalFormatting>
  <conditionalFormatting sqref="E105">
    <cfRule type="containsText" dxfId="2" priority="2322" operator="containsText" text="Active">
      <formula>NOT(ISERROR(SEARCH(("Active"),(E105))))</formula>
    </cfRule>
  </conditionalFormatting>
  <conditionalFormatting sqref="D105">
    <cfRule type="containsText" dxfId="3" priority="2323" operator="containsText" text="Youth">
      <formula>NOT(ISERROR(SEARCH(("Youth"),(D105))))</formula>
    </cfRule>
  </conditionalFormatting>
  <conditionalFormatting sqref="J105">
    <cfRule type="containsBlanks" dxfId="8" priority="2324">
      <formula>LEN(TRIM(J105))=0</formula>
    </cfRule>
  </conditionalFormatting>
  <conditionalFormatting sqref="J105">
    <cfRule type="containsBlanks" dxfId="10" priority="2325">
      <formula>LEN(TRIM(J105))=0</formula>
    </cfRule>
  </conditionalFormatting>
  <conditionalFormatting sqref="E99">
    <cfRule type="containsText" dxfId="1" priority="2326" operator="containsText" text="Lapsed">
      <formula>NOT(ISERROR(SEARCH(("Lapsed"),(E99))))</formula>
    </cfRule>
  </conditionalFormatting>
  <conditionalFormatting sqref="E99">
    <cfRule type="containsText" dxfId="2" priority="2327" operator="containsText" text="Active">
      <formula>NOT(ISERROR(SEARCH(("Active"),(E99))))</formula>
    </cfRule>
  </conditionalFormatting>
  <conditionalFormatting sqref="D99">
    <cfRule type="containsText" dxfId="3" priority="2328" operator="containsText" text="Youth">
      <formula>NOT(ISERROR(SEARCH(("Youth"),(D99))))</formula>
    </cfRule>
  </conditionalFormatting>
  <conditionalFormatting sqref="J99 L99">
    <cfRule type="containsBlanks" dxfId="8" priority="2329">
      <formula>LEN(TRIM(J99))=0</formula>
    </cfRule>
  </conditionalFormatting>
  <conditionalFormatting sqref="J99 L99">
    <cfRule type="containsBlanks" dxfId="10" priority="2330">
      <formula>LEN(TRIM(J99))=0</formula>
    </cfRule>
  </conditionalFormatting>
  <conditionalFormatting sqref="J104">
    <cfRule type="containsBlanks" dxfId="8" priority="2331">
      <formula>LEN(TRIM(J104))=0</formula>
    </cfRule>
  </conditionalFormatting>
  <conditionalFormatting sqref="J104">
    <cfRule type="containsBlanks" dxfId="10" priority="2332">
      <formula>LEN(TRIM(J104))=0</formula>
    </cfRule>
  </conditionalFormatting>
  <conditionalFormatting sqref="B104">
    <cfRule type="expression" dxfId="0" priority="2333">
      <formula>isblank(J:J)</formula>
    </cfRule>
  </conditionalFormatting>
  <conditionalFormatting sqref="A104">
    <cfRule type="expression" dxfId="0" priority="2334">
      <formula>isblank(J:J)</formula>
    </cfRule>
  </conditionalFormatting>
  <conditionalFormatting sqref="E103">
    <cfRule type="containsText" dxfId="1" priority="2335" operator="containsText" text="Lapsed">
      <formula>NOT(ISERROR(SEARCH(("Lapsed"),(E103))))</formula>
    </cfRule>
  </conditionalFormatting>
  <conditionalFormatting sqref="E103">
    <cfRule type="containsText" dxfId="2" priority="2336" operator="containsText" text="Active">
      <formula>NOT(ISERROR(SEARCH(("Active"),(E103))))</formula>
    </cfRule>
  </conditionalFormatting>
  <conditionalFormatting sqref="D103">
    <cfRule type="containsText" dxfId="3" priority="2337" operator="containsText" text="Youth">
      <formula>NOT(ISERROR(SEARCH(("Youth"),(D103))))</formula>
    </cfRule>
  </conditionalFormatting>
  <conditionalFormatting sqref="E98">
    <cfRule type="containsText" dxfId="1" priority="2338" operator="containsText" text="Lapsed">
      <formula>NOT(ISERROR(SEARCH(("Lapsed"),(E98))))</formula>
    </cfRule>
  </conditionalFormatting>
  <conditionalFormatting sqref="E98">
    <cfRule type="containsText" dxfId="2" priority="2339" operator="containsText" text="Active">
      <formula>NOT(ISERROR(SEARCH(("Active"),(E98))))</formula>
    </cfRule>
  </conditionalFormatting>
  <conditionalFormatting sqref="D98">
    <cfRule type="containsText" dxfId="3" priority="2340" operator="containsText" text="Youth">
      <formula>NOT(ISERROR(SEARCH(("Youth"),(D98))))</formula>
    </cfRule>
  </conditionalFormatting>
  <conditionalFormatting sqref="J98 L98">
    <cfRule type="containsBlanks" dxfId="8" priority="2341">
      <formula>LEN(TRIM(J98))=0</formula>
    </cfRule>
  </conditionalFormatting>
  <conditionalFormatting sqref="J98 L98">
    <cfRule type="containsBlanks" dxfId="10" priority="2342">
      <formula>LEN(TRIM(J98))=0</formula>
    </cfRule>
  </conditionalFormatting>
  <conditionalFormatting sqref="E101:E102">
    <cfRule type="containsText" dxfId="2" priority="2343" operator="containsText" text="Active">
      <formula>NOT(ISERROR(SEARCH(("Active"),(E101))))</formula>
    </cfRule>
  </conditionalFormatting>
  <conditionalFormatting sqref="D101:D102">
    <cfRule type="containsText" dxfId="3" priority="2344" operator="containsText" text="Youth">
      <formula>NOT(ISERROR(SEARCH(("Youth"),(D101))))</formula>
    </cfRule>
  </conditionalFormatting>
  <conditionalFormatting sqref="J101:J102">
    <cfRule type="containsBlanks" dxfId="8" priority="2345">
      <formula>LEN(TRIM(J101))=0</formula>
    </cfRule>
  </conditionalFormatting>
  <conditionalFormatting sqref="J101:J102">
    <cfRule type="containsBlanks" dxfId="10" priority="2346">
      <formula>LEN(TRIM(J101))=0</formula>
    </cfRule>
  </conditionalFormatting>
  <conditionalFormatting sqref="B101:B102">
    <cfRule type="expression" dxfId="0" priority="2347">
      <formula>isblank(J:J)</formula>
    </cfRule>
  </conditionalFormatting>
  <conditionalFormatting sqref="A101:A102">
    <cfRule type="expression" dxfId="0" priority="2348">
      <formula>isblank(J:J)</formula>
    </cfRule>
  </conditionalFormatting>
  <conditionalFormatting sqref="E100">
    <cfRule type="containsText" dxfId="1" priority="2349" operator="containsText" text="Lapsed">
      <formula>NOT(ISERROR(SEARCH(("Lapsed"),(E100))))</formula>
    </cfRule>
  </conditionalFormatting>
  <conditionalFormatting sqref="E97">
    <cfRule type="containsText" dxfId="1" priority="2350" operator="containsText" text="Lapsed">
      <formula>NOT(ISERROR(SEARCH(("Lapsed"),(E97))))</formula>
    </cfRule>
  </conditionalFormatting>
  <conditionalFormatting sqref="E97">
    <cfRule type="containsText" dxfId="2" priority="2351" operator="containsText" text="Active">
      <formula>NOT(ISERROR(SEARCH(("Active"),(E97))))</formula>
    </cfRule>
  </conditionalFormatting>
  <conditionalFormatting sqref="D97">
    <cfRule type="containsText" dxfId="3" priority="2352" operator="containsText" text="Youth">
      <formula>NOT(ISERROR(SEARCH(("Youth"),(D97))))</formula>
    </cfRule>
  </conditionalFormatting>
  <conditionalFormatting sqref="J97 L97">
    <cfRule type="containsBlanks" dxfId="8" priority="2353">
      <formula>LEN(TRIM(J97))=0</formula>
    </cfRule>
  </conditionalFormatting>
  <conditionalFormatting sqref="J97 L97">
    <cfRule type="containsBlanks" dxfId="10" priority="2354">
      <formula>LEN(TRIM(J97))=0</formula>
    </cfRule>
  </conditionalFormatting>
  <conditionalFormatting sqref="A100">
    <cfRule type="expression" dxfId="0" priority="2355">
      <formula>isblank(J:J)</formula>
    </cfRule>
  </conditionalFormatting>
  <conditionalFormatting sqref="E99">
    <cfRule type="containsText" dxfId="1" priority="2356" operator="containsText" text="Lapsed">
      <formula>NOT(ISERROR(SEARCH(("Lapsed"),(E99))))</formula>
    </cfRule>
  </conditionalFormatting>
  <conditionalFormatting sqref="E99">
    <cfRule type="containsText" dxfId="2" priority="2357" operator="containsText" text="Active">
      <formula>NOT(ISERROR(SEARCH(("Active"),(E99))))</formula>
    </cfRule>
  </conditionalFormatting>
  <conditionalFormatting sqref="D99">
    <cfRule type="containsText" dxfId="3" priority="2358" operator="containsText" text="Youth">
      <formula>NOT(ISERROR(SEARCH(("Youth"),(D99))))</formula>
    </cfRule>
  </conditionalFormatting>
  <conditionalFormatting sqref="J99">
    <cfRule type="containsBlanks" dxfId="8" priority="2359">
      <formula>LEN(TRIM(J99))=0</formula>
    </cfRule>
  </conditionalFormatting>
  <conditionalFormatting sqref="J99">
    <cfRule type="containsBlanks" dxfId="10" priority="2360">
      <formula>LEN(TRIM(J99))=0</formula>
    </cfRule>
  </conditionalFormatting>
  <conditionalFormatting sqref="B99">
    <cfRule type="expression" dxfId="0" priority="2361">
      <formula>isblank(J:J)</formula>
    </cfRule>
  </conditionalFormatting>
  <conditionalFormatting sqref="E95:E96">
    <cfRule type="containsText" dxfId="1" priority="2362" operator="containsText" text="Lapsed">
      <formula>NOT(ISERROR(SEARCH(("Lapsed"),(E95))))</formula>
    </cfRule>
  </conditionalFormatting>
  <conditionalFormatting sqref="E95:E96">
    <cfRule type="containsText" dxfId="2" priority="2363" operator="containsText" text="Active">
      <formula>NOT(ISERROR(SEARCH(("Active"),(E95))))</formula>
    </cfRule>
  </conditionalFormatting>
  <conditionalFormatting sqref="D95:D96">
    <cfRule type="containsText" dxfId="3" priority="2364" operator="containsText" text="Youth">
      <formula>NOT(ISERROR(SEARCH(("Youth"),(D95))))</formula>
    </cfRule>
  </conditionalFormatting>
  <conditionalFormatting sqref="J95:J96 L95:L96">
    <cfRule type="containsBlanks" dxfId="8" priority="2365">
      <formula>LEN(TRIM(J95))=0</formula>
    </cfRule>
  </conditionalFormatting>
  <conditionalFormatting sqref="J95:J96 L95:L96">
    <cfRule type="containsBlanks" dxfId="10" priority="2366">
      <formula>LEN(TRIM(J95))=0</formula>
    </cfRule>
  </conditionalFormatting>
  <conditionalFormatting sqref="E93:E96">
    <cfRule type="containsText" dxfId="1" priority="2367" operator="containsText" text="Lapsed">
      <formula>NOT(ISERROR(SEARCH(("Lapsed"),(E93))))</formula>
    </cfRule>
  </conditionalFormatting>
  <conditionalFormatting sqref="E93:E96">
    <cfRule type="containsText" dxfId="2" priority="2368" operator="containsText" text="Active">
      <formula>NOT(ISERROR(SEARCH(("Active"),(E93))))</formula>
    </cfRule>
  </conditionalFormatting>
  <conditionalFormatting sqref="D93:D96">
    <cfRule type="containsText" dxfId="3" priority="2369" operator="containsText" text="Youth">
      <formula>NOT(ISERROR(SEARCH(("Youth"),(D93))))</formula>
    </cfRule>
  </conditionalFormatting>
  <conditionalFormatting sqref="L93:L95 J95:J96">
    <cfRule type="containsBlanks" dxfId="8" priority="2370">
      <formula>LEN(TRIM(L93))=0</formula>
    </cfRule>
  </conditionalFormatting>
  <conditionalFormatting sqref="L93:L95 J95:J96">
    <cfRule type="containsBlanks" dxfId="10" priority="2371">
      <formula>LEN(TRIM(L93))=0</formula>
    </cfRule>
  </conditionalFormatting>
  <conditionalFormatting sqref="D97">
    <cfRule type="containsText" dxfId="3" priority="2372" operator="containsText" text="Youth">
      <formula>NOT(ISERROR(SEARCH(("Youth"),(D97))))</formula>
    </cfRule>
  </conditionalFormatting>
  <conditionalFormatting sqref="J97">
    <cfRule type="containsBlanks" dxfId="8" priority="2373">
      <formula>LEN(TRIM(J97))=0</formula>
    </cfRule>
  </conditionalFormatting>
  <conditionalFormatting sqref="J97">
    <cfRule type="containsBlanks" dxfId="10" priority="2374">
      <formula>LEN(TRIM(J97))=0</formula>
    </cfRule>
  </conditionalFormatting>
  <conditionalFormatting sqref="B97">
    <cfRule type="expression" dxfId="0" priority="2375">
      <formula>isblank(J:J)</formula>
    </cfRule>
  </conditionalFormatting>
  <conditionalFormatting sqref="A97">
    <cfRule type="expression" dxfId="0" priority="2376">
      <formula>isblank(J:J)</formula>
    </cfRule>
  </conditionalFormatting>
  <conditionalFormatting sqref="E95:E96">
    <cfRule type="containsText" dxfId="1" priority="2377" operator="containsText" text="Lapsed">
      <formula>NOT(ISERROR(SEARCH(("Lapsed"),(E95))))</formula>
    </cfRule>
  </conditionalFormatting>
  <conditionalFormatting sqref="E95:E96">
    <cfRule type="containsText" dxfId="2" priority="2378" operator="containsText" text="Active">
      <formula>NOT(ISERROR(SEARCH(("Active"),(E95))))</formula>
    </cfRule>
  </conditionalFormatting>
  <conditionalFormatting sqref="E2:E94">
    <cfRule type="containsText" dxfId="1" priority="2379" operator="containsText" text="Lapsed">
      <formula>NOT(ISERROR(SEARCH(("Lapsed"),(E2))))</formula>
    </cfRule>
  </conditionalFormatting>
  <conditionalFormatting sqref="E2:E94">
    <cfRule type="containsText" dxfId="2" priority="2380" operator="containsText" text="Active">
      <formula>NOT(ISERROR(SEARCH(("Active"),(E2))))</formula>
    </cfRule>
  </conditionalFormatting>
  <conditionalFormatting sqref="D2:D94">
    <cfRule type="containsText" dxfId="3" priority="2381" operator="containsText" text="Youth">
      <formula>NOT(ISERROR(SEARCH(("Youth"),(D2))))</formula>
    </cfRule>
  </conditionalFormatting>
  <conditionalFormatting sqref="L2:L93 J93:J94">
    <cfRule type="containsBlanks" dxfId="8" priority="2382">
      <formula>LEN(TRIM(L2))=0</formula>
    </cfRule>
  </conditionalFormatting>
  <conditionalFormatting sqref="L2:L93 J93:J94">
    <cfRule type="containsBlanks" dxfId="10" priority="2383">
      <formula>LEN(TRIM(L2))=0</formula>
    </cfRule>
  </conditionalFormatting>
  <conditionalFormatting sqref="E93:E94">
    <cfRule type="containsText" dxfId="1" priority="2384" operator="containsText" text="Lapsed">
      <formula>NOT(ISERROR(SEARCH(("Lapsed"),(E93))))</formula>
    </cfRule>
  </conditionalFormatting>
  <conditionalFormatting sqref="E93:E94">
    <cfRule type="containsText" dxfId="2" priority="2385" operator="containsText" text="Active">
      <formula>NOT(ISERROR(SEARCH(("Active"),(E93))))</formula>
    </cfRule>
  </conditionalFormatting>
  <conditionalFormatting sqref="D93:D94">
    <cfRule type="containsText" dxfId="3" priority="2386" operator="containsText" text="Youth">
      <formula>NOT(ISERROR(SEARCH(("Youth"),(D93))))</formula>
    </cfRule>
  </conditionalFormatting>
  <conditionalFormatting sqref="J93:J94">
    <cfRule type="containsBlanks" dxfId="8" priority="2387">
      <formula>LEN(TRIM(J93))=0</formula>
    </cfRule>
  </conditionalFormatting>
  <conditionalFormatting sqref="J93:J94">
    <cfRule type="containsBlanks" dxfId="10" priority="2388">
      <formula>LEN(TRIM(J93))=0</formula>
    </cfRule>
  </conditionalFormatting>
  <conditionalFormatting sqref="B93:B94">
    <cfRule type="expression" dxfId="0" priority="2389">
      <formula>isblank(J:J)</formula>
    </cfRule>
  </conditionalFormatting>
  <conditionalFormatting sqref="A93:A94">
    <cfRule type="expression" dxfId="0" priority="2390">
      <formula>isblank(J:J)</formula>
    </cfRule>
  </conditionalFormatting>
  <conditionalFormatting sqref="E1:E92">
    <cfRule type="containsText" dxfId="1" priority="2391" operator="containsText" text="Lapsed">
      <formula>NOT(ISERROR(SEARCH(("Lapsed"),(E1))))</formula>
    </cfRule>
  </conditionalFormatting>
  <conditionalFormatting sqref="E1:E92">
    <cfRule type="containsText" dxfId="2" priority="2392" operator="containsText" text="Active">
      <formula>NOT(ISERROR(SEARCH(("Active"),(E1))))</formula>
    </cfRule>
  </conditionalFormatting>
  <conditionalFormatting sqref="D1:D92">
    <cfRule type="containsText" dxfId="3" priority="2393" operator="containsText" text="Youth">
      <formula>NOT(ISERROR(SEARCH(("Youth"),(D1))))</formula>
    </cfRule>
  </conditionalFormatting>
  <conditionalFormatting sqref="L1:L91 J2:J92">
    <cfRule type="containsBlanks" dxfId="8" priority="2394">
      <formula>LEN(TRIM(L1))=0</formula>
    </cfRule>
  </conditionalFormatting>
  <conditionalFormatting sqref="L1:L91 J2:J92">
    <cfRule type="containsBlanks" dxfId="10" priority="2395">
      <formula>LEN(TRIM(L1))=0</formula>
    </cfRule>
  </conditionalFormatting>
  <conditionalFormatting sqref="B2:B92">
    <cfRule type="expression" dxfId="0" priority="2396">
      <formula>isblank(J:J)</formula>
    </cfRule>
  </conditionalFormatting>
  <conditionalFormatting sqref="A2:A92">
    <cfRule type="expression" dxfId="0" priority="2397">
      <formula>isblank(J:J)</formula>
    </cfRule>
  </conditionalFormatting>
  <conditionalFormatting sqref="E1">
    <cfRule type="containsText" dxfId="1" priority="2398" operator="containsText" text="Lapsed">
      <formula>NOT(ISERROR(SEARCH(("Lapsed"),(E1))))</formula>
    </cfRule>
  </conditionalFormatting>
  <conditionalFormatting sqref="E1">
    <cfRule type="containsText" dxfId="2" priority="2399" operator="containsText" text="Active">
      <formula>NOT(ISERROR(SEARCH(("Active"),(E1))))</formula>
    </cfRule>
  </conditionalFormatting>
  <conditionalFormatting sqref="D1">
    <cfRule type="containsText" dxfId="3" priority="2400" operator="containsText" text="Youth">
      <formula>NOT(ISERROR(SEARCH(("Youth"),(D1))))</formula>
    </cfRule>
  </conditionalFormatting>
  <conditionalFormatting sqref="J1">
    <cfRule type="containsBlanks" dxfId="8" priority="2401">
      <formula>LEN(TRIM(J1))=0</formula>
    </cfRule>
  </conditionalFormatting>
  <conditionalFormatting sqref="J1">
    <cfRule type="containsBlanks" dxfId="10" priority="2402">
      <formula>LEN(TRIM(J1))=0</formula>
    </cfRule>
  </conditionalFormatting>
  <conditionalFormatting sqref="B1">
    <cfRule type="expression" dxfId="0" priority="2403">
      <formula>isblank(J:J)</formula>
    </cfRule>
  </conditionalFormatting>
  <conditionalFormatting sqref="A1">
    <cfRule type="expression" dxfId="0" priority="2404">
      <formula>isblank(J:J)</formula>
    </cfRule>
  </conditionalFormatting>
  <hyperlinks>
    <hyperlink r:id="rId2" ref="L2"/>
    <hyperlink r:id="rId3" ref="J77"/>
    <hyperlink r:id="rId4" ref="L77"/>
    <hyperlink r:id="rId5" ref="J100"/>
    <hyperlink r:id="rId6" ref="L100"/>
    <hyperlink r:id="rId7" ref="L113"/>
    <hyperlink r:id="rId8" ref="J114"/>
    <hyperlink r:id="rId9" ref="L114"/>
    <hyperlink r:id="rId10" ref="L115"/>
    <hyperlink r:id="rId11" ref="L131"/>
    <hyperlink r:id="rId12" ref="L132"/>
    <hyperlink r:id="rId13" ref="L144"/>
    <hyperlink r:id="rId14" ref="L145"/>
    <hyperlink r:id="rId15" ref="L146"/>
    <hyperlink r:id="rId16" ref="L147"/>
    <hyperlink r:id="rId17" ref="L148"/>
    <hyperlink r:id="rId18" ref="L150"/>
    <hyperlink r:id="rId19" ref="J151"/>
    <hyperlink r:id="rId20" ref="L151"/>
    <hyperlink r:id="rId21" ref="J152"/>
    <hyperlink r:id="rId22" ref="L152"/>
    <hyperlink r:id="rId23" ref="J153"/>
    <hyperlink r:id="rId24" ref="J154"/>
    <hyperlink r:id="rId25" ref="J155"/>
    <hyperlink r:id="rId26" ref="L155"/>
    <hyperlink r:id="rId27" ref="J156"/>
    <hyperlink r:id="rId28" ref="L156"/>
    <hyperlink r:id="rId29" ref="J158"/>
    <hyperlink r:id="rId30" ref="L158"/>
    <hyperlink r:id="rId31" ref="J159"/>
    <hyperlink r:id="rId32" ref="L159"/>
    <hyperlink r:id="rId33" ref="J160"/>
    <hyperlink r:id="rId34" ref="L160"/>
    <hyperlink r:id="rId35" ref="J161"/>
    <hyperlink r:id="rId36" ref="L161"/>
    <hyperlink r:id="rId37" ref="J162"/>
    <hyperlink r:id="rId38" ref="L162"/>
    <hyperlink r:id="rId39" ref="J163"/>
    <hyperlink r:id="rId40" ref="L163"/>
    <hyperlink r:id="rId41" ref="J164"/>
    <hyperlink r:id="rId42" ref="L164"/>
    <hyperlink r:id="rId43" ref="J165"/>
    <hyperlink r:id="rId44" ref="L165"/>
    <hyperlink r:id="rId45" ref="J166"/>
    <hyperlink r:id="rId46" ref="L166"/>
    <hyperlink r:id="rId47" ref="J167"/>
    <hyperlink r:id="rId48" ref="L167"/>
    <hyperlink r:id="rId49" ref="J168"/>
    <hyperlink r:id="rId50" ref="L168"/>
    <hyperlink r:id="rId51" ref="J169"/>
    <hyperlink r:id="rId52" ref="L169"/>
    <hyperlink r:id="rId53" ref="J170"/>
    <hyperlink r:id="rId54" ref="L170"/>
    <hyperlink r:id="rId55" ref="J171"/>
    <hyperlink r:id="rId56" ref="L171"/>
    <hyperlink r:id="rId57" ref="J172"/>
    <hyperlink r:id="rId58" ref="L172"/>
    <hyperlink r:id="rId59" ref="J173"/>
    <hyperlink r:id="rId60" ref="L173"/>
    <hyperlink r:id="rId61" ref="J174"/>
    <hyperlink r:id="rId62" ref="L174"/>
    <hyperlink r:id="rId63" ref="J176"/>
    <hyperlink r:id="rId64" ref="J177"/>
    <hyperlink r:id="rId65" ref="L177"/>
    <hyperlink r:id="rId66" ref="J178"/>
    <hyperlink r:id="rId67" ref="L178"/>
    <hyperlink r:id="rId68" ref="J179"/>
    <hyperlink r:id="rId69" ref="L179"/>
    <hyperlink r:id="rId70" ref="J180"/>
    <hyperlink r:id="rId71" ref="L180"/>
    <hyperlink r:id="rId72" ref="J181"/>
    <hyperlink r:id="rId73" ref="L181"/>
    <hyperlink r:id="rId74" ref="J182"/>
    <hyperlink r:id="rId75" ref="J183"/>
    <hyperlink r:id="rId76" ref="L183"/>
    <hyperlink r:id="rId77" ref="J184"/>
    <hyperlink r:id="rId78" ref="L184"/>
    <hyperlink r:id="rId79" ref="J185"/>
    <hyperlink r:id="rId80" ref="L185"/>
    <hyperlink r:id="rId81" ref="J187"/>
    <hyperlink r:id="rId82" ref="L187"/>
    <hyperlink r:id="rId83" ref="J188"/>
    <hyperlink r:id="rId84" ref="L188"/>
    <hyperlink r:id="rId85" ref="J189"/>
    <hyperlink r:id="rId86" ref="L189"/>
    <hyperlink r:id="rId87" ref="J190"/>
    <hyperlink r:id="rId88" ref="L190"/>
    <hyperlink r:id="rId89" ref="J191"/>
    <hyperlink r:id="rId90" ref="L191"/>
    <hyperlink r:id="rId91" ref="J192"/>
    <hyperlink r:id="rId92" ref="L192"/>
    <hyperlink r:id="rId93" ref="J194"/>
    <hyperlink r:id="rId94" ref="L194"/>
    <hyperlink r:id="rId95" ref="J195"/>
    <hyperlink r:id="rId96" ref="L195"/>
    <hyperlink r:id="rId97" ref="J196"/>
    <hyperlink r:id="rId98" ref="L196"/>
    <hyperlink r:id="rId99" ref="J197"/>
    <hyperlink r:id="rId100" ref="L197"/>
    <hyperlink r:id="rId101" ref="J198"/>
    <hyperlink r:id="rId102" ref="L198"/>
    <hyperlink r:id="rId103" ref="J199"/>
    <hyperlink r:id="rId104" ref="L199"/>
    <hyperlink r:id="rId105" ref="J200"/>
    <hyperlink r:id="rId106" ref="L200"/>
    <hyperlink r:id="rId107" ref="J201"/>
    <hyperlink r:id="rId108" ref="L201"/>
    <hyperlink r:id="rId109" ref="J202"/>
    <hyperlink r:id="rId110" ref="L202"/>
    <hyperlink r:id="rId111" ref="J203"/>
    <hyperlink r:id="rId112" ref="L203"/>
    <hyperlink r:id="rId113" ref="J204"/>
    <hyperlink r:id="rId114" ref="L204"/>
    <hyperlink r:id="rId115" ref="J205"/>
    <hyperlink r:id="rId116" ref="L205"/>
    <hyperlink r:id="rId117" ref="J206"/>
    <hyperlink r:id="rId118" ref="L206"/>
    <hyperlink r:id="rId119" ref="J207"/>
    <hyperlink r:id="rId120" ref="L207"/>
    <hyperlink r:id="rId121" ref="J208"/>
    <hyperlink r:id="rId122" ref="L208"/>
    <hyperlink r:id="rId123" ref="J209"/>
    <hyperlink r:id="rId124" ref="L209"/>
    <hyperlink r:id="rId125" ref="J210"/>
    <hyperlink r:id="rId126" ref="L210"/>
    <hyperlink r:id="rId127" ref="J211"/>
    <hyperlink r:id="rId128" ref="L211"/>
    <hyperlink r:id="rId129" ref="J212"/>
    <hyperlink r:id="rId130" ref="L212"/>
    <hyperlink r:id="rId131" ref="J213"/>
    <hyperlink r:id="rId132" ref="L213"/>
    <hyperlink r:id="rId133" ref="J214"/>
    <hyperlink r:id="rId134" ref="L214"/>
  </hyperlinks>
  <drawing r:id="rId135"/>
  <legacyDrawing r:id="rId13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2" t="s">
        <v>3545</v>
      </c>
      <c r="B1" s="282" t="s">
        <v>3546</v>
      </c>
    </row>
    <row r="2">
      <c r="A2" s="191" t="s">
        <v>3547</v>
      </c>
      <c r="B2" s="191" t="s">
        <v>3548</v>
      </c>
    </row>
    <row r="3">
      <c r="A3" s="191" t="s">
        <v>3549</v>
      </c>
      <c r="B3" s="191" t="s">
        <v>3550</v>
      </c>
    </row>
    <row r="4">
      <c r="A4" s="191" t="s">
        <v>3551</v>
      </c>
      <c r="B4" s="191" t="s">
        <v>3552</v>
      </c>
    </row>
    <row r="5">
      <c r="A5" s="191" t="s">
        <v>3553</v>
      </c>
      <c r="B5" s="191" t="s">
        <v>3554</v>
      </c>
    </row>
    <row r="6">
      <c r="A6" s="191" t="s">
        <v>3555</v>
      </c>
      <c r="B6" s="191" t="s">
        <v>3550</v>
      </c>
    </row>
    <row r="7">
      <c r="A7" s="191" t="s">
        <v>3556</v>
      </c>
      <c r="B7" s="191" t="s">
        <v>3557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1" t="s">
        <v>3558</v>
      </c>
      <c r="B1" s="191" t="s">
        <v>3559</v>
      </c>
      <c r="C1" s="191" t="s">
        <v>3560</v>
      </c>
      <c r="D1" s="191" t="s">
        <v>3561</v>
      </c>
      <c r="E1" s="191" t="s">
        <v>3562</v>
      </c>
      <c r="F1" s="191" t="s">
        <v>3563</v>
      </c>
      <c r="G1" s="191" t="s">
        <v>3564</v>
      </c>
      <c r="H1" s="191" t="s">
        <v>3565</v>
      </c>
      <c r="I1" s="191" t="s">
        <v>3566</v>
      </c>
      <c r="J1" s="191" t="s">
        <v>3567</v>
      </c>
      <c r="K1" s="191" t="s">
        <v>3568</v>
      </c>
      <c r="L1" s="191" t="s">
        <v>3569</v>
      </c>
      <c r="M1" s="191" t="s">
        <v>3570</v>
      </c>
      <c r="N1" s="191" t="s">
        <v>3571</v>
      </c>
      <c r="O1" s="191" t="s">
        <v>3572</v>
      </c>
      <c r="P1" s="191" t="s">
        <v>3573</v>
      </c>
      <c r="Q1" s="191" t="s">
        <v>3574</v>
      </c>
      <c r="R1" s="191" t="s">
        <v>3575</v>
      </c>
      <c r="S1" s="191" t="s">
        <v>3576</v>
      </c>
      <c r="T1" s="191" t="s">
        <v>3577</v>
      </c>
      <c r="U1" s="191" t="s">
        <v>3578</v>
      </c>
      <c r="V1" s="191" t="s">
        <v>3579</v>
      </c>
      <c r="W1" s="191" t="s">
        <v>3580</v>
      </c>
      <c r="X1" s="191" t="s">
        <v>3581</v>
      </c>
      <c r="Y1" s="191" t="s">
        <v>3582</v>
      </c>
      <c r="Z1" s="191" t="s">
        <v>3583</v>
      </c>
      <c r="AA1" s="191" t="s">
        <v>3584</v>
      </c>
      <c r="AB1" s="191" t="s">
        <v>3585</v>
      </c>
      <c r="AC1" s="191" t="s">
        <v>3586</v>
      </c>
    </row>
    <row r="2">
      <c r="A2" s="191" t="s">
        <v>3587</v>
      </c>
      <c r="B2" s="191" t="s">
        <v>3588</v>
      </c>
      <c r="C2" s="191" t="s">
        <v>3589</v>
      </c>
      <c r="D2" s="283">
        <v>0.0</v>
      </c>
      <c r="E2" s="283">
        <v>1.0</v>
      </c>
      <c r="F2" s="283">
        <v>2.0</v>
      </c>
      <c r="G2" s="191" t="s">
        <v>3590</v>
      </c>
      <c r="H2" s="191" t="s">
        <v>3591</v>
      </c>
      <c r="I2" s="191" t="s">
        <v>3591</v>
      </c>
      <c r="J2" s="191" t="s">
        <v>3592</v>
      </c>
      <c r="K2" s="191" t="s">
        <v>3593</v>
      </c>
      <c r="L2" s="191" t="s">
        <v>3594</v>
      </c>
      <c r="M2" s="191" t="s">
        <v>3595</v>
      </c>
      <c r="N2" s="191" t="b">
        <v>1</v>
      </c>
      <c r="O2" s="191" t="s">
        <v>3596</v>
      </c>
      <c r="P2" s="191" t="b">
        <v>0</v>
      </c>
      <c r="R2" s="191" t="b">
        <v>0</v>
      </c>
      <c r="S2" s="191" t="b">
        <v>1</v>
      </c>
      <c r="T2" s="191" t="s">
        <v>3597</v>
      </c>
      <c r="W2" s="191" t="s">
        <v>3598</v>
      </c>
      <c r="X2" s="191" t="b">
        <v>0</v>
      </c>
      <c r="Y2" s="191" t="s">
        <v>3599</v>
      </c>
      <c r="Z2" s="191" t="s">
        <v>3600</v>
      </c>
      <c r="AA2" s="191" t="b">
        <v>0</v>
      </c>
    </row>
    <row r="3">
      <c r="A3" s="282"/>
      <c r="B3" s="282"/>
      <c r="C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R3" s="282"/>
      <c r="S3" s="282"/>
      <c r="T3" s="282"/>
      <c r="W3" s="282"/>
      <c r="X3" s="282"/>
      <c r="Y3" s="282"/>
      <c r="Z3" s="282"/>
      <c r="AA3" s="282"/>
    </row>
  </sheetData>
  <drawing r:id="rId1"/>
</worksheet>
</file>